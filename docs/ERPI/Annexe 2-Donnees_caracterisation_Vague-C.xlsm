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A63ED3A1-9429-3D75-F2AA-CA7E51A8F3A1}"/>
  <workbookPr showInkAnnotation="0" updateLinks="never" codeName="ThisWorkbook" autoCompressPictures="0"/>
  <mc:AlternateContent xmlns:mc="http://schemas.openxmlformats.org/markup-compatibility/2006">
    <mc:Choice Requires="x15">
      <x15ac:absPath xmlns:x15ac="http://schemas.microsoft.com/office/spreadsheetml/2010/11/ac" url="/Users/fabio/Documents/7-ERPI/HCERES/ERPI-HCERES/ERPI/"/>
    </mc:Choice>
  </mc:AlternateContent>
  <xr:revisionPtr revIDLastSave="0" documentId="13_ncr:1_{5EB8B4BE-531D-7D42-BFA0-F953B6B3387B}" xr6:coauthVersionLast="47" xr6:coauthVersionMax="47" xr10:uidLastSave="{00000000-0000-0000-0000-000000000000}"/>
  <workbookProtection workbookAlgorithmName="SHA-512" workbookHashValue="4gFFfqWr9zgzHbGdeO/ehUB2oMJT4uv/ZdX1B2jXA2dbdkeqjDNt/EoAx+b2cHubGk5JnWd+bZ490l96r7Euqw==" workbookSaltValue="QgtjNuZmyO05+ISGvhI+ZA==" workbookSpinCount="100000" lockStructure="1"/>
  <bookViews>
    <workbookView xWindow="0" yWindow="500" windowWidth="28800" windowHeight="17500" tabRatio="756" activeTab="3" xr2:uid="{00000000-000D-0000-FFFF-FFFF00000000}"/>
  </bookViews>
  <sheets>
    <sheet name="Notice" sheetId="28" r:id="rId1"/>
    <sheet name="1. Informations administratives" sheetId="2" r:id="rId2"/>
    <sheet name="Doonees A MASQUER" sheetId="26" state="hidden" r:id="rId3"/>
    <sheet name="2.1 RH-personnel" sheetId="4" r:id="rId4"/>
    <sheet name="2.2 RH-doctorants" sheetId="24" r:id="rId5"/>
    <sheet name="3. Ressources financières" sheetId="9" r:id="rId6"/>
    <sheet name="4. Occupation des locaux" sheetId="22" r:id="rId7"/>
    <sheet name="Nomenclatures" sheetId="25" r:id="rId8"/>
  </sheets>
  <externalReferences>
    <externalReference r:id="rId9"/>
    <externalReference r:id="rId10"/>
  </externalReferences>
  <definedNames>
    <definedName name="_xlnm._FilterDatabase" localSheetId="3" hidden="1">'2.1 RH-personnel'!$B$20:$O$1538</definedName>
    <definedName name="_xlnm._FilterDatabase" localSheetId="2" hidden="1">'Doonees A MASQUER'!$A$1:$I$546</definedName>
    <definedName name="_xlnm._FilterDatabase" localSheetId="7" hidden="1">Nomenclatures!$C$86:$D$197</definedName>
    <definedName name="AGROSUP_DIJON">'Doonees A MASQUER'!$M$2:$M$4</definedName>
    <definedName name="AIX_MARSEILLE_UNIVERSITE_AMU">'Doonees A MASQUER'!$T$2:$T$118</definedName>
    <definedName name="AP_aut">Nomenclatures!$L$81:$L$88</definedName>
    <definedName name="AP_tit">Nomenclatures!$K$81:$K$112</definedName>
    <definedName name="AVIGNON_UNIVERSITE_AU">'Doonees A MASQUER'!$U$2:$U$9</definedName>
    <definedName name="CEA">'Doonees A MASQUER'!$AK$2:$AK$7</definedName>
    <definedName name="CH_aut">Nomenclatures!$J$81:$J$87</definedName>
    <definedName name="CH_tit">Nomenclatures!$I$81:$I$87</definedName>
    <definedName name="codes_postaux">Nomenclatures!$B$513:$B$523</definedName>
    <definedName name="Domaines_scientifiques">Nomenclatures!$B$201:$B$203</definedName>
    <definedName name="EC_aut">Nomenclatures!$H$81:$H$89</definedName>
    <definedName name="EC_tit">Nomenclatures!$G$81:$G$94</definedName>
    <definedName name="Écoles_Doctorales">Nomenclatures!$B$19:$B$76</definedName>
    <definedName name="ED_Rattachement">Nomenclatures!$K$451:$K$508</definedName>
    <definedName name="ENSA_MARSEILLE">'Doonees A MASQUER'!$N$2:$N$3</definedName>
    <definedName name="ENSA_NANCY">'Doonees A MASQUER'!$O$2:$O$2</definedName>
    <definedName name="ENSA_STRASBOURG">'Doonees A MASQUER'!$P$2:$P$2</definedName>
    <definedName name="équipes">Nomenclatures!$B$451:$B$511</definedName>
    <definedName name="ESC_DIJON">'Doonees A MASQUER'!$Q$2:$Q$2</definedName>
    <definedName name="Etablissements">[1]Nomenclature!$A$2:$A$17</definedName>
    <definedName name="Etablissements_accredites_ED">Nomenclatures!$B$1266:$B$1382</definedName>
    <definedName name="Etablissements_dispensant_master">Nomenclatures!$B$1384:$B$1679</definedName>
    <definedName name="Etablissements_employeurs">Nomenclatures!$B$916:$B$1264</definedName>
    <definedName name="Etablissements_enseignement_sup_et_recherche">Nomenclatures!$B$592:$B$914</definedName>
    <definedName name="Etablissements_exercice">Nomenclatures!$B$538:$B$590</definedName>
    <definedName name="Etablissements_rattachement">'1. Informations administratives'!$C$20:$C$27</definedName>
    <definedName name="IEP_AIX">'Doonees A MASQUER'!$R$2:$R$2</definedName>
    <definedName name="IFREMER">'Doonees A MASQUER'!$AL$2</definedName>
    <definedName name="INRAE">'Doonees A MASQUER'!$AM$2:$AM$25</definedName>
    <definedName name="IRD">'Doonees A MASQUER'!$AN$2</definedName>
    <definedName name="OBSERVATOIRE_COTE_D_AZUR_OCA">'Doonees A MASQUER'!$S$2:$S$4</definedName>
    <definedName name="Organismes_recherche">Nomenclatures!$B$2103:$B$2125</definedName>
    <definedName name="Sections_BAP">Nomenclatures!$B$298:$B$433</definedName>
    <definedName name="Tutelle_deposante">Nomenclatures!$B$538:$B$574</definedName>
    <definedName name="UNIVERSITE_D_ORLEANS">'Doonees A MASQUER'!$AC$2:$AC$30</definedName>
    <definedName name="UNIVERSITE_DE_BOURGOGNE_UB">'Doonees A MASQUER'!$V$2:$V$30</definedName>
    <definedName name="UNIVERSITE_DE_CORSE_PASQUALE_PAOLI">'Doonees A MASQUER'!$W$2:$W$5</definedName>
    <definedName name="UNIVERSITE_DE_FRANCHE_COMTE">'Doonees A MASQUER'!$Y$2:$Y$28</definedName>
    <definedName name="UNIVERSITE_DE_HAUTE_ALSACE_UHA">'Doonees A MASQUER'!$Z$2:$Z$10</definedName>
    <definedName name="UNIVERSITE_DE_LA_COTE_D_AZUR">'Doonees A MASQUER'!$X$2:$X$39</definedName>
    <definedName name="UNIVERSITE_DE_LA_NOUVELLE_CALEDONIE_UNC">'Doonees A MASQUER'!$AB$2:$AB$6</definedName>
    <definedName name="UNIVERSITE_DE_LA_POLYNESIE_FRANCAISE_UPF">'Doonees A MASQUER'!$AD$2:$AD$9</definedName>
    <definedName name="UNIVERSITE_DE_LORRAINE">'Doonees A MASQUER'!$AA$2:$AA$65</definedName>
    <definedName name="UNIVERSITE_DE_REIMS_CHAMPAGNE_ARDENNES_URCA">'Doonees A MASQUER'!$AE$2:$AE$36</definedName>
    <definedName name="UNIVERSITE_DE_STRASBOURG_UNISTRA">'Doonees A MASQUER'!$AF$2:$AF$81</definedName>
    <definedName name="UNIVERSITE_DE_TOULON">'Doonees A MASQUER'!$AG$2:$AG$9</definedName>
    <definedName name="UNIVERSITE_FRANCOIS_RABELAIS_DE_TOURS">'Doonees A MASQUER'!$AH$2:$AH$32</definedName>
    <definedName name="UNIVERSITE_TECHNOLOGIQUE_DE_BELFORT_MONTBELIARD_UTBM">'Doonees A MASQUER'!$AI$2:$AI$4</definedName>
    <definedName name="UNIVERSITE_TECHNOLOGIQUE_DE_TROYES_UTT">'Doonees A MASQUER'!$AJ$2:$AJ$7</definedName>
    <definedName name="Z_16E30FE5_CA9F_4336_8D1A_21719AC9AE43_.wvu.FilterData" localSheetId="3" hidden="1">'2.1 RH-personnel'!$B$20:$O$1538</definedName>
    <definedName name="Z_16E30FE5_CA9F_4336_8D1A_21719AC9AE43_.wvu.PrintArea" localSheetId="1" hidden="1">'1. Informations administratives'!$B$1:$H$11</definedName>
    <definedName name="Z_16E30FE5_CA9F_4336_8D1A_21719AC9AE43_.wvu.PrintArea" localSheetId="3" hidden="1">'2.1 RH-personnel'!$B$1:$P$1540</definedName>
    <definedName name="Z_16E30FE5_CA9F_4336_8D1A_21719AC9AE43_.wvu.PrintArea" localSheetId="5" hidden="1">'3. Ressources financières'!$B$1:$H$57</definedName>
    <definedName name="Z_16E30FE5_CA9F_4336_8D1A_21719AC9AE43_.wvu.PrintTitles" localSheetId="3" hidden="1">'2.1 RH-personnel'!$20:$20</definedName>
    <definedName name="Z_16E30FE5_CA9F_4336_8D1A_21719AC9AE43_.wvu.PrintTitles" localSheetId="5" hidden="1">'3. Ressources financières'!$1:$1</definedName>
    <definedName name="Z_D5B14F2C_2005_4A46_8CC9_D91764B00F08_.wvu.FilterData" localSheetId="3" hidden="1">'2.1 RH-personnel'!$B$20:$O$1538</definedName>
    <definedName name="Z_D5B14F2C_2005_4A46_8CC9_D91764B00F08_.wvu.PrintArea" localSheetId="1" hidden="1">'1. Informations administratives'!$B$1:$H$11</definedName>
    <definedName name="Z_D5B14F2C_2005_4A46_8CC9_D91764B00F08_.wvu.PrintArea" localSheetId="3" hidden="1">'2.1 RH-personnel'!$B$1:$P$1540</definedName>
    <definedName name="Z_D5B14F2C_2005_4A46_8CC9_D91764B00F08_.wvu.PrintArea" localSheetId="5" hidden="1">'3. Ressources financières'!$B$1:$H$57</definedName>
    <definedName name="Z_D5B14F2C_2005_4A46_8CC9_D91764B00F08_.wvu.PrintTitles" localSheetId="3" hidden="1">'2.1 RH-personnel'!$20:$20</definedName>
    <definedName name="Z_D5B14F2C_2005_4A46_8CC9_D91764B00F08_.wvu.PrintTitles" localSheetId="5" hidden="1">'3. Ressources financières'!$1:$1</definedName>
  </definedNames>
  <calcPr calcId="191029"/>
  <customWorkbookViews>
    <customWorkbookView name="Astrid Lanoue - Affichage personnalisé" guid="{D5B14F2C-2005-4A46-8CC9-D91764B00F08}" mergeInterval="0" personalView="1" maximized="1" windowWidth="1452" windowHeight="709" tabRatio="877" activeSheetId="7"/>
    <customWorkbookView name="NDospital - Affichage personnalisé" guid="{16E30FE5-CA9F-4336-8D1A-21719AC9AE43}" mergeInterval="0" personalView="1" maximized="1" windowWidth="1916" windowHeight="812" tabRatio="877" activeSheetId="1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18" i="22" l="1"/>
  <c r="C19" i="2" l="1" a="1"/>
  <c r="C19" i="2" s="1"/>
  <c r="C17" i="2" a="1"/>
  <c r="C17" i="2" s="1"/>
  <c r="C16" i="2" a="1"/>
  <c r="C16" i="2" s="1"/>
  <c r="C15" i="2" a="1"/>
  <c r="C15" i="2" s="1"/>
  <c r="C18" i="2" a="1"/>
  <c r="C18" i="2" s="1"/>
  <c r="C19" i="26"/>
  <c r="B526" i="25" l="1"/>
  <c r="B527" i="25"/>
  <c r="B528" i="25"/>
  <c r="B529" i="25"/>
  <c r="B530" i="25"/>
  <c r="B531" i="25"/>
  <c r="B532" i="25"/>
  <c r="B525" i="25"/>
  <c r="C30" i="2"/>
  <c r="C36" i="2"/>
  <c r="I69" i="9" l="1"/>
  <c r="H69" i="9"/>
  <c r="G69" i="9"/>
  <c r="F69" i="9"/>
  <c r="E69" i="9"/>
  <c r="D69" i="9"/>
  <c r="D52" i="9"/>
  <c r="D57" i="9" s="1"/>
  <c r="I52" i="9"/>
  <c r="I57" i="9" s="1"/>
  <c r="H52" i="9"/>
  <c r="H57" i="9" s="1"/>
  <c r="G52" i="9"/>
  <c r="G57" i="9" s="1"/>
  <c r="F52" i="9"/>
  <c r="F57" i="9" s="1"/>
  <c r="E52" i="9"/>
  <c r="E57" i="9" s="1"/>
  <c r="I44" i="9"/>
  <c r="H44" i="9"/>
  <c r="G44" i="9"/>
  <c r="F44" i="9"/>
  <c r="E44" i="9"/>
  <c r="D44" i="9"/>
  <c r="I39" i="9"/>
  <c r="H39" i="9"/>
  <c r="G39" i="9"/>
  <c r="F39" i="9"/>
  <c r="E39" i="9"/>
  <c r="D39" i="9"/>
  <c r="I34" i="9"/>
  <c r="H34" i="9"/>
  <c r="G34" i="9"/>
  <c r="F34" i="9"/>
  <c r="E34" i="9"/>
  <c r="D34" i="9"/>
  <c r="I29" i="9"/>
  <c r="H29" i="9"/>
  <c r="G29" i="9"/>
  <c r="F29" i="9"/>
  <c r="E29" i="9"/>
  <c r="D29" i="9"/>
  <c r="I24" i="9"/>
  <c r="H24" i="9"/>
  <c r="G24" i="9"/>
  <c r="F24" i="9"/>
  <c r="E24" i="9"/>
  <c r="D24" i="9"/>
  <c r="I19" i="9"/>
  <c r="H19" i="9"/>
  <c r="G19" i="9"/>
  <c r="F19" i="9"/>
  <c r="E19" i="9"/>
  <c r="D19" i="9"/>
  <c r="F56" i="9" l="1"/>
  <c r="F58" i="9" s="1"/>
  <c r="G56" i="9"/>
  <c r="G58" i="9" s="1"/>
  <c r="H56" i="9"/>
  <c r="H58" i="9" s="1"/>
  <c r="D56" i="9"/>
  <c r="D58" i="9" s="1"/>
  <c r="E56" i="9"/>
  <c r="E58" i="9" s="1"/>
  <c r="I56" i="9"/>
  <c r="I58" i="9" s="1"/>
</calcChain>
</file>

<file path=xl/sharedStrings.xml><?xml version="1.0" encoding="utf-8"?>
<sst xmlns="http://schemas.openxmlformats.org/spreadsheetml/2006/main" count="16865" uniqueCount="9272">
  <si>
    <t>Nom</t>
  </si>
  <si>
    <t>Prénom</t>
  </si>
  <si>
    <t>Intitulé complet de l’unité de recherche </t>
  </si>
  <si>
    <t>Label(s) et n° </t>
  </si>
  <si>
    <t>Total</t>
  </si>
  <si>
    <t>Total des ressources de l'unité</t>
  </si>
  <si>
    <t>Dotation récurrente - Fonctionnement</t>
  </si>
  <si>
    <t>Dotation récurrente - Équipement</t>
  </si>
  <si>
    <t>établissement / organisme (1)</t>
  </si>
  <si>
    <t>(1) Sélectionner l'établissement ou l'organisme dans le menu déroulant. Une seule ligne par établissement ou organisme.</t>
  </si>
  <si>
    <r>
      <t xml:space="preserve">Date de naissance
</t>
    </r>
    <r>
      <rPr>
        <sz val="8"/>
        <rFont val="Century Gothic"/>
        <family val="2"/>
      </rPr>
      <t>(JJ/MM/AAAA)</t>
    </r>
  </si>
  <si>
    <t>Autres</t>
  </si>
  <si>
    <t>Masse salariale des permanents (CDI + titulaires)</t>
  </si>
  <si>
    <t>Dotations récurrentes provenant des établissements de rattachement</t>
  </si>
  <si>
    <t>Ressources propres</t>
  </si>
  <si>
    <r>
      <t xml:space="preserve">Date d'inscription 
en thèse
</t>
    </r>
    <r>
      <rPr>
        <sz val="8"/>
        <rFont val="Century Gothic"/>
        <family val="2"/>
      </rPr>
      <t>(JJ/MM/AAAA)</t>
    </r>
  </si>
  <si>
    <t>Masse salariale brute chargée des permanents (CDI + titulaires)</t>
  </si>
  <si>
    <t>4 - Occupation des locaux</t>
  </si>
  <si>
    <t>Ressources propres obtenues sur appels à projets régionaux (sommes obtenues sur AAP idex,
i-site, CPER, collectivités territoriales, etc.)</t>
  </si>
  <si>
    <r>
      <t xml:space="preserve"> Surfaces administratives (m</t>
    </r>
    <r>
      <rPr>
        <vertAlign val="superscript"/>
        <sz val="10"/>
        <rFont val="Century Gothic"/>
        <family val="2"/>
      </rPr>
      <t>2</t>
    </r>
    <r>
      <rPr>
        <sz val="10"/>
        <rFont val="Century Gothic"/>
        <family val="2"/>
      </rPr>
      <t>)</t>
    </r>
  </si>
  <si>
    <r>
      <t>Laboratoire de sécurité microbiologique (m</t>
    </r>
    <r>
      <rPr>
        <vertAlign val="superscript"/>
        <sz val="10"/>
        <rFont val="Century Gothic"/>
        <family val="2"/>
      </rPr>
      <t>2</t>
    </r>
    <r>
      <rPr>
        <sz val="10"/>
        <rFont val="Century Gothic"/>
        <family val="2"/>
      </rPr>
      <t>)</t>
    </r>
  </si>
  <si>
    <r>
      <t>Plateformes (m</t>
    </r>
    <r>
      <rPr>
        <vertAlign val="superscript"/>
        <sz val="10"/>
        <rFont val="Century Gothic"/>
        <family val="2"/>
      </rPr>
      <t>2</t>
    </r>
    <r>
      <rPr>
        <sz val="10"/>
        <rFont val="Century Gothic"/>
        <family val="2"/>
      </rPr>
      <t>)</t>
    </r>
  </si>
  <si>
    <r>
      <t>Salles blanches (m</t>
    </r>
    <r>
      <rPr>
        <vertAlign val="superscript"/>
        <sz val="10"/>
        <rFont val="Century Gothic"/>
        <family val="2"/>
      </rPr>
      <t>2</t>
    </r>
    <r>
      <rPr>
        <sz val="10"/>
        <rFont val="Century Gothic"/>
        <family val="2"/>
      </rPr>
      <t>)</t>
    </r>
  </si>
  <si>
    <r>
      <t>Autres (m</t>
    </r>
    <r>
      <rPr>
        <vertAlign val="superscript"/>
        <sz val="10"/>
        <rFont val="Century Gothic"/>
        <family val="2"/>
      </rPr>
      <t>2</t>
    </r>
    <r>
      <rPr>
        <sz val="10"/>
        <rFont val="Century Gothic"/>
        <family val="2"/>
      </rPr>
      <t>)</t>
    </r>
  </si>
  <si>
    <t>Corps-Grade avant l'arrivée dans l'unité (si date d'arrivée dans la période d'évaluation)</t>
  </si>
  <si>
    <t>Nom de l'équipe interne</t>
  </si>
  <si>
    <t>H/F</t>
  </si>
  <si>
    <t>HDR</t>
  </si>
  <si>
    <t>Directeur de thèse
(NOM, Prénom)</t>
  </si>
  <si>
    <t>Établissement ayant délivré le master (ou diplôme équivalent) du doctorant</t>
  </si>
  <si>
    <t xml:space="preserve">2016 Notification </t>
  </si>
  <si>
    <t>2016
Attributions</t>
  </si>
  <si>
    <t>2017
Attributions</t>
  </si>
  <si>
    <t>2018
Attributions</t>
  </si>
  <si>
    <t>2019
Attributions</t>
  </si>
  <si>
    <t>2020
Attributions</t>
  </si>
  <si>
    <t>2021
Attributions</t>
  </si>
  <si>
    <t xml:space="preserve">2017 Notification </t>
  </si>
  <si>
    <t xml:space="preserve">2018 Notification </t>
  </si>
  <si>
    <t xml:space="preserve">2019 Notification </t>
  </si>
  <si>
    <t xml:space="preserve">2020 Notification </t>
  </si>
  <si>
    <t>2021 Notification</t>
  </si>
  <si>
    <t>Ressources issues de la valorisation, du transfert et de la collaboration industrielle (sommes obtenues grâce à des contrats, des brevets, des activités de service, des prestations, etc.)</t>
  </si>
  <si>
    <t>Ressources propres obtenues sur appels à projets internationaux (sommes obtenues)</t>
  </si>
  <si>
    <t>Co-encadrant de thèse
(NOM, Prénom)</t>
  </si>
  <si>
    <t>Pays de l'établissement de rattachement du co-encadrant</t>
  </si>
  <si>
    <t>Seules les personnes dont la convention ou le contrat a une durée supérieure à 1 mois sont à comptabiliser.</t>
  </si>
  <si>
    <t>Fonction exercée</t>
  </si>
  <si>
    <t>Ressources propres obtenues sur appels à projets nationaux (sommes obtenues sur AAP PIA, ANR, FRM, INCa, organismes de recherche, etc.)</t>
  </si>
  <si>
    <t>1 - Informations administratives sur l'unité au 31/12/2021</t>
  </si>
  <si>
    <t>2.2 - Liste nominative des doctorants de l'unité du 01/01/2016 au 31/12/2021</t>
  </si>
  <si>
    <t>2.1 - Liste nominative des personnels de l'unité du 01/01/2016 au 31/12/2021</t>
  </si>
  <si>
    <t>Pays du laboratoire renseigné dans la colonne S si étranger</t>
  </si>
  <si>
    <t>Nom directeur(trice)</t>
  </si>
  <si>
    <t>Prénom directeur(trice)</t>
  </si>
  <si>
    <t>OUI</t>
  </si>
  <si>
    <t>NON</t>
  </si>
  <si>
    <t>Domaines applicatifs - 10 maximum</t>
  </si>
  <si>
    <t xml:space="preserve">École(s) doctorale(s) 
de rattachement </t>
  </si>
  <si>
    <t>Établissement 
de rattachement 
du co-encadrant
de thèse</t>
  </si>
  <si>
    <t>Établissement 
ou organisme 
employeur</t>
  </si>
  <si>
    <t>Type d'emploi
(1)</t>
  </si>
  <si>
    <t>Financement 
du doctorant
(2)</t>
  </si>
  <si>
    <t xml:space="preserve">Devenir 
du docteur
</t>
  </si>
  <si>
    <t>Une même personne changeant de Corps-Grade au cours de la période évaluée doit figurer autant de fois qu'elle change de Corps-Grade. Cependant, à la date du 31/12/2021, une même personne ne ne peut être comptabilisée qu'une seule fois.</t>
  </si>
  <si>
    <t>En conséquence, lorsqu'une même personne a eu plusieurs corps-grades durant la période évaluée, indiquer la date de changement de corps-grade dans la colonne "Date de départ de l'unité" sur la ligne du (ou des) corps-grade(s) qui n'est pas (le dernier) celui du 31/12/2021.</t>
  </si>
  <si>
    <r>
      <t>3 - Ressources financières de l'unité pour les années 2016 à 2021</t>
    </r>
    <r>
      <rPr>
        <sz val="14"/>
        <color rgb="FFFF0066"/>
        <rFont val="Century Gothic"/>
        <family val="2"/>
      </rPr>
      <t xml:space="preserve"> (ou depuis la date de création de l'unité si pendant la période d'évaluation)</t>
    </r>
    <r>
      <rPr>
        <b/>
        <sz val="14"/>
        <color rgb="FFFF0066"/>
        <rFont val="Century Gothic"/>
        <family val="2"/>
      </rPr>
      <t xml:space="preserve"> et en k€</t>
    </r>
  </si>
  <si>
    <r>
      <t>Dotation récurrente provenant des établissements de rattachement</t>
    </r>
    <r>
      <rPr>
        <sz val="12"/>
        <color rgb="FFED145B"/>
        <rFont val="Century Gothic"/>
        <family val="2"/>
      </rPr>
      <t xml:space="preserve"> (en k€)</t>
    </r>
  </si>
  <si>
    <t>Nombre d'équipes</t>
  </si>
  <si>
    <t>Tutelle(s) de l'unité - Établissement(s) d’enseignement supérieur et de recherche</t>
  </si>
  <si>
    <t>Tutelle(s) de l'unité - Organisme(s) de recherche</t>
  </si>
  <si>
    <t>Préciser le cas échéant, le délégataire unique de gestion</t>
  </si>
  <si>
    <t>RNSR</t>
  </si>
  <si>
    <t>Liste des nomenclatures</t>
  </si>
  <si>
    <t>VAGUE</t>
  </si>
  <si>
    <t>Sigle</t>
  </si>
  <si>
    <t>code UAI</t>
  </si>
  <si>
    <t>Nom d'usage</t>
  </si>
  <si>
    <t>C</t>
  </si>
  <si>
    <t>AGROSUP DIJON</t>
  </si>
  <si>
    <t>0212198A</t>
  </si>
  <si>
    <t>CEA</t>
  </si>
  <si>
    <t>0912281K</t>
  </si>
  <si>
    <t>COMMISSARIAT A L'ENERGIE ATOMIQUE ET AUX ENERGIES ALTERNATIVES - CEA</t>
  </si>
  <si>
    <t>CHRU BESANCON</t>
  </si>
  <si>
    <t>0259451M</t>
  </si>
  <si>
    <t>CENTRE HOSPITALIER REGIONAL ET UNIVERSITAIRE DE BESANCON - CHRU BESANCON</t>
  </si>
  <si>
    <t>CHRU TOURS</t>
  </si>
  <si>
    <t>0379451X</t>
  </si>
  <si>
    <t>CHRU HOPITAUX DE TOURS - CHRU TOURS</t>
  </si>
  <si>
    <t>CHU DIJON</t>
  </si>
  <si>
    <t>0219451J</t>
  </si>
  <si>
    <t>CENTRE HOSPITALIER UNIVERSITAIRE DE DIJON - CHU DIJON</t>
  </si>
  <si>
    <t>CHU MARSEILLE - APHM</t>
  </si>
  <si>
    <t>0139451C</t>
  </si>
  <si>
    <t>CENTRE HOSPITALIER UNIVERSITAIRE DE MARSEILLE - ASSISTANCE PUBLIQUE HOPITAUX DE MARSEILLE - APHM</t>
  </si>
  <si>
    <t>CHU NICE</t>
  </si>
  <si>
    <t>0069451R</t>
  </si>
  <si>
    <t>CENTRE HOSPITALIER UNIVERSITAIRE DE NICE - CHU NICE</t>
  </si>
  <si>
    <t>CHU REIMS</t>
  </si>
  <si>
    <t>0519451W</t>
  </si>
  <si>
    <t>CENTRE HOSPITALIER UNIVERSITAIRE DE REIMS - CHU REIMS</t>
  </si>
  <si>
    <t>CHU STRASBOURG</t>
  </si>
  <si>
    <t>0679451J</t>
  </si>
  <si>
    <t>LES HOPITAUX UNIVERSITAIRES DE STRASBOURG</t>
  </si>
  <si>
    <t>CLCC DIJON - CGFL</t>
  </si>
  <si>
    <t>0219452J</t>
  </si>
  <si>
    <t>CENTRE DE LUTTE CONTRE LE CANCER DE DIJON - CENTRE GEORGES FRANCOIS LECLERC - CGFL</t>
  </si>
  <si>
    <t>CLCC MARSEILLE - IPC</t>
  </si>
  <si>
    <t>0139452C</t>
  </si>
  <si>
    <t>CENTRE REGIONAL DE LUTTE CONTRE LE CANCER PACA - INSTITUT PAOLI-CALMETTES - IPC</t>
  </si>
  <si>
    <t>CLCC NANCY - ICL</t>
  </si>
  <si>
    <t>0549452E</t>
  </si>
  <si>
    <t>INSTITUT DE CANCEROLOGIE DE LORRAINE - CENTRE ALEXIS VAUTRIN</t>
  </si>
  <si>
    <t>CLCC NICE - CAL</t>
  </si>
  <si>
    <t>0069452R</t>
  </si>
  <si>
    <t>CENTRE DE LUTTE CONTRE LE CANCER DE NICE - CENTRE ANTOINE-LACASSAGNE</t>
  </si>
  <si>
    <t>CLCC STRASBOURG - CPS</t>
  </si>
  <si>
    <t>0679452J</t>
  </si>
  <si>
    <t>CENTRE REGIONAL DE LUTTE CONTRE LE CANCER DE LA REGION ALSACE - CENTRE PAUL STRAUSS</t>
  </si>
  <si>
    <t>EC CENTRALE MARSEILLE</t>
  </si>
  <si>
    <t>0133774G</t>
  </si>
  <si>
    <t>ECOLE CENTRALE DE MARSEILLE</t>
  </si>
  <si>
    <t>ENGEES STRASBOURG</t>
  </si>
  <si>
    <t>0670189S</t>
  </si>
  <si>
    <t>ENSA MARSEILLE</t>
  </si>
  <si>
    <t>0130236L</t>
  </si>
  <si>
    <t>ECOLE NATIONALE SUPERIEURE D'ARCHITECTURE DE MARSEILLE</t>
  </si>
  <si>
    <t>ENSA NANCY</t>
  </si>
  <si>
    <t>0540135D</t>
  </si>
  <si>
    <t>ECOLE NATIONALE SUPERIEURE D'ARCHITECTURE DE NANCY</t>
  </si>
  <si>
    <t>ENSA STRASBOURG</t>
  </si>
  <si>
    <t>0670186N</t>
  </si>
  <si>
    <t>ECOLE NATIONALE SUPERIEURE D'ARCHITECTURE DE STRASBOURG</t>
  </si>
  <si>
    <t>ENSMM BESANCON</t>
  </si>
  <si>
    <t>0250082D</t>
  </si>
  <si>
    <t>ECOLE NATIONALE SUPERIEURE DE MECANIQUE ET DES MICROTECHNIQUES DE BESANCON - ENSMM</t>
  </si>
  <si>
    <t>IEP AIX</t>
  </si>
  <si>
    <t>0130221V</t>
  </si>
  <si>
    <t>SCIENCES PO AIX</t>
  </si>
  <si>
    <t>INRAE</t>
  </si>
  <si>
    <t>0755361V</t>
  </si>
  <si>
    <t>INSTITUT NATIONAL DE RECHERCHE POUR L'AGRICULTURE, L'ALIMENTATION ET L'ENVIRONNEMENT - INRAE</t>
  </si>
  <si>
    <t>0180974L</t>
  </si>
  <si>
    <t>INSTITUT NATIONAL DES SCIENCES APPLIQUEES CENTRE VAL DE LOIRE</t>
  </si>
  <si>
    <t>INSA STRASBOURG</t>
  </si>
  <si>
    <t>0670190T</t>
  </si>
  <si>
    <t>INSTITUT NATIONAL DES SCIENCES APPLIQUEES DE STRASBOURG</t>
  </si>
  <si>
    <t>IRD</t>
  </si>
  <si>
    <t>0133973Y</t>
  </si>
  <si>
    <t>INSTITUT DE RECHERCHE POUR LE DEVELOPPEMENT - IRD</t>
  </si>
  <si>
    <t>0060099A</t>
  </si>
  <si>
    <t>OBSERVATOIRE DE LA COTE D'AZUR - OCA</t>
  </si>
  <si>
    <t>0134009M</t>
  </si>
  <si>
    <t>AIX-MARSEILLE UNIVERSITE - AMU</t>
  </si>
  <si>
    <t>0840685N</t>
  </si>
  <si>
    <t xml:space="preserve">UNIVERSITE D'AVIGNON ET DES PAYS DE VAUCLUSE </t>
  </si>
  <si>
    <t>0251215K</t>
  </si>
  <si>
    <t>UNIVERSITE DE FRANCHE-COMTE - UFC</t>
  </si>
  <si>
    <t>U CORSE</t>
  </si>
  <si>
    <t>7200664J</t>
  </si>
  <si>
    <t>UNIVERSITE DE CORSE PASQUALE PAOLI</t>
  </si>
  <si>
    <t>0211237F</t>
  </si>
  <si>
    <t>UNIVERSITE DE BOURGOGNE - UB</t>
  </si>
  <si>
    <t>U LORRAINE</t>
  </si>
  <si>
    <t>0542493S</t>
  </si>
  <si>
    <t>UNIVERSITE DE LORRAINE</t>
  </si>
  <si>
    <t>0681166Y</t>
  </si>
  <si>
    <t>UNIVERSITE DE HAUTE-ALSACE - UHA</t>
  </si>
  <si>
    <t>0060931E</t>
  </si>
  <si>
    <t>UNIVERSITE NICE SOPHIA ANTIPOLIS</t>
  </si>
  <si>
    <t>U NOUVELLE-CALEDONIE</t>
  </si>
  <si>
    <t>9830445S</t>
  </si>
  <si>
    <t>UNIVERSITE DE LA NOUVELLE-CALEDONIE - UNC</t>
  </si>
  <si>
    <t>U ORLEANS</t>
  </si>
  <si>
    <t>0450855K</t>
  </si>
  <si>
    <t>UNIVERSITE D'ORLEANS</t>
  </si>
  <si>
    <t>U POLYNESIE-FRANCAISE</t>
  </si>
  <si>
    <t>9840349G</t>
  </si>
  <si>
    <t>UNIVERSITE DE LA POLYNESIE FRANCAISE</t>
  </si>
  <si>
    <t>U REIMS</t>
  </si>
  <si>
    <t>0511296G</t>
  </si>
  <si>
    <t>UNIVERSITE DE REIMS CHAMPAGNE-ARDENNE - URCA</t>
  </si>
  <si>
    <t>0673021V</t>
  </si>
  <si>
    <t>UNIVERSITE DE STRASBOURG</t>
  </si>
  <si>
    <t>U TOULON</t>
  </si>
  <si>
    <t>0830766G</t>
  </si>
  <si>
    <t>UNIVERSITE DE TOULON</t>
  </si>
  <si>
    <t>U TOURS</t>
  </si>
  <si>
    <t>0370800U</t>
  </si>
  <si>
    <t>UNIVERSITE FRANCOIS-RABELAIS DE TOURS</t>
  </si>
  <si>
    <t>UT BELFORT</t>
  </si>
  <si>
    <t>0900424X</t>
  </si>
  <si>
    <t>UNIVERSITE DE TECHNOLOGIE DE BELFORT-MONTBELIARD - UTBM</t>
  </si>
  <si>
    <t>UT TROYES</t>
  </si>
  <si>
    <t>0101060Y</t>
  </si>
  <si>
    <t>UNIVERSITE DE TECHNOLOGIE DE TROYES - UTT</t>
  </si>
  <si>
    <t>ESC DIJON</t>
  </si>
  <si>
    <t>INST PASTEUR PARIS</t>
  </si>
  <si>
    <t>0755366A</t>
  </si>
  <si>
    <t>INSTITUT PASTEUR</t>
  </si>
  <si>
    <t>IFREMER</t>
  </si>
  <si>
    <t>0922262J</t>
  </si>
  <si>
    <t>INSTITUT FRANCAIS DE RECHERCHE POUR L'EXPLOITATION DE LA MER - IFREMER</t>
  </si>
  <si>
    <t>INSERM</t>
  </si>
  <si>
    <t>0755364Y</t>
  </si>
  <si>
    <t>INSTITUT NATIONAL DE LA SANTE ET DE LA RECHERCHE MEDICALE - INSERM</t>
  </si>
  <si>
    <t>CNRS</t>
  </si>
  <si>
    <t>0753639Y</t>
  </si>
  <si>
    <t>CENTRE NATIONAL DE LA RECHERCHE SCIENTIFIQUE - CNRS</t>
  </si>
  <si>
    <t>EMPLOYEUR PRIVÉ</t>
  </si>
  <si>
    <t>EMPLOYEUR ÉTRANGER</t>
  </si>
  <si>
    <t>AUTRE EMPLOYEUR</t>
  </si>
  <si>
    <t>B</t>
  </si>
  <si>
    <t>AGROCAMPUS OUEST</t>
  </si>
  <si>
    <t>0352692L</t>
  </si>
  <si>
    <t>BORDEAUX INP</t>
  </si>
  <si>
    <t>0333232J</t>
  </si>
  <si>
    <t>INSTITUT POLYTECHNIQUE DE BORDEAUX - IPB</t>
  </si>
  <si>
    <t>BORDEAUX SCIENCES AGRO</t>
  </si>
  <si>
    <t>0330203S</t>
  </si>
  <si>
    <t>CHU BORDEAUX</t>
  </si>
  <si>
    <t>0339451U</t>
  </si>
  <si>
    <t>CENTRE HOSPITALIER UNIVERSITAIRE DE BORDEAUX - CHU BORDEAUX</t>
  </si>
  <si>
    <t>CHU GUADELOUPE</t>
  </si>
  <si>
    <t>9719451W</t>
  </si>
  <si>
    <t>CENTRE HOSPITALIER UNIVERSITAIRE DE POINTE-A-PITRE ABYMES - CHU GUADELOUPE</t>
  </si>
  <si>
    <t>CHU MARTINIQUE</t>
  </si>
  <si>
    <t>9729451W</t>
  </si>
  <si>
    <t>CENTRE HOSPITALIER UNIVERSITAIRE DE MARTINIQUE - CHU MARTINIQUE</t>
  </si>
  <si>
    <t>CHU NANTES</t>
  </si>
  <si>
    <t>0449451J</t>
  </si>
  <si>
    <t>CENTRE HOSPITALIER UNIVERSITAIRE DE NANTES - CHU NANTES</t>
  </si>
  <si>
    <t>INSA RENNES</t>
  </si>
  <si>
    <t>0350097R</t>
  </si>
  <si>
    <t>INSTITUT NATIONAL DES SCIENCES APPLIQUEES DE RENNES</t>
  </si>
  <si>
    <t>INSA ROUEN</t>
  </si>
  <si>
    <t>0760165S</t>
  </si>
  <si>
    <t>INSTITUT NATIONAL DES SCIENCES APPLIQUEES DE ROUEN</t>
  </si>
  <si>
    <t>MSH AQUITAINE</t>
  </si>
  <si>
    <t>0332757T</t>
  </si>
  <si>
    <t>MAISON DES SCIENCES DE L'HOMME D'AQUITAINE - MSHA</t>
  </si>
  <si>
    <t>AUDENCIA</t>
  </si>
  <si>
    <t>0440112H</t>
  </si>
  <si>
    <t>CHU ANGERS</t>
  </si>
  <si>
    <t>0499451G</t>
  </si>
  <si>
    <t>CENTRE HOSPITALIER UNIVERSITAIRE D'ANGERS - CHU ANGERS</t>
  </si>
  <si>
    <t>CHU CAEN</t>
  </si>
  <si>
    <t>0149451X</t>
  </si>
  <si>
    <t>CENTRE HOSPITALIER UNIVERSITAIRE DE CAEN - CHU CAEN</t>
  </si>
  <si>
    <t>CHU LIMOGES</t>
  </si>
  <si>
    <t>0879451A</t>
  </si>
  <si>
    <t>CENTRE HOSPITALIER UNIVERSITAIRE DE LIMOGES - CHU LIMOGES</t>
  </si>
  <si>
    <t>CHU POITIERS</t>
  </si>
  <si>
    <t>0869451F</t>
  </si>
  <si>
    <t>CENTRE HOSPITALIER UNIVERSITAIRE DE POITIERS - CHU POITIERS</t>
  </si>
  <si>
    <t>CHU RENNES</t>
  </si>
  <si>
    <t>0359451H</t>
  </si>
  <si>
    <t>CENTRE HOSPITALIER UNIVERSITAIRE DE RENNES - CHU RENNES</t>
  </si>
  <si>
    <t>CHU ROUEN</t>
  </si>
  <si>
    <t>0769451K</t>
  </si>
  <si>
    <t>CENTRE HOSPITALIER UNIVERSITAIRE DE ROUEN - CHU ROUEN</t>
  </si>
  <si>
    <t>CLCC ANGERS NANTES - ICO</t>
  </si>
  <si>
    <t>0499452G</t>
  </si>
  <si>
    <t>INSTITUT DE CANCEROLOGIE DE L'OUEST - RENE GAUDUCHEAU - CENTRE DE LUTTE CONTRE LE CANCER ANGERS NANTES</t>
  </si>
  <si>
    <t>CLCC BORDEAUX - IB</t>
  </si>
  <si>
    <t>CENTRE DE LUTTE CONTRE LE CANCER DE BORDEAUX - INSTITUT BERGONIE</t>
  </si>
  <si>
    <t>CLCC CAEN - CFB</t>
  </si>
  <si>
    <t>0149452X</t>
  </si>
  <si>
    <t>CENTRE DE LUTTE CONTRE LE CANCER DE CAEN - CENTRE FRANCOIS BACLESSE</t>
  </si>
  <si>
    <t>CLCC RENNES - CEM</t>
  </si>
  <si>
    <t>0359452H</t>
  </si>
  <si>
    <t>CENTRE DE LUTTE CONTRE LE CANCER DE RENNES - CENTRE EUGENE MAQUIS</t>
  </si>
  <si>
    <t>CLCC ROUEN - CHB</t>
  </si>
  <si>
    <t>0769452K</t>
  </si>
  <si>
    <t>CENTRE DE LUTTE CONTRE LE CANCER DE ROUEN - CENTRE HENRI BECQUEREL</t>
  </si>
  <si>
    <t>COMUE NORMANDIE</t>
  </si>
  <si>
    <t>0142382N</t>
  </si>
  <si>
    <t>NORMANDIE UNIVERSITE</t>
  </si>
  <si>
    <t>EC CENTRALE NANTES</t>
  </si>
  <si>
    <t>0440100V</t>
  </si>
  <si>
    <t>ECOLE CENTRALE DE NANTES</t>
  </si>
  <si>
    <t>ECAM RENNES</t>
  </si>
  <si>
    <t>0352337A</t>
  </si>
  <si>
    <t>ECAM RENNES - LOUIS DE BROGLIE</t>
  </si>
  <si>
    <t>EESA BRETAGNE</t>
  </si>
  <si>
    <t>0352853L</t>
  </si>
  <si>
    <t>ECOLE EUROPEENNE SUPERIEURE D'ART DE BRETAGNE - EESAB</t>
  </si>
  <si>
    <t>EG ANGERS</t>
  </si>
  <si>
    <t>0492202C</t>
  </si>
  <si>
    <t>ECOLE DU GENIE</t>
  </si>
  <si>
    <t>EIGSI LA ROCHELLE</t>
  </si>
  <si>
    <t>0171435T</t>
  </si>
  <si>
    <t>EN BREST</t>
  </si>
  <si>
    <t>0290124C</t>
  </si>
  <si>
    <t>ECOLE NAVALE</t>
  </si>
  <si>
    <t>ENI BREST</t>
  </si>
  <si>
    <t>0290119X</t>
  </si>
  <si>
    <t>ECOLE NATIONALE D'INGENIEURS DE BREST - ENIB</t>
  </si>
  <si>
    <t>ENS ART LIMOGES</t>
  </si>
  <si>
    <t>0870683V</t>
  </si>
  <si>
    <t>ECOLE NATIONALE SUPERIEURE D'ART DE LIMOGES</t>
  </si>
  <si>
    <t>ENS RENNES</t>
  </si>
  <si>
    <t>0352440M</t>
  </si>
  <si>
    <t>ECOLE NORMALE SUPERIEURE DE RENNES - ENS RENNES</t>
  </si>
  <si>
    <t>ENSA BRETAGNE</t>
  </si>
  <si>
    <t>0350089G</t>
  </si>
  <si>
    <t>ECOLE NATIONALE SUPERIEURE D'ARCHITECTURE DE BRETAGNE</t>
  </si>
  <si>
    <t>ENSA NANTES</t>
  </si>
  <si>
    <t>0440104Z</t>
  </si>
  <si>
    <t>ECOLE NATIONALE SUPERIEURE D'ARCHITECTURE DE NANTES</t>
  </si>
  <si>
    <t>ENSA NORMANDIE</t>
  </si>
  <si>
    <t>0760164R</t>
  </si>
  <si>
    <t>ECOLE NATIONALE SUPERIEURE D'ARCHITECTURE DE NORMANDIE</t>
  </si>
  <si>
    <t>ENSAP BORDEAUX</t>
  </si>
  <si>
    <t>0330199M</t>
  </si>
  <si>
    <t>ECOLE NATIONALE SUPERIEURE D'ARCHITECTURE ET DE PAYSAGE DE BORDEAUX</t>
  </si>
  <si>
    <t>ENSC RENNES</t>
  </si>
  <si>
    <t>0350077U</t>
  </si>
  <si>
    <t>ECOLE NATIONALE SUPERIEURE DE CHIMIE DE RENNES</t>
  </si>
  <si>
    <t>ENSCI LIMOGES</t>
  </si>
  <si>
    <t>0870862P</t>
  </si>
  <si>
    <t>ECOLE NATIONALE SUPERIEURE DE CERAMIQUE INDUSTRIELLE - ENSCI</t>
  </si>
  <si>
    <t>ENSI CAEN</t>
  </si>
  <si>
    <t>0141720U</t>
  </si>
  <si>
    <t>ECOLE NATIONALE SUPERIEURE D'INGENIEURS DE CAEN - ENSICAEN</t>
  </si>
  <si>
    <t>ENSM NANTES</t>
  </si>
  <si>
    <t>0442205H</t>
  </si>
  <si>
    <t>ECOLE DES MINES DE NANTES</t>
  </si>
  <si>
    <t>ENSTA BRETAGNE</t>
  </si>
  <si>
    <t>0290125D</t>
  </si>
  <si>
    <t>ECOLE NATIONALE SUPERIEURE DE TECHNIQUES AVANCEES BRETAGNE</t>
  </si>
  <si>
    <t>ES AGRI ANGERS</t>
  </si>
  <si>
    <t>0490072M</t>
  </si>
  <si>
    <t>GROUPE ESA</t>
  </si>
  <si>
    <t>ESAD LE HAVRE</t>
  </si>
  <si>
    <t>0762687H</t>
  </si>
  <si>
    <t>ECOLE SUPERIEURE D'ART ET DESIGN LE HAVRE-ROUEN</t>
  </si>
  <si>
    <t>ESAIP ANGERS</t>
  </si>
  <si>
    <t>0492246A</t>
  </si>
  <si>
    <t>GROUPE ESAIP</t>
  </si>
  <si>
    <t>ESAM CAEN</t>
  </si>
  <si>
    <t>0501738T</t>
  </si>
  <si>
    <t>ESB NANTES</t>
  </si>
  <si>
    <t>0442278M</t>
  </si>
  <si>
    <t>ESBA NANTES</t>
  </si>
  <si>
    <t>0440106B</t>
  </si>
  <si>
    <t>BEAUX-ARTS NANTES</t>
  </si>
  <si>
    <t>ESCEM TOURS-POITIERS</t>
  </si>
  <si>
    <t>0860081W</t>
  </si>
  <si>
    <t>ESEO ANGERS</t>
  </si>
  <si>
    <t>0490075R</t>
  </si>
  <si>
    <t>GROUPE ESEO</t>
  </si>
  <si>
    <t>ESIGELEC ROUEN</t>
  </si>
  <si>
    <t>0762378X</t>
  </si>
  <si>
    <t>ESIGELEC</t>
  </si>
  <si>
    <t>ESITPA ROUEN</t>
  </si>
  <si>
    <t>0763400H</t>
  </si>
  <si>
    <t>ESSCA ANGERS</t>
  </si>
  <si>
    <t>0490076S</t>
  </si>
  <si>
    <t>FAC LIBRE OUEST</t>
  </si>
  <si>
    <t>0490811R</t>
  </si>
  <si>
    <t>ICAM NANTES</t>
  </si>
  <si>
    <t>0442185L</t>
  </si>
  <si>
    <t>INSTITUT CATHOLIQUE D'ARTS ET METIERS DE NANTES</t>
  </si>
  <si>
    <t>IEP BORDEAUX</t>
  </si>
  <si>
    <t>0330192E</t>
  </si>
  <si>
    <t>SCIENCES PO BORDEAUX</t>
  </si>
  <si>
    <t>IEP RENNES</t>
  </si>
  <si>
    <t>0352317D</t>
  </si>
  <si>
    <t>SCIENCES PO RENNES</t>
  </si>
  <si>
    <t>B &amp; E</t>
  </si>
  <si>
    <t>INST OPTIQUE</t>
  </si>
  <si>
    <t>0910725U</t>
  </si>
  <si>
    <t>INSTITUT D'OPTIQUE GRADUATE SCHOOL</t>
  </si>
  <si>
    <t>INST PAUL BOCUSE</t>
  </si>
  <si>
    <t>0693453D</t>
  </si>
  <si>
    <t>INSTITUT PAUL BOCUSE</t>
  </si>
  <si>
    <t>IPEV BREST</t>
  </si>
  <si>
    <t>0292267G</t>
  </si>
  <si>
    <t>INSTITUT POLAIRE FRANCAIS PAUL EMILE VICTOR - IPEV</t>
  </si>
  <si>
    <t>ISMANS LE MANS</t>
  </si>
  <si>
    <t>0721484X</t>
  </si>
  <si>
    <t>ONIRIS NANTES</t>
  </si>
  <si>
    <t>0442674T</t>
  </si>
  <si>
    <t>RECT BORDEAUX</t>
  </si>
  <si>
    <t>0330150J</t>
  </si>
  <si>
    <t>RECTORAT DE BORDEAUX</t>
  </si>
  <si>
    <t>RECT CAEN</t>
  </si>
  <si>
    <t>0140096D</t>
  </si>
  <si>
    <t>RECTORAT DE CAEN</t>
  </si>
  <si>
    <t>RECT GUADELOUPE</t>
  </si>
  <si>
    <t>9711034X</t>
  </si>
  <si>
    <t>RECTORAT DE LA GUADELOUPE</t>
  </si>
  <si>
    <t>RECT GUYANE</t>
  </si>
  <si>
    <t>9730298L</t>
  </si>
  <si>
    <t>RECTORAT DE GUYANE</t>
  </si>
  <si>
    <t>RECT LIMOGES</t>
  </si>
  <si>
    <t>0870059S</t>
  </si>
  <si>
    <t>RECTORAT DE LIMOGES</t>
  </si>
  <si>
    <t>RECT MARTINIQUE</t>
  </si>
  <si>
    <t>9720811Z</t>
  </si>
  <si>
    <t>RECTORAT DE MARTINIQUE</t>
  </si>
  <si>
    <t>RECT NANTES</t>
  </si>
  <si>
    <t>0440087F</t>
  </si>
  <si>
    <t>RECTORAT DE NANTES</t>
  </si>
  <si>
    <t>RECT POITIERS</t>
  </si>
  <si>
    <t>0860054S</t>
  </si>
  <si>
    <t>RECTORAT DE POITIERS</t>
  </si>
  <si>
    <t>RECT RENNES</t>
  </si>
  <si>
    <t>0350063D</t>
  </si>
  <si>
    <t>RECTORAT DE RENNES</t>
  </si>
  <si>
    <t>RECT ROUEN</t>
  </si>
  <si>
    <t>0760150A</t>
  </si>
  <si>
    <t>RECTORAT DE ROUEN</t>
  </si>
  <si>
    <t>TELECOM BRETAGNE</t>
  </si>
  <si>
    <t>0291811L</t>
  </si>
  <si>
    <t>U ANGERS</t>
  </si>
  <si>
    <t>0490970N</t>
  </si>
  <si>
    <t>UNIVERSITE D'ANGERS - UA</t>
  </si>
  <si>
    <t>U ANTILLES</t>
  </si>
  <si>
    <t>9710585J</t>
  </si>
  <si>
    <t>UNIVERSITE DES ANTILLES</t>
  </si>
  <si>
    <t>U BORDEAUX</t>
  </si>
  <si>
    <t>0333298F</t>
  </si>
  <si>
    <t>UNIVERSITE DE BORDEAUX</t>
  </si>
  <si>
    <t>U BORDEAUX 3</t>
  </si>
  <si>
    <t>0331766R</t>
  </si>
  <si>
    <t>UNIVERSITE BORDEAUX MONTAIGNE</t>
  </si>
  <si>
    <t>U BREST</t>
  </si>
  <si>
    <t>0290346U</t>
  </si>
  <si>
    <t>UNIVERSITE DE BRETAGNE OCCIDENTALE - UBO</t>
  </si>
  <si>
    <t>U BRETAGNE-SUD</t>
  </si>
  <si>
    <t>0561718N</t>
  </si>
  <si>
    <t>UNIVERSITE DE BRETAGNE-SUD - UBS</t>
  </si>
  <si>
    <t>U CAEN</t>
  </si>
  <si>
    <t>0141408E</t>
  </si>
  <si>
    <t>UNIVERSITE DE CAEN BASSE-NORMANDIE - UCBN</t>
  </si>
  <si>
    <t>U GUYANE</t>
  </si>
  <si>
    <t>9730429D</t>
  </si>
  <si>
    <t>UNIVERSITE DE LA GUYANE</t>
  </si>
  <si>
    <t>U LA ROCHELLE</t>
  </si>
  <si>
    <t>0171463Y</t>
  </si>
  <si>
    <t>UNIVERSITE DE LA ROCHELLE</t>
  </si>
  <si>
    <t>U LE HAVRE</t>
  </si>
  <si>
    <t>0762762P</t>
  </si>
  <si>
    <t>UNIVERSITE DU HAVRE</t>
  </si>
  <si>
    <t>U LE MANS</t>
  </si>
  <si>
    <t>0720916E</t>
  </si>
  <si>
    <t>UNIVERSITE DU MAINE</t>
  </si>
  <si>
    <t>U LIMOGES</t>
  </si>
  <si>
    <t>0870669E</t>
  </si>
  <si>
    <t>UNIVERSITE DE LIMOGES - UL</t>
  </si>
  <si>
    <t>U NANTES</t>
  </si>
  <si>
    <t>0440984F</t>
  </si>
  <si>
    <t>UNIVERSITE DE NANTES</t>
  </si>
  <si>
    <t>U PAU</t>
  </si>
  <si>
    <t>0640251A</t>
  </si>
  <si>
    <t>UNIVERSITE DE PAU ET DES PAYS DE L'ADOUR - UPPA</t>
  </si>
  <si>
    <t>U POITIERS</t>
  </si>
  <si>
    <t>0860856N</t>
  </si>
  <si>
    <t>UNIVERSITE DE POITIERS</t>
  </si>
  <si>
    <t>U RENNES 1</t>
  </si>
  <si>
    <t>0350936C</t>
  </si>
  <si>
    <t>UNIVERSITE DE RENNES 1</t>
  </si>
  <si>
    <t>U RENNES 2</t>
  </si>
  <si>
    <t>0350937D</t>
  </si>
  <si>
    <t>UNIVERSITE RENNES 2</t>
  </si>
  <si>
    <t>U ROUEN</t>
  </si>
  <si>
    <t>0761904G</t>
  </si>
  <si>
    <t>UNIVERSITE DE ROUEN</t>
  </si>
  <si>
    <t>A</t>
  </si>
  <si>
    <t>CENGEPS LYON</t>
  </si>
  <si>
    <t>CENTRE NATIONAL DE GESTION DES ESSAIS DE PRODUITS DE SANTE - CENGEPS</t>
  </si>
  <si>
    <t>CHU CLERMONT</t>
  </si>
  <si>
    <t>0639451F</t>
  </si>
  <si>
    <t>CENTRE HOSPITALIER UNIVERSITAIRE DE CLERMONT-FERRAND - CHU CLERMONT</t>
  </si>
  <si>
    <t>CHU GRENOBLE</t>
  </si>
  <si>
    <t>0389451S</t>
  </si>
  <si>
    <t>CENTRE HOSPITALIER UNIVERSITAIRE DE GRENOBLE - CHU GRENOBLE</t>
  </si>
  <si>
    <t>CHU LYON - HCL</t>
  </si>
  <si>
    <t>0699451Y</t>
  </si>
  <si>
    <t>HOSPICES CIVILS DE LYON - CHU LYON</t>
  </si>
  <si>
    <t>CHU MONTPELLIER</t>
  </si>
  <si>
    <t>0349451N</t>
  </si>
  <si>
    <t>CENTRE HOSPITALIER UNIVERSITAIRE DE MONTPELLIER - CHU MONTPELLIER</t>
  </si>
  <si>
    <t>CHU NIMES</t>
  </si>
  <si>
    <t>0309451N</t>
  </si>
  <si>
    <t>CENTRE HOSPITALIER UNIVERSITAIRE DE NIMES - CHU NIMES</t>
  </si>
  <si>
    <t>CHU ST-ETIENNE</t>
  </si>
  <si>
    <t>0429451V</t>
  </si>
  <si>
    <t>CENTRE HOSPITALIER UNIVERSITAIRE DE ST-ETIENNE - CHU ST-ETIENNE</t>
  </si>
  <si>
    <t>CHU TOULOUSE</t>
  </si>
  <si>
    <t>0319451E</t>
  </si>
  <si>
    <t>CENTRE HOSPITALIER UNIVERSITAIRE DE TOULOUSE - CHU TOULOUSE</t>
  </si>
  <si>
    <t>CLCC CLERMONT - CJP</t>
  </si>
  <si>
    <t>0639452F</t>
  </si>
  <si>
    <t>CENTRE DE LUTTE CONTRE LE CANCER DE CLERMONT-FERRAND - CENTRE JEAN PERRIN</t>
  </si>
  <si>
    <t>CLCC LYON - CLB</t>
  </si>
  <si>
    <t>CENTRE DE LUTTE CONTRE LE CANCER DE LYON - CENTRE LEON BERARD</t>
  </si>
  <si>
    <t>CLCC MONTPELLIER - CVAPL</t>
  </si>
  <si>
    <t>CENTRE DE LUTTE CONTRE LE CANCER DE MONTPELLIER - CENTRE VAL D'AURELLE PAUL LAMARQUE</t>
  </si>
  <si>
    <t>CLCC TOULOUSE - ICR</t>
  </si>
  <si>
    <t>CENTRE DE LUTTE CONTRE LE CANCER DE TOULOUSE - INSTITUT CLAUDIUS REGAUD</t>
  </si>
  <si>
    <t>CNFM GRENOBLE</t>
  </si>
  <si>
    <t>COORDINATION NATIONALE POUR LA FORMATION EN MICRO ELECTRONIQUE ET EN NANOTECHNOLOGIES - CNFM</t>
  </si>
  <si>
    <t>CNSMD LYON</t>
  </si>
  <si>
    <t>0693133F</t>
  </si>
  <si>
    <t>CONSERVATOIRE NATIONAL SUPERIEUR MUSIQUE ET DANSE DE LYON</t>
  </si>
  <si>
    <t>COMUE LYON</t>
  </si>
  <si>
    <t>0694094A</t>
  </si>
  <si>
    <t>UNIVERSITE DE LYON</t>
  </si>
  <si>
    <t>COMUE TOULOUSE</t>
  </si>
  <si>
    <t>0312758E</t>
  </si>
  <si>
    <t>CPE LYON</t>
  </si>
  <si>
    <t>0693623N</t>
  </si>
  <si>
    <t>EC CENTRALE LYON</t>
  </si>
  <si>
    <t>0690187D</t>
  </si>
  <si>
    <t>ECOLE CENTRALE DE LYON</t>
  </si>
  <si>
    <t>ECAM LYON</t>
  </si>
  <si>
    <t>0690194L</t>
  </si>
  <si>
    <t>ECAM LYON GRADUATE SCHOOL OF ENGINEERING</t>
  </si>
  <si>
    <t>EM LYON</t>
  </si>
  <si>
    <t>0690197P</t>
  </si>
  <si>
    <t>EMLYON BUSINESS SCHOOL</t>
  </si>
  <si>
    <t>EMBL GRENOBLE</t>
  </si>
  <si>
    <t>EUROPEAN MOLECULAR BIOLOGY LABORATORY</t>
  </si>
  <si>
    <t>EN3S ST-ETIENNE</t>
  </si>
  <si>
    <t>0421879P</t>
  </si>
  <si>
    <t>ECOLE DES DIRIGEANTS DE LA PROTECTION SOCIALE - EN3S</t>
  </si>
  <si>
    <t>ENAC TOULOUSE</t>
  </si>
  <si>
    <t>0311256X</t>
  </si>
  <si>
    <t>ENFA TOULOUSE</t>
  </si>
  <si>
    <t>0310143M</t>
  </si>
  <si>
    <t>ECOLE NATIONALE DE FORMATION AGRONOMIQUE DE TOULOUSE - AUZEVILLE - ENFA</t>
  </si>
  <si>
    <t>ENI ST-ETIENNE</t>
  </si>
  <si>
    <t>0420093Y</t>
  </si>
  <si>
    <t>ECOLE NATIONALE D'INGENIEURS DE SAINT-ETIENNE - ENISE</t>
  </si>
  <si>
    <t>ENI TARBES</t>
  </si>
  <si>
    <t>0650048Z</t>
  </si>
  <si>
    <t>ECOLE NATIONALE D'INGENIEURS DE TARBES - ENIT</t>
  </si>
  <si>
    <t>ENM TOULOUSE</t>
  </si>
  <si>
    <t>0312069F</t>
  </si>
  <si>
    <t>ENS LYON</t>
  </si>
  <si>
    <t>0694123G</t>
  </si>
  <si>
    <t>ENS DE LYON</t>
  </si>
  <si>
    <t>ENSA CLERMONT</t>
  </si>
  <si>
    <t>0631287G</t>
  </si>
  <si>
    <t>ECOLE NATIONALE SUPERIEURE D'ARCHITECTURE DE CLERMONT-FERRAND</t>
  </si>
  <si>
    <t>ENSA GRENOBLE</t>
  </si>
  <si>
    <t>0380141X</t>
  </si>
  <si>
    <t>ECOLE NATIONALE SUPERIEURE D'ARCHITECTURE DE GRENOBLE</t>
  </si>
  <si>
    <t>ENSA LYON</t>
  </si>
  <si>
    <t>0690184A</t>
  </si>
  <si>
    <t>ECOLE NATIONALE SUPERIEURE D'ARCHITECTURE DE LYON</t>
  </si>
  <si>
    <t>ENSA MONTPELLIER</t>
  </si>
  <si>
    <t>0340132J</t>
  </si>
  <si>
    <t>ECOLE NATIONALE SUPERIEURE D'ARCHITECTURE MONTPELLIER</t>
  </si>
  <si>
    <t>ENSA ST-ETIENNE</t>
  </si>
  <si>
    <t>0421614B</t>
  </si>
  <si>
    <t>ECOLE NATIONALE SUPERIEURE D'ARCHITECTURE DE SAINT-ETIENNE</t>
  </si>
  <si>
    <t>ENSA TOULOUSE</t>
  </si>
  <si>
    <t>0310150V</t>
  </si>
  <si>
    <t>ECOLE NATIONALE SUPERIEURE D'ARCHITECTURE DE TOULOUSE</t>
  </si>
  <si>
    <t>ENSATT LYON</t>
  </si>
  <si>
    <t>0693735K</t>
  </si>
  <si>
    <t>ECOLE NATIONALE SUPERIEURE DES ARTS ET TECHNIQUES DU THEATRE - ENSATT</t>
  </si>
  <si>
    <t>ENSBA LYON</t>
  </si>
  <si>
    <t>0690185B</t>
  </si>
  <si>
    <t>ECOLE NATIONALE SUPERIEURE DES BEAUX-ARTS DE LYON</t>
  </si>
  <si>
    <t>ENSC MONTPELLIER</t>
  </si>
  <si>
    <t>0340112M</t>
  </si>
  <si>
    <t>ECOLE NATIONALE SUPERIEURE DE CHIMIE DE MONTPELLIER - ENSCM</t>
  </si>
  <si>
    <t>ENSM ALBI</t>
  </si>
  <si>
    <t>0811200P</t>
  </si>
  <si>
    <t>MINES ALBI-CARMEAUX</t>
  </si>
  <si>
    <t>ENSM ST-ETIENNE</t>
  </si>
  <si>
    <t>0420094Z</t>
  </si>
  <si>
    <t>MINES SAINT-ETIENNE</t>
  </si>
  <si>
    <t>ENSSIB LYON</t>
  </si>
  <si>
    <t>0692459Y</t>
  </si>
  <si>
    <t>ECOLE NATIONALE SUPERIEURE DES SCIENCES DE L'INFORMATION ET DES BIBLIOTHEQUES - ENSSIB</t>
  </si>
  <si>
    <t>ENTPE LYON</t>
  </si>
  <si>
    <t>0692566P</t>
  </si>
  <si>
    <t>ECOLE NATIONALE DES TRAVAUX PUBLICS DE L'ETAT - ENTPE</t>
  </si>
  <si>
    <t>ENV TOULOUSE</t>
  </si>
  <si>
    <t>0310153Y</t>
  </si>
  <si>
    <t>ECOLE NATIONALE VETERINAIRE DE TOULOUSE - ENVT</t>
  </si>
  <si>
    <t>ESA CLERMONT</t>
  </si>
  <si>
    <t>0630105X</t>
  </si>
  <si>
    <t>ECOLE SUPERIEURE D'ART DE CLERMONT METROPOLE - ESACM</t>
  </si>
  <si>
    <t>ESA PYRENEES</t>
  </si>
  <si>
    <t>0642089Y</t>
  </si>
  <si>
    <t>ECOLE SUPERIEURE D'ART DES PYRENEES - PAU TARBES</t>
  </si>
  <si>
    <t>ESAD GRENOBLE</t>
  </si>
  <si>
    <t>0383458C</t>
  </si>
  <si>
    <t>ECOLE SUPERIEURE D'ART ET DESIGN GRENOBLE VALENCE</t>
  </si>
  <si>
    <t>ESAD ST-ETIENNE</t>
  </si>
  <si>
    <t>0420092X</t>
  </si>
  <si>
    <t>ECOLE SUPERIEURE D'ART ET DESIGN SAINT-ETIENNE - ESADSE</t>
  </si>
  <si>
    <t>ESBA MONTPELLIER</t>
  </si>
  <si>
    <t>0341573A</t>
  </si>
  <si>
    <t>ESBA NIMES</t>
  </si>
  <si>
    <t>0301090X</t>
  </si>
  <si>
    <t>ESC CLERMONT</t>
  </si>
  <si>
    <t>0630109B</t>
  </si>
  <si>
    <t>ESC CLERMONT GRADUATE SCHOOL OF MANAGEMENT</t>
  </si>
  <si>
    <t>GRENOBLE INP</t>
  </si>
  <si>
    <t>0381912X</t>
  </si>
  <si>
    <t>HEART PERPIGNAN</t>
  </si>
  <si>
    <t>0660517D</t>
  </si>
  <si>
    <t>IAM MONTPELLIER</t>
  </si>
  <si>
    <t>0340133K</t>
  </si>
  <si>
    <t>ICAM TOULOUSE</t>
  </si>
  <si>
    <t>0312421N</t>
  </si>
  <si>
    <t>INSTITUT CATHOLIQUE D'ARTS ET METIERS DE TOULOUSE - ICAM</t>
  </si>
  <si>
    <t>IDRAC LYON</t>
  </si>
  <si>
    <t>0693180G</t>
  </si>
  <si>
    <t>IDRAC BUSINESS SCHOOL</t>
  </si>
  <si>
    <t>IEP GRENOBLE</t>
  </si>
  <si>
    <t>0380134P</t>
  </si>
  <si>
    <t>SCIENCES PO GRENOBLE</t>
  </si>
  <si>
    <t>IEP LYON</t>
  </si>
  <si>
    <t>0690173N</t>
  </si>
  <si>
    <t>SCIENCES PO LYON</t>
  </si>
  <si>
    <t>IEP TOULOUSE</t>
  </si>
  <si>
    <t>0310133B</t>
  </si>
  <si>
    <t>SCIENCES PO TOULOUSE</t>
  </si>
  <si>
    <t>INP TOULOUSE</t>
  </si>
  <si>
    <t>0311381H</t>
  </si>
  <si>
    <t>INSTITUT NATIONAL POLYTECHNIQUE DE TOULOUSE - INP TOULOUSE</t>
  </si>
  <si>
    <t>INSA LYON</t>
  </si>
  <si>
    <t>0690192J</t>
  </si>
  <si>
    <t>INSTITUT NATIONAL DES SCIENCES APPLIQUEES DE LYON</t>
  </si>
  <si>
    <t>INSA TOULOUSE</t>
  </si>
  <si>
    <t>0310152X</t>
  </si>
  <si>
    <t>INSTITUT NATIONAL DES SCIENCES APPLIQUEES DE TOULOUSE</t>
  </si>
  <si>
    <t>INST CATHO LYON</t>
  </si>
  <si>
    <t>0690195M</t>
  </si>
  <si>
    <t>INSTITUT CATHOLIQUE DE LYON - UCLY</t>
  </si>
  <si>
    <t>INST CATHO TOULOUSE</t>
  </si>
  <si>
    <t>0310155A</t>
  </si>
  <si>
    <t xml:space="preserve">INSTITUT CATHOLIQUE DE TOULOUSE </t>
  </si>
  <si>
    <t>INST U JFCHAMPOLLION</t>
  </si>
  <si>
    <t>0811293R</t>
  </si>
  <si>
    <t>INSTITUT NATIONAL UNIVERSITAIRE JEAN-FRANCOIS CHAMPOLLION</t>
  </si>
  <si>
    <t>ISAE TOULOUSE</t>
  </si>
  <si>
    <t>0312760G</t>
  </si>
  <si>
    <t>INSTITUT SUPERIEUR DE L'AERONAUTIQUE ET DE L'ESPACE - ISAE</t>
  </si>
  <si>
    <t>ISARA LYON</t>
  </si>
  <si>
    <t>0692353H</t>
  </si>
  <si>
    <t>ISARA-LYON</t>
  </si>
  <si>
    <t>ISDA TOULOUSE</t>
  </si>
  <si>
    <t>0310144N</t>
  </si>
  <si>
    <t>ITECH LYON</t>
  </si>
  <si>
    <t>0693364G</t>
  </si>
  <si>
    <t>ITECH-LYON</t>
  </si>
  <si>
    <t>MONTPELLIER SUPAGRO</t>
  </si>
  <si>
    <t>0342222F</t>
  </si>
  <si>
    <t>RECT CLERMONT</t>
  </si>
  <si>
    <t>0630081W</t>
  </si>
  <si>
    <t>RECTORAT DE CLERMONT-FERRAND</t>
  </si>
  <si>
    <t>RECT GRENOBLE</t>
  </si>
  <si>
    <t>0380105H</t>
  </si>
  <si>
    <t>RECTORAT DE GRENOBLE</t>
  </si>
  <si>
    <t>RECT LYON</t>
  </si>
  <si>
    <t>0690133V</t>
  </si>
  <si>
    <t>RECTORAT DE LYON</t>
  </si>
  <si>
    <t>RECT MONTPELLIER</t>
  </si>
  <si>
    <t>0340094T</t>
  </si>
  <si>
    <t>RECTORAT DE MONTPELLIER</t>
  </si>
  <si>
    <t>RECT TOULOUSE</t>
  </si>
  <si>
    <t>0310094J</t>
  </si>
  <si>
    <t>RECTORAT DE TOULOUSE</t>
  </si>
  <si>
    <t>SIGMA CLERMONT</t>
  </si>
  <si>
    <t>0632033T</t>
  </si>
  <si>
    <t>ECOLE D'INGENIEURS SIGMA CLERMONT</t>
  </si>
  <si>
    <t>SUP DE CO MONTPELLIER</t>
  </si>
  <si>
    <t>0340137P</t>
  </si>
  <si>
    <t>GROUPE SUP DE CO MONTPELLIER BUSINESS SCHOOL</t>
  </si>
  <si>
    <t>TOULOUSE BS</t>
  </si>
  <si>
    <t>0310156B</t>
  </si>
  <si>
    <t>TOULOUSE BUSINESS SCHOOL - TBS</t>
  </si>
  <si>
    <t>U CHAMBERY</t>
  </si>
  <si>
    <t>0730858L</t>
  </si>
  <si>
    <t>UNIVERSITE SAVOIE MONT BLANC</t>
  </si>
  <si>
    <t>U CLERMONT AUVERGNE</t>
  </si>
  <si>
    <t>0631987T</t>
  </si>
  <si>
    <t>UNIVERSITE CLERMONT AUVERGNE</t>
  </si>
  <si>
    <t>U GRENOBLE ALPES</t>
  </si>
  <si>
    <t>0383412C</t>
  </si>
  <si>
    <t>UNIVERSITE GRENOBLE ALPES - UGA</t>
  </si>
  <si>
    <t>U LYON 1</t>
  </si>
  <si>
    <t>0691774D</t>
  </si>
  <si>
    <t>UNIVERSITE CLAUDE BERNARD LYON 1 - UCBL</t>
  </si>
  <si>
    <t>U LYON 2</t>
  </si>
  <si>
    <t>0691775E</t>
  </si>
  <si>
    <t>UNIVERSITE LUMIERE - LYON 2</t>
  </si>
  <si>
    <t>U LYON 3</t>
  </si>
  <si>
    <t>0692437Z</t>
  </si>
  <si>
    <t>UNIVERSITE LYON 3  JEAN MOULIN</t>
  </si>
  <si>
    <t>U MONTPELLIER</t>
  </si>
  <si>
    <t>0342321N</t>
  </si>
  <si>
    <t>UNIVERSITE DE MONTPELLIER</t>
  </si>
  <si>
    <t>U MONTPELLIER 3</t>
  </si>
  <si>
    <t>0341089Z</t>
  </si>
  <si>
    <t>UNIVERSITE PAUL-VALERY MONTPELLIER 3</t>
  </si>
  <si>
    <t>U NIMES</t>
  </si>
  <si>
    <t>0301687W</t>
  </si>
  <si>
    <t>UNIVERSITE DE NIMES - UNIMES</t>
  </si>
  <si>
    <t>U PERPIGNAN</t>
  </si>
  <si>
    <t>0660437S</t>
  </si>
  <si>
    <t>UNIVERSITE DE PERPIGNAN VIA DOMITIA - UPVD</t>
  </si>
  <si>
    <t>U ST-ETIENNE</t>
  </si>
  <si>
    <t>0421095M</t>
  </si>
  <si>
    <t>UNIVERSITE JEAN MONNET SAINT-ETIENNE - UJM</t>
  </si>
  <si>
    <t>U TOULOUSE 1</t>
  </si>
  <si>
    <t>0311382J</t>
  </si>
  <si>
    <t>UNIVERSITE TOULOUSE 1 CAPITOLE - UT1</t>
  </si>
  <si>
    <t>U TOULOUSE 2</t>
  </si>
  <si>
    <t>0311383K</t>
  </si>
  <si>
    <t xml:space="preserve">UNIVERSITE TOULOUSE - JEAN JAURES </t>
  </si>
  <si>
    <t>U TOULOUSE 3</t>
  </si>
  <si>
    <t>0311384L</t>
  </si>
  <si>
    <t>UNIVERSITE TOULOUSE 3 - PAUL SABATIER - UPS</t>
  </si>
  <si>
    <t>VETAGROSUP LYON</t>
  </si>
  <si>
    <t>0690193K</t>
  </si>
  <si>
    <t>VETAGRO SUP</t>
  </si>
  <si>
    <t>D</t>
  </si>
  <si>
    <t>CLCC VILLEJUIF -- IGR</t>
  </si>
  <si>
    <t>CENTRE DE LUTTE CONTRE LE CANCER DE VILLEJUIF - INSTITUT GUSTAVE ROUSSY</t>
  </si>
  <si>
    <t>CNAM</t>
  </si>
  <si>
    <t>0753471R</t>
  </si>
  <si>
    <t>CONSERVATOIRE NATIONAL DES ARTS ET METIERS - CNAM</t>
  </si>
  <si>
    <t>COLL DE FRANCE</t>
  </si>
  <si>
    <t>0753480A</t>
  </si>
  <si>
    <t>COLLEGE DE FRANCE</t>
  </si>
  <si>
    <t>COMUE HESAM</t>
  </si>
  <si>
    <t>0755581J</t>
  </si>
  <si>
    <t>HAUTES ETUDES SORBONNE ARTS ET METIERS - HESAM</t>
  </si>
  <si>
    <t>COMUE PSL</t>
  </si>
  <si>
    <t>0755575C</t>
  </si>
  <si>
    <t>PSL RESEARCH UNIVERSITY</t>
  </si>
  <si>
    <t>COMUE SORBONNE U</t>
  </si>
  <si>
    <t>0755574B</t>
  </si>
  <si>
    <t>COMUE SPC</t>
  </si>
  <si>
    <t>0755598C</t>
  </si>
  <si>
    <t>EHESP RENNES</t>
  </si>
  <si>
    <t>0350095N</t>
  </si>
  <si>
    <t>ECOLE DES HAUTES ETUDES EN SANTE PUBLIQUE - EHESP</t>
  </si>
  <si>
    <t>EHESS</t>
  </si>
  <si>
    <t>0753742K</t>
  </si>
  <si>
    <t>ECOLE DES HAUTES ETUDES EN SCIENCES SOCIALES - EHESS</t>
  </si>
  <si>
    <t>ENC PARIS</t>
  </si>
  <si>
    <t>0753478Y</t>
  </si>
  <si>
    <t>ECOLE NATIONALE DES CHARTES</t>
  </si>
  <si>
    <t>ENS PARIS</t>
  </si>
  <si>
    <t>0753455Y</t>
  </si>
  <si>
    <t>ECOLE NORMALE SUPERIEURE - ENS</t>
  </si>
  <si>
    <t>ENSA PARIS-LA-VILLETTE</t>
  </si>
  <si>
    <t>0751875F</t>
  </si>
  <si>
    <t>ECOLE NATIONALE SUPERIEURE D'ARCHITECTURE DE PARIS LA VILLETTE - ENSAPLV</t>
  </si>
  <si>
    <t>ENSA PARIS-VAL-DE-SEINE</t>
  </si>
  <si>
    <t>0754540C</t>
  </si>
  <si>
    <t>ECOLE NATIONALE SUPERIEURE D'ARCHITECTURE  PARIS-VAL DE SEINE</t>
  </si>
  <si>
    <t>ENSAM</t>
  </si>
  <si>
    <t>0753237L</t>
  </si>
  <si>
    <t>ARTS ET METIERS PARISTECH - ECOLE NATIONALE SUPERIEURE DES ARTS ET METIERS</t>
  </si>
  <si>
    <t>ENSC PARIS</t>
  </si>
  <si>
    <t>0753375L</t>
  </si>
  <si>
    <t>CHIMIE PARISTECH</t>
  </si>
  <si>
    <t>ENSM PARIS</t>
  </si>
  <si>
    <t>0753493P</t>
  </si>
  <si>
    <t>MINES PARISTECH</t>
  </si>
  <si>
    <t>EPHE</t>
  </si>
  <si>
    <t>0753486G</t>
  </si>
  <si>
    <t>ECOLE PRATIQUE DES HAUTES ETUDES - EPHE</t>
  </si>
  <si>
    <t>ESIEE PARIS</t>
  </si>
  <si>
    <t>0932019P</t>
  </si>
  <si>
    <t>ESPCI PARIS</t>
  </si>
  <si>
    <t>0753429V</t>
  </si>
  <si>
    <t>ESPCI PARISTECH</t>
  </si>
  <si>
    <t>ESTP PARIS</t>
  </si>
  <si>
    <t>0753607N</t>
  </si>
  <si>
    <t>IAE PARIS</t>
  </si>
  <si>
    <t>0753364Z</t>
  </si>
  <si>
    <t>IAE DE PARIS - SORBONNE GRADUATE BUSINESS SCHOOL</t>
  </si>
  <si>
    <t>IEP PARIS</t>
  </si>
  <si>
    <t>0753431X</t>
  </si>
  <si>
    <t>SCIENCES PO</t>
  </si>
  <si>
    <t>IEP ST-GERMAIN</t>
  </si>
  <si>
    <t>0783640H</t>
  </si>
  <si>
    <t>SCIENCES PO SAINT-GERMAIN-EN-LAYE - INSTITUT D'ETUDES POLITIQUES</t>
  </si>
  <si>
    <t>IGAL-ISA BEAUVAIS</t>
  </si>
  <si>
    <t>0600071B</t>
  </si>
  <si>
    <t>INSTITUT POLYTECHNIQUE LASALLE BEAUVAIS</t>
  </si>
  <si>
    <t>INALCO</t>
  </si>
  <si>
    <t>0753488J</t>
  </si>
  <si>
    <t>INSTITUT NATIONAL DES LANGUES ET CIVILISATIONS ORIENTALES - INALCO</t>
  </si>
  <si>
    <t>INHA</t>
  </si>
  <si>
    <t>0755026F</t>
  </si>
  <si>
    <t>INSTITUT NATIONAL D'HISTOIRE DE L'ART - INHA</t>
  </si>
  <si>
    <t>INSEP</t>
  </si>
  <si>
    <t>0752559Z</t>
  </si>
  <si>
    <t>INSTITUT NATIONAL DU SPORT, DE L'EXPERTISE ET DE LA PERFORMANCE - INSEP</t>
  </si>
  <si>
    <t>INST CATHO PARIS</t>
  </si>
  <si>
    <t>0753541S</t>
  </si>
  <si>
    <t>INSTITUT CATHOLIQUE DE PARIS - ICP</t>
  </si>
  <si>
    <t>INST CURIE</t>
  </si>
  <si>
    <t>0753172R</t>
  </si>
  <si>
    <t>INSTITUT CURIE</t>
  </si>
  <si>
    <t>INST MINES-TELECOM</t>
  </si>
  <si>
    <t>0755661W</t>
  </si>
  <si>
    <t>INSTITUT MINES-TELECOM</t>
  </si>
  <si>
    <t>IPGP</t>
  </si>
  <si>
    <t>0753428U</t>
  </si>
  <si>
    <t>INSTITUT DE PHYSIQUE DU GLOBE DE PARIS - IPGP</t>
  </si>
  <si>
    <t>MNHN</t>
  </si>
  <si>
    <t>0753494R</t>
  </si>
  <si>
    <t>MUSEUM NATIONAL D'HISTOIRE NATURELLE - MNHN</t>
  </si>
  <si>
    <t>MSH PARIS</t>
  </si>
  <si>
    <t>0753655R</t>
  </si>
  <si>
    <t>FONDATION MAISON DES SCIENCES DE L'HOMME - FMSH</t>
  </si>
  <si>
    <t>OBS PARIS</t>
  </si>
  <si>
    <t>0753496T</t>
  </si>
  <si>
    <t>L'OBSERVATOIRE DE PARIS</t>
  </si>
  <si>
    <t>PARISTECH</t>
  </si>
  <si>
    <t>0755282J</t>
  </si>
  <si>
    <t>PARISTECH - INSTITUT DES SCIENCES ET TECHNOLOGIES - PARIS INSTITUTE OF TECHNOLOGY</t>
  </si>
  <si>
    <t>SORBONNE UNIVERSITÉ</t>
  </si>
  <si>
    <t>0755890V</t>
  </si>
  <si>
    <t>SORBONNE UNIVERSITÉ (fusion UPMC, U_PARIS_6 &amp; Paris Sorbonne, U_PARIS_4)</t>
  </si>
  <si>
    <t>U PARIS 1</t>
  </si>
  <si>
    <t>0751717J</t>
  </si>
  <si>
    <t>UNIVERSITE PARIS 1 PANTHEON-SORBONNE</t>
  </si>
  <si>
    <t>U PARIS 13</t>
  </si>
  <si>
    <t>0931238R</t>
  </si>
  <si>
    <t xml:space="preserve">UNIVERSITE PARIS 13 </t>
  </si>
  <si>
    <t>U PARIS 2</t>
  </si>
  <si>
    <t>0751718K</t>
  </si>
  <si>
    <t>UNIVERSITE PANTHEON-ASSAS PARIS II</t>
  </si>
  <si>
    <t>U PARIS 3</t>
  </si>
  <si>
    <t>0751719L</t>
  </si>
  <si>
    <t>UNIVERSITE SORBONNE NOUVELLE - PARIS 3</t>
  </si>
  <si>
    <t>U PARIS 4</t>
  </si>
  <si>
    <t>0751720M</t>
  </si>
  <si>
    <t>UNIVERSITE PARIS-SORBONNE</t>
  </si>
  <si>
    <t>U PARIS 5</t>
  </si>
  <si>
    <t>0751721N</t>
  </si>
  <si>
    <t>UNIVERSITE PARIS DESCARTES</t>
  </si>
  <si>
    <t>U PARIS 6</t>
  </si>
  <si>
    <t>0751722P</t>
  </si>
  <si>
    <t>UNIVERSITE PIERRE ET MARIE CURIE - UPMC</t>
  </si>
  <si>
    <t>U PARIS 7</t>
  </si>
  <si>
    <t>0751723R</t>
  </si>
  <si>
    <t>UNIVERSITE PARIS DIDEROT - PARIS 7</t>
  </si>
  <si>
    <t>U PARIS-DAUPHINE</t>
  </si>
  <si>
    <t>0750736T</t>
  </si>
  <si>
    <t>UNIVERSITE PARIS-DAUPHINE</t>
  </si>
  <si>
    <t>D / E</t>
  </si>
  <si>
    <t>APHP</t>
  </si>
  <si>
    <t>ASSISTANCE PUBLIQUE HOPITAUX DE PARIS - APHP</t>
  </si>
  <si>
    <t>E</t>
  </si>
  <si>
    <t>AGROPARISTECH</t>
  </si>
  <si>
    <t>0753465J</t>
  </si>
  <si>
    <t>AGROPARISTECH - INSTITUT DES SCIENCES ET INDUSTRIES DU VIVANT ET DE L'ENVIRONNEMENT</t>
  </si>
  <si>
    <t>CENTRALE-SUPELEC</t>
  </si>
  <si>
    <t>0912341A</t>
  </si>
  <si>
    <t>CHRU LILLE</t>
  </si>
  <si>
    <t>0599451C</t>
  </si>
  <si>
    <t>CENTRE HOSPITALIER REGIONAL ET UNIVERSITAIRE DE LILLE - CHRU LILLE</t>
  </si>
  <si>
    <t>CLCC LILLE - COL</t>
  </si>
  <si>
    <t>CENTRE DE LUTTE CONTRE LE CANCER DE LILLE - CENTRE OSCAR LAMBRET</t>
  </si>
  <si>
    <t>COMUE LILLE</t>
  </si>
  <si>
    <t>0596870X</t>
  </si>
  <si>
    <t>COMUE LILLE NORD DE FRANCE</t>
  </si>
  <si>
    <t>COMUE PARIS-EST</t>
  </si>
  <si>
    <t>0772710C</t>
  </si>
  <si>
    <t>UNIVERSITE PARIS-EST</t>
  </si>
  <si>
    <t>COMUE PARIS-LUMIERES</t>
  </si>
  <si>
    <t>0755698L</t>
  </si>
  <si>
    <t>UNIVERSITE PARIS LUMIERES - UPL</t>
  </si>
  <si>
    <t>COMUE PARIS-SEINE</t>
  </si>
  <si>
    <t>0783617H</t>
  </si>
  <si>
    <t>UNIVERSITE PARIS SEINE</t>
  </si>
  <si>
    <t>CSTB</t>
  </si>
  <si>
    <t>0942226J</t>
  </si>
  <si>
    <t>CENTRE SCIENTIFIQUE ET TECHNIQUE DU BATIMENT - CSTB</t>
  </si>
  <si>
    <t>EBI</t>
  </si>
  <si>
    <t>0951820M</t>
  </si>
  <si>
    <t>ÉCOLE DE BIOLOGIE INDUSTRIELLE</t>
  </si>
  <si>
    <t>EC CENTRALE LILLE</t>
  </si>
  <si>
    <t>0590349J</t>
  </si>
  <si>
    <t>ECOLE CENTRALE DE LILLE</t>
  </si>
  <si>
    <t>EC LOUVRE</t>
  </si>
  <si>
    <t>0753489K</t>
  </si>
  <si>
    <t>ECOLE DU LOUVRE</t>
  </si>
  <si>
    <t>EC POLYTECHNIQUE</t>
  </si>
  <si>
    <t>0911568K</t>
  </si>
  <si>
    <t>ECOLE POLYTECHNIQUE</t>
  </si>
  <si>
    <t>EDHEC LILLE</t>
  </si>
  <si>
    <t>0590350K</t>
  </si>
  <si>
    <t>EDHEC BUSINESS SCHOOL</t>
  </si>
  <si>
    <t>EISTI CERGY</t>
  </si>
  <si>
    <t>0951623Y</t>
  </si>
  <si>
    <t>EIVP PARIS</t>
  </si>
  <si>
    <t>0750043P</t>
  </si>
  <si>
    <t>ECOLE DES INGENIEURS DE LA VILLE DE PARIS - EIVP</t>
  </si>
  <si>
    <t>ENPC</t>
  </si>
  <si>
    <t>0772517T</t>
  </si>
  <si>
    <t>ENS ART PARIS-CERGY</t>
  </si>
  <si>
    <t>0951310H</t>
  </si>
  <si>
    <t>ECOLE NATIONALE SUPERIEURE D'ART DE PARIS-CERGY - ENSAPC</t>
  </si>
  <si>
    <t>ENS CACHAN</t>
  </si>
  <si>
    <t>0940607Z</t>
  </si>
  <si>
    <t>ENSA PARIS-BELLEVILLE</t>
  </si>
  <si>
    <t>0751877H</t>
  </si>
  <si>
    <t>ECOLE NATIONALE SUPERIEURE D'ARCHITECTURE DE PARIS-BELLEVILLE - ENSAPB</t>
  </si>
  <si>
    <t>ENSA PARIS-MALAQUAIS</t>
  </si>
  <si>
    <t>0751871B</t>
  </si>
  <si>
    <t>ECOLE NATIONALE SUPERIEURE D'ARCHITECTURE  PARIS-MALAQUAIS</t>
  </si>
  <si>
    <t>ENSA VERSAILLES</t>
  </si>
  <si>
    <t>0780412Z</t>
  </si>
  <si>
    <t>ECOLE NATIONALE SUPERIEURE D'ARCHITECTURE  DE VERSAILLES</t>
  </si>
  <si>
    <t>ENSAIT ROUBAIX</t>
  </si>
  <si>
    <t>0590338X</t>
  </si>
  <si>
    <t>ECOLE NATIONALE SUPERIEURE DES ARTS ET INDUSTRIES TEXTILES - ENSAIT</t>
  </si>
  <si>
    <t>ENSAP LILLE</t>
  </si>
  <si>
    <t>0590337W</t>
  </si>
  <si>
    <t>ECOLE NATIONALE SUPERIEURE D'ARCHITECTURE ET DE PAYSAGE DE LILLE</t>
  </si>
  <si>
    <t>ENSAVT MARNE-LA-VALLEE</t>
  </si>
  <si>
    <t>0772551E</t>
  </si>
  <si>
    <t>ECOLE D'ARCHITECTURE DE LA VILLE ET DES TERRITOIRES</t>
  </si>
  <si>
    <t>ENSC LILLE</t>
  </si>
  <si>
    <t>0590311T</t>
  </si>
  <si>
    <t>ECOLE NATIONALE SUPERIEURE DE CHIMIE DE LILLE</t>
  </si>
  <si>
    <t>ENSEA CERGY</t>
  </si>
  <si>
    <t>0951376E</t>
  </si>
  <si>
    <t>ECOLE NATIONALE SUPERIEURE DE L'ELECTRONIQUE ET DE SES APPLICATIONS</t>
  </si>
  <si>
    <t>ENSIIE EVRY</t>
  </si>
  <si>
    <t>0912266U</t>
  </si>
  <si>
    <t>ECOLE NATIONALE SUPERIEURE D'INFORMATIQUE POUR L'INDUSTRIE ET L'ENTREPRISE - ENSIIE</t>
  </si>
  <si>
    <t>ENSP VERSAILLES</t>
  </si>
  <si>
    <t>0782019W</t>
  </si>
  <si>
    <t>ECOLE NATIONALE SUPERIEURE DE PAYSAGE DE VERSAILLES MARSEILLE</t>
  </si>
  <si>
    <t>ENSTA PARIS</t>
  </si>
  <si>
    <t>0912318A</t>
  </si>
  <si>
    <t>ECOLE NATIONALE SUPERIEURE DE TECHNIQUES AVANCEES - ENSTA PARISTECH</t>
  </si>
  <si>
    <t>ENV MAISONS-ALFORT</t>
  </si>
  <si>
    <t>0940608A</t>
  </si>
  <si>
    <t>ECOLE NATIONALE VETERINAIRE D'ALFORT - ENVA</t>
  </si>
  <si>
    <t>ESA LA REUNION</t>
  </si>
  <si>
    <t>9741068M</t>
  </si>
  <si>
    <t>ECOLE SUPERIEURE D'ART DE LA REUNION</t>
  </si>
  <si>
    <t>ESA NPDC DUNKERQUE-TOURCOING</t>
  </si>
  <si>
    <t>0590340Z</t>
  </si>
  <si>
    <t>ECOLE SUPERIEURE D'ART DU NORD-PAS DE CALAIS DUNKERQUE-TOURCOING</t>
  </si>
  <si>
    <t>ESAD VALENCIENNES</t>
  </si>
  <si>
    <t>0593654B</t>
  </si>
  <si>
    <t>ESCP EUROPE</t>
  </si>
  <si>
    <t>0753547Y</t>
  </si>
  <si>
    <t>ESITC CACHAN</t>
  </si>
  <si>
    <t>0941954N</t>
  </si>
  <si>
    <t>ESJ LILLE</t>
  </si>
  <si>
    <t>0593207R</t>
  </si>
  <si>
    <t>ECOLE SUPERIEURE DE JOURNALISME DE LILLE - ESJ LILLE</t>
  </si>
  <si>
    <t>ESSEC</t>
  </si>
  <si>
    <t>0951214D</t>
  </si>
  <si>
    <t>ESSEC BUSINESS SCHOOL</t>
  </si>
  <si>
    <t>ESTACA LAVAL</t>
  </si>
  <si>
    <t>0530997W</t>
  </si>
  <si>
    <t>FCS PARIS SACLAY</t>
  </si>
  <si>
    <t>0912330N</t>
  </si>
  <si>
    <t>CAMPUS PARIS SACLAY</t>
  </si>
  <si>
    <t>GENES</t>
  </si>
  <si>
    <t>0755754X</t>
  </si>
  <si>
    <t>GROUPE DES ECOLES NATIONALES D'ECONOMIE ET DE STATISTIQUE - GENES</t>
  </si>
  <si>
    <t>ICAM LILLE</t>
  </si>
  <si>
    <t>0590345E</t>
  </si>
  <si>
    <t>INSTITUT CATHOLIQUE D'ARTS ET METIERS DE LILLE</t>
  </si>
  <si>
    <t>IEP LILLE</t>
  </si>
  <si>
    <t>0595876S</t>
  </si>
  <si>
    <t>SCIENCES PO LILLE</t>
  </si>
  <si>
    <t>IESEG LILLE</t>
  </si>
  <si>
    <t>0593202K</t>
  </si>
  <si>
    <t>IESEG SCHOOL OF MANAGEMENT</t>
  </si>
  <si>
    <t>IMT LILLE-DOUAI (ENSM DOUAI)</t>
  </si>
  <si>
    <t>0590342B</t>
  </si>
  <si>
    <t>ÉCOLE NATIONALE SUPÉRIEURE MINES-TÉLÉCOM LILLE DOUAI (MINES DOUAI)</t>
  </si>
  <si>
    <t>INSHEA</t>
  </si>
  <si>
    <t>0922605G</t>
  </si>
  <si>
    <t>INSTITUT NATIONAL SUPERIEUR DE FORMATION ET DE RECHERCHE POUR L'EDUCATION DES JEUNES HANDICAPES ET LES ENSEIGNEMENTS ADAPTES - INS HEA</t>
  </si>
  <si>
    <t>INST CATHO LILLE</t>
  </si>
  <si>
    <t>0590344D</t>
  </si>
  <si>
    <t>INSTITUT CATHOLIQUE DE LILLE</t>
  </si>
  <si>
    <t>INST PASTEUR LILLE</t>
  </si>
  <si>
    <t>0596852C</t>
  </si>
  <si>
    <t>ISA LILLE</t>
  </si>
  <si>
    <t>0590343C</t>
  </si>
  <si>
    <t xml:space="preserve">ISA LILLE </t>
  </si>
  <si>
    <t>ISEN LILLE</t>
  </si>
  <si>
    <t>0590347G</t>
  </si>
  <si>
    <t>PUE LILLE</t>
  </si>
  <si>
    <t>0596245T</t>
  </si>
  <si>
    <t>RECT LA REUNION</t>
  </si>
  <si>
    <t>9740049K</t>
  </si>
  <si>
    <t>RECT LILLE</t>
  </si>
  <si>
    <t>0590283M</t>
  </si>
  <si>
    <t>RECTORAT DE LILLE</t>
  </si>
  <si>
    <t>RECT VERSAILLES</t>
  </si>
  <si>
    <t>0780503Y</t>
  </si>
  <si>
    <t>RECTORAT DE VERSAILLES</t>
  </si>
  <si>
    <t>SKEMA LILLE</t>
  </si>
  <si>
    <t>0590346F</t>
  </si>
  <si>
    <t>SKEMA BUSINESS SCHOOL</t>
  </si>
  <si>
    <t>SOLEIL</t>
  </si>
  <si>
    <t>SYNCHROTRON SOLEIL</t>
  </si>
  <si>
    <t>TEM EVRY</t>
  </si>
  <si>
    <t>0912255G</t>
  </si>
  <si>
    <t>U ARTOIS</t>
  </si>
  <si>
    <t>0623957P</t>
  </si>
  <si>
    <t>UNIVERSITE D'ARTOIS</t>
  </si>
  <si>
    <t>U CERGY</t>
  </si>
  <si>
    <t>0951793H</t>
  </si>
  <si>
    <t>UNIVERSITE DE CERGY-PONTOISE - UCP</t>
  </si>
  <si>
    <t>U EVRY</t>
  </si>
  <si>
    <t>0911975C</t>
  </si>
  <si>
    <t>UNIVERSITE D'EVRY-VAL-D'ESSONE - UEVE</t>
  </si>
  <si>
    <t>U LA REUNION</t>
  </si>
  <si>
    <t>9740478B</t>
  </si>
  <si>
    <t>UNIVERSITE DE LA REUNION</t>
  </si>
  <si>
    <t>U LITTORAL</t>
  </si>
  <si>
    <t>0595964M</t>
  </si>
  <si>
    <t>UNIVERSITE DU LITTORAL COTE D'OPALE - ULCO</t>
  </si>
  <si>
    <t>U MARNE-LA-VALLEE</t>
  </si>
  <si>
    <t>0772502B</t>
  </si>
  <si>
    <t>UNIVERSITE PARIS-EST MARNE-LA-VALLEE - UPEM</t>
  </si>
  <si>
    <t>U PARIS 10</t>
  </si>
  <si>
    <t>0921204J</t>
  </si>
  <si>
    <t>UNIVERSITE PARIS OUEST NANTERRE LA DEFENSE</t>
  </si>
  <si>
    <t>U PARIS 11</t>
  </si>
  <si>
    <t>0911101C</t>
  </si>
  <si>
    <t>UNIVERSITE PARIS-SUD</t>
  </si>
  <si>
    <t>U PARIS 12</t>
  </si>
  <si>
    <t>0941111X</t>
  </si>
  <si>
    <t>UNIVERSITE PARIS-EST CRETEIL VAL DE MARNE - UPEC</t>
  </si>
  <si>
    <t>U PARIS 8</t>
  </si>
  <si>
    <t>0931827F</t>
  </si>
  <si>
    <t>UNIVERSITE PARIS 8 - VINCENNES - SAINT-DENIS</t>
  </si>
  <si>
    <t>U VALENCIENNES</t>
  </si>
  <si>
    <t>0593279U</t>
  </si>
  <si>
    <t>UNIVERSITE DE VALENCIENNES ET DU HAINAUT-CAMBRESIS - UVHC</t>
  </si>
  <si>
    <t>U VERSAILLES ST-QUENTIN</t>
  </si>
  <si>
    <t>0781944P</t>
  </si>
  <si>
    <t>UNIVERSITE DE VERSAILLES SAINT-QUENTIN-EN-YVELINES - UVSQ</t>
  </si>
  <si>
    <t>YNCRÉA</t>
  </si>
  <si>
    <t>ABES</t>
  </si>
  <si>
    <t>0341920C</t>
  </si>
  <si>
    <t>ADUDA</t>
  </si>
  <si>
    <t>0261465B</t>
  </si>
  <si>
    <t>AGENCE DE DEVELOPPEMENT UNIVERSITAIRE DROME-ARDECHE - ADUDA</t>
  </si>
  <si>
    <t>ANDRA</t>
  </si>
  <si>
    <t>0922684T</t>
  </si>
  <si>
    <t>AGENCE NATIONALE POUR LA GESTION DES DECHETS RADIOACTIFS - ANDRA</t>
  </si>
  <si>
    <t>ANR</t>
  </si>
  <si>
    <t>0755611S</t>
  </si>
  <si>
    <t>AGENCE NATIONALE DE LA RECHERCHE - ANR</t>
  </si>
  <si>
    <t>ANRS</t>
  </si>
  <si>
    <t>0755593X</t>
  </si>
  <si>
    <t>AGENCE NATIONALE DE RECHERCHES SUR LE SIDA ET LES HEPATITES VIRALES - ANRS</t>
  </si>
  <si>
    <t>ANSES</t>
  </si>
  <si>
    <t>ASOM</t>
  </si>
  <si>
    <t>0752744A</t>
  </si>
  <si>
    <t>ACADEMIE DES SCIENCES D'OUTRE-MER</t>
  </si>
  <si>
    <t>BIO-RAD FRANCE HOLDING</t>
  </si>
  <si>
    <t>BNU STRASBOURG</t>
  </si>
  <si>
    <t>0671451N</t>
  </si>
  <si>
    <t>BRGM</t>
  </si>
  <si>
    <t>0755363X</t>
  </si>
  <si>
    <t>CASA VELAZQUEZ</t>
  </si>
  <si>
    <t>1340004B</t>
  </si>
  <si>
    <t xml:space="preserve">CASA DE VELAZQUEZ </t>
  </si>
  <si>
    <t>CCA MARTINIQUE</t>
  </si>
  <si>
    <t>9720670W</t>
  </si>
  <si>
    <t>CAMPUS CARIBEEN DES ARTS</t>
  </si>
  <si>
    <t>CEDHEC</t>
  </si>
  <si>
    <t>0755222U</t>
  </si>
  <si>
    <t>ECOLE DE CHAILLOT</t>
  </si>
  <si>
    <t>CEE PARIS</t>
  </si>
  <si>
    <t>0932509X</t>
  </si>
  <si>
    <t>CENTRE D'ETUDES DE L'EMPLOI - CEE</t>
  </si>
  <si>
    <t>CELSA PARIS</t>
  </si>
  <si>
    <t>0921509R</t>
  </si>
  <si>
    <t>CELSA PARIS-SORBONNE</t>
  </si>
  <si>
    <t>CERFACS</t>
  </si>
  <si>
    <t>0310000A</t>
  </si>
  <si>
    <t>CENTRE EUROPEEN DE RECHERCHE ET DE FORMATION AVANCEE EN CALCUL SCIENTIFIQUE - CERFACS</t>
  </si>
  <si>
    <t>CHR METZ-THIONVILLE</t>
  </si>
  <si>
    <t>0579451A</t>
  </si>
  <si>
    <t>CENTRE HOSPITALIER REGIONAL METZ-THIONVILLE - CHR METZ-THIONVILLE</t>
  </si>
  <si>
    <t>CHR ORLEANS</t>
  </si>
  <si>
    <t>0459451A</t>
  </si>
  <si>
    <t>CENTRE HOSPITALIER REGIONAL D'ORLEANS - CHR ORLEANS</t>
  </si>
  <si>
    <t>CHRU BREST</t>
  </si>
  <si>
    <t>0299451R</t>
  </si>
  <si>
    <t>CENTRE HOSPITALIER REGIONAL ET UNIVERSITAIRE DE BREST - CHRU BREST</t>
  </si>
  <si>
    <t>CHRU NANCY</t>
  </si>
  <si>
    <t>0549451E</t>
  </si>
  <si>
    <t>CENTRE HOSPITALIER REGIONAL ET UNIVERSITAIRE DE NANCY - CHRU NANCY</t>
  </si>
  <si>
    <t>CHU AMIENS</t>
  </si>
  <si>
    <t>0809451N</t>
  </si>
  <si>
    <t>CENTRE HOSPITALIER UNIVERSITAIRE D'AMIENS-PICARDIE - CHU AMIENS-PICARDIE</t>
  </si>
  <si>
    <t>CHU LA REUNION</t>
  </si>
  <si>
    <t>9749451K</t>
  </si>
  <si>
    <t>CENTRE HOSPITALIER UNIVERSITAIRE DE LA REUNION - CHU LA REUNION</t>
  </si>
  <si>
    <t>CINES</t>
  </si>
  <si>
    <t>0342032Z</t>
  </si>
  <si>
    <t>CENTRE INFORMATIQUE NATIONAL DE L'ENSEIGNEMENT SUPERIEUR - CINES</t>
  </si>
  <si>
    <t>CIRAD</t>
  </si>
  <si>
    <t>0755516N</t>
  </si>
  <si>
    <t>CENTRE DE COOPERATION INTERNATIONALE EN RECHERCHE AGRONOMIQUE POUR LE DEVELOPPEMENT - CIRAD</t>
  </si>
  <si>
    <t>CIU PARIS</t>
  </si>
  <si>
    <t>0753632R</t>
  </si>
  <si>
    <t>CLCC REIMS - IJG</t>
  </si>
  <si>
    <t>0519452W</t>
  </si>
  <si>
    <t>CENTRE DE LUTTE CONTRE LE CANCER DE LA REGION CHAMPAGNE-ARDENNE - INSTITUT JEAN-GODINOT</t>
  </si>
  <si>
    <t>CLCC ST-CLOUD - CRH</t>
  </si>
  <si>
    <t>CENTRE DE LUTTE CONTRE LE CANCER DE SAINT-CLOUD - CENTRE RENE HUGUENIN</t>
  </si>
  <si>
    <t>CNES</t>
  </si>
  <si>
    <t>0752743Z</t>
  </si>
  <si>
    <t>CENTRE NATIONAL D'ETUDES SPATIALES - CNES</t>
  </si>
  <si>
    <t>CNSAD PARIS</t>
  </si>
  <si>
    <t>0753469N</t>
  </si>
  <si>
    <t>CONSERVATOIRE NATIONAL SUPERIEUR D'ART DRAMATIQUE</t>
  </si>
  <si>
    <t>CNSMD PARIS</t>
  </si>
  <si>
    <t>0753495S</t>
  </si>
  <si>
    <t>CONSERVATOIRE NATIONAL SUPERIEUR DE MUSIQUE ET DE DANSE DE PARIS</t>
  </si>
  <si>
    <t>COLLEGIUM IDF</t>
  </si>
  <si>
    <t>0932558A</t>
  </si>
  <si>
    <t>L'INSTITUT POLYTECHNIQUE GRAND PARIS</t>
  </si>
  <si>
    <t>COMUE AQUITAINE</t>
  </si>
  <si>
    <t>0333178A</t>
  </si>
  <si>
    <t>COMMUNAUTE D'UNIVERSITES ET D'ETABLISSEMENTS D'AQUITAINE - CUEA</t>
  </si>
  <si>
    <t>COMUE AZUR</t>
  </si>
  <si>
    <t>0062126D</t>
  </si>
  <si>
    <t>COMUE UNIVERSITE COTE D'AZUR</t>
  </si>
  <si>
    <t>COMUE BOURGOGNE</t>
  </si>
  <si>
    <t>0212207K</t>
  </si>
  <si>
    <t>UNIVERSITE BOURGOGNE FRANCHE-COMTE - UBFC</t>
  </si>
  <si>
    <t>COMUE BRETAGNE</t>
  </si>
  <si>
    <t>0352756F</t>
  </si>
  <si>
    <t>UNIVERSITE EUROPEENNE DE BRETAGNE - UEB</t>
  </si>
  <si>
    <t>COMUE CENTRE VL</t>
  </si>
  <si>
    <t>0371692N</t>
  </si>
  <si>
    <t>UNIVERSITE CONFEDERALE LEONARD DE VINCI</t>
  </si>
  <si>
    <t>COMUE CHAMPAGNE</t>
  </si>
  <si>
    <t>0512141A</t>
  </si>
  <si>
    <t>UNIVERSITE DE CHAMPAGNE</t>
  </si>
  <si>
    <t>COMUE LPC</t>
  </si>
  <si>
    <t>0861420B</t>
  </si>
  <si>
    <t>COMUE LIMOUSIN POITOU-CHARENTES</t>
  </si>
  <si>
    <t>COMUE SUD</t>
  </si>
  <si>
    <t>0342255S</t>
  </si>
  <si>
    <t>LANGUEDOC-ROUSSILLON UNIVERSITES</t>
  </si>
  <si>
    <t>COMUE UNAM</t>
  </si>
  <si>
    <t>0442665H</t>
  </si>
  <si>
    <t>EA SALON</t>
  </si>
  <si>
    <t>0130230E</t>
  </si>
  <si>
    <t>ECOLE DE L'AIR - EOAA</t>
  </si>
  <si>
    <t>EC ING PURPAN</t>
  </si>
  <si>
    <t>0310154Z</t>
  </si>
  <si>
    <t>EESA BORDEAUX</t>
  </si>
  <si>
    <t>0331877L</t>
  </si>
  <si>
    <t>ECOLE D'ENSEIGNEMENT SUPERIEUR D'ART DE BORDEAUX - EBABX</t>
  </si>
  <si>
    <t>EESI ANGOULEME</t>
  </si>
  <si>
    <t>0860902N</t>
  </si>
  <si>
    <t>ECOLE EUROPEENNE SUPERIEURE DE L'IMAGE - ANGOULEME ET POITIERS</t>
  </si>
  <si>
    <t>EF ATHENES</t>
  </si>
  <si>
    <t>1260001S</t>
  </si>
  <si>
    <t>EF ROME</t>
  </si>
  <si>
    <t>1270009V</t>
  </si>
  <si>
    <t>EFEO PARIS</t>
  </si>
  <si>
    <t>0751794T</t>
  </si>
  <si>
    <t>EFREI VILLEJUIF</t>
  </si>
  <si>
    <t>0941934S</t>
  </si>
  <si>
    <t>EFS</t>
  </si>
  <si>
    <t>EGC NOUMEA</t>
  </si>
  <si>
    <t>9830642F</t>
  </si>
  <si>
    <t>EGC VALENCE</t>
  </si>
  <si>
    <t>0261251U</t>
  </si>
  <si>
    <t>ENI METZ</t>
  </si>
  <si>
    <t>0570140T</t>
  </si>
  <si>
    <t>ECOLE NATIONALE D'INGENIEURS DE METZ - ENIM</t>
  </si>
  <si>
    <t>ENS ART BOURGES</t>
  </si>
  <si>
    <t>0180048E</t>
  </si>
  <si>
    <t>ECOLE NATIONALE SUPERIEURE D'ART DE BOURGES</t>
  </si>
  <si>
    <t>ENS ART DIJON</t>
  </si>
  <si>
    <t>0210092L</t>
  </si>
  <si>
    <t>ECOLE NATIONALE SUPERIEURE D'ART DE DIJON</t>
  </si>
  <si>
    <t>ENS ART NANCY</t>
  </si>
  <si>
    <t>0540136E</t>
  </si>
  <si>
    <t>ECOLE NATIONALE SUPERIEURE D'ART ET DE DESIGN DE NANCY</t>
  </si>
  <si>
    <t>ENS ART NICE</t>
  </si>
  <si>
    <t>0060836B</t>
  </si>
  <si>
    <t>VILLA ARSON - ECOLE NATIONALE SUPERIEURE D'ART DE NICE</t>
  </si>
  <si>
    <t>ENS MARITIME</t>
  </si>
  <si>
    <t>0922706S</t>
  </si>
  <si>
    <t>ENS PHOTO ARLES</t>
  </si>
  <si>
    <t>0133231S</t>
  </si>
  <si>
    <t>ECOLE NATIONALE SUPERIEURE DE LA PHOTOGRAPHIE D'ARLES</t>
  </si>
  <si>
    <t>ENSAD PARIS</t>
  </si>
  <si>
    <t>0753470P</t>
  </si>
  <si>
    <t>ECOLE NATIONALE SUPERIEURE DES ARTS DECORATIFS</t>
  </si>
  <si>
    <t>ENSBA PARIS</t>
  </si>
  <si>
    <t>0753667D</t>
  </si>
  <si>
    <t>ECOLE NATIONALE SUPERIEURE DES BEAUX-ARTS DE PARIS</t>
  </si>
  <si>
    <t>ENSC MULHOUSE</t>
  </si>
  <si>
    <t>0680097L</t>
  </si>
  <si>
    <t>ECOLE NATIONALE SUPERIEURE DE CHIMIE DE MULHOUSE - ENSCMU</t>
  </si>
  <si>
    <t>ENSCI PARIS</t>
  </si>
  <si>
    <t>0754585B</t>
  </si>
  <si>
    <t>ECOLE NATIONALE SUPERIEURE DE CREATION INDUSTRIELLE - ENSCI</t>
  </si>
  <si>
    <t>ENSG MARNE-LA-VALLEE</t>
  </si>
  <si>
    <t>0772496V</t>
  </si>
  <si>
    <t>ECOLE NATIONALE DES SCIENCES GEOGRAPHIQUES</t>
  </si>
  <si>
    <t>ENSLL</t>
  </si>
  <si>
    <t>0932066R</t>
  </si>
  <si>
    <t>ECOLE NATIONALE SUPERIEURE LOUIS-LUMIERE</t>
  </si>
  <si>
    <t>ENSM ALES</t>
  </si>
  <si>
    <t>0300063F</t>
  </si>
  <si>
    <t>MINES ALES</t>
  </si>
  <si>
    <t>ENSNP BLOIS</t>
  </si>
  <si>
    <t>0410981U</t>
  </si>
  <si>
    <t>ECOLE NATIONALE SUPERIEURE DE LA NATURE ET DU PAYSAGE - ENSNP</t>
  </si>
  <si>
    <t>ES ARCHI</t>
  </si>
  <si>
    <t>0753533H</t>
  </si>
  <si>
    <t>ECOLE SPECIALE D'ARCHITECTURE</t>
  </si>
  <si>
    <t>ESA AIX</t>
  </si>
  <si>
    <t>0130232G</t>
  </si>
  <si>
    <t>ECOLE SUPERIEURE D'ART D'AIX-EN-PROVENCE</t>
  </si>
  <si>
    <t>ESA ANNECY</t>
  </si>
  <si>
    <t>0741444T</t>
  </si>
  <si>
    <t>ECOLE SUPERIEURE D'ART DE L'AGGLOMERATION D'ANNECY - ESAAA</t>
  </si>
  <si>
    <t>ESA AVIGNON</t>
  </si>
  <si>
    <t>0840612J</t>
  </si>
  <si>
    <t>ECOLE SUPERIEURE D'ART D'AVIGNON</t>
  </si>
  <si>
    <t>ESA LORRAINE</t>
  </si>
  <si>
    <t>0572347S</t>
  </si>
  <si>
    <t>ECOLE SUPERIEURE D'ART DE LORRAINE</t>
  </si>
  <si>
    <t>ESAC CAMBRAI</t>
  </si>
  <si>
    <t>0593655C</t>
  </si>
  <si>
    <t>ECOLE SUPERIEURE D'ART ET DE COMMUNICATION CAMBRAI</t>
  </si>
  <si>
    <t>ESAD AMIENS</t>
  </si>
  <si>
    <t>0801367B</t>
  </si>
  <si>
    <t>ECOLE SUPERIEURE D'ART ET DE DESIGN D'AMIENS</t>
  </si>
  <si>
    <t>ESAD MARSEILLE</t>
  </si>
  <si>
    <t>0132557J</t>
  </si>
  <si>
    <t>ECOLE SUPERIEURE D'ART ET DE DESIGN DE MARSEILLE-MEDITERRANEE</t>
  </si>
  <si>
    <t>ESAD ORLEANS</t>
  </si>
  <si>
    <t>0450932U</t>
  </si>
  <si>
    <t>ECOLE SUPERIEURE D'ART ET DE DESIGN D'ORLEANS</t>
  </si>
  <si>
    <t>ESAD REIMS</t>
  </si>
  <si>
    <t>0510084P</t>
  </si>
  <si>
    <t>ECOLE SUPERIEURE D'ART ET DE DESIGN DE REIMS</t>
  </si>
  <si>
    <t>ESAD TOULON</t>
  </si>
  <si>
    <t>0830828Z</t>
  </si>
  <si>
    <t>ESBA TALM</t>
  </si>
  <si>
    <t>0492391H</t>
  </si>
  <si>
    <t>ESCOM COMPIEGNE</t>
  </si>
  <si>
    <t>0602099F</t>
  </si>
  <si>
    <t>ESIEE AMIENS</t>
  </si>
  <si>
    <t>0801911T</t>
  </si>
  <si>
    <t>ESIEE-AMIENS</t>
  </si>
  <si>
    <t>ESIEE MANAGEMENT</t>
  </si>
  <si>
    <t>0932341P</t>
  </si>
  <si>
    <t>ESM ST-CYR</t>
  </si>
  <si>
    <t>0560068V</t>
  </si>
  <si>
    <t>ECOLE SPECIALE MILITAIRE DE SAINT-CYR</t>
  </si>
  <si>
    <t>ESTIA BAYONNE</t>
  </si>
  <si>
    <t>0641923T</t>
  </si>
  <si>
    <t>ECOLE SUPERIEURE DES TECHNOLOGIES INDUSTRIELLES AVANCEES - ESTIA</t>
  </si>
  <si>
    <t>GENOPOLE</t>
  </si>
  <si>
    <t>HEAR STRASBOURG</t>
  </si>
  <si>
    <t>0673048Z</t>
  </si>
  <si>
    <t>HEC PARIS</t>
  </si>
  <si>
    <t>0783054W</t>
  </si>
  <si>
    <t>HEI LILLE</t>
  </si>
  <si>
    <t>0590348H</t>
  </si>
  <si>
    <t>HEI LILLE - GROUPE HEI ISA ISEN</t>
  </si>
  <si>
    <t>ICES LA ROCHE S YON</t>
  </si>
  <si>
    <t>0851415B</t>
  </si>
  <si>
    <t>IEP STRASBOURG</t>
  </si>
  <si>
    <t>0670178E</t>
  </si>
  <si>
    <t>SCIENCES PO STRASBOURG - INSTITUT D'ETUDES POLITIQUES</t>
  </si>
  <si>
    <t>IFA ST-LOUIS</t>
  </si>
  <si>
    <t>INSTITUT FRANCO-ALLEMAND DE RECHERCHE DE SAINT-LOUIS - ISL</t>
  </si>
  <si>
    <t>IFAO LE CAIRE</t>
  </si>
  <si>
    <t>3010001R</t>
  </si>
  <si>
    <t>IFPEN</t>
  </si>
  <si>
    <t>0920815L</t>
  </si>
  <si>
    <t>IFP ENERGIES NOUVELLES - IFPEN</t>
  </si>
  <si>
    <t>IFSTTAR</t>
  </si>
  <si>
    <t>0772765M</t>
  </si>
  <si>
    <t>INSTITUT FRANCAIS DES SCIENCES ET TECHNOLOGIES DES TRANSPORTS, DE L'AMENAGEMENT ET DES RESEAUX - IFSTTAR</t>
  </si>
  <si>
    <t>IGN</t>
  </si>
  <si>
    <t>INSTITUT NATIONAL POUR L'INFORMATION GEOGRAPHIQUE ET FORESTIERE - IGN</t>
  </si>
  <si>
    <t>IHES</t>
  </si>
  <si>
    <t>0911012F</t>
  </si>
  <si>
    <t>INSTITUT DES HAUTES ETUDES SCIENTIFIQUES - IHES</t>
  </si>
  <si>
    <t>ILM PAPEETE</t>
  </si>
  <si>
    <t>INSTITUT LOUIS MALARDE</t>
  </si>
  <si>
    <t>INCA</t>
  </si>
  <si>
    <t>0922689Y</t>
  </si>
  <si>
    <t>INSTITUT NATIONAL DU CANCER - INCA</t>
  </si>
  <si>
    <t>INED</t>
  </si>
  <si>
    <t>0755360U</t>
  </si>
  <si>
    <t>INSTITUT NATIONAL D'ETUDES DEMOGRAPHIQUES - INED</t>
  </si>
  <si>
    <t>INERIS</t>
  </si>
  <si>
    <t>0602098E</t>
  </si>
  <si>
    <t>INSTITUT NATIONAL DE L'ENVIRONNEMENT INDUSTRIEL ET DES RISQUES - INERIS</t>
  </si>
  <si>
    <t>INRAP</t>
  </si>
  <si>
    <t>0755502Y</t>
  </si>
  <si>
    <t>INSTITUT NATIONAL DE RECHERCHES ARCHEOLOGIQUES PREVENTIVES - INRAP</t>
  </si>
  <si>
    <t>INRIA</t>
  </si>
  <si>
    <t>0780491K</t>
  </si>
  <si>
    <t>INSTITUT NATIONAL DE RECHERCHE EN INFORMATIQUE ET EN AUTOMATIQUE - INRIA</t>
  </si>
  <si>
    <t>INST NAT PATRIMOINE</t>
  </si>
  <si>
    <t>0754446A</t>
  </si>
  <si>
    <t>INSTITUT NATIONAL DU PATRIMOINE - INP</t>
  </si>
  <si>
    <t>INSTN</t>
  </si>
  <si>
    <t>0910685A</t>
  </si>
  <si>
    <t>INSTITUT NATIONAL DES SCIENCES ET TECHNIQUES NUCLEAIRES - INSTN</t>
  </si>
  <si>
    <t>IPC PARIS</t>
  </si>
  <si>
    <t>0752139T</t>
  </si>
  <si>
    <t>IRCAM PARIS</t>
  </si>
  <si>
    <t>INSTITUT DE RECHERCHE ET COORDINATION ACOUSTIQUE MUSIQUE - IRCAM</t>
  </si>
  <si>
    <t>IRSN</t>
  </si>
  <si>
    <t>0922643Y</t>
  </si>
  <si>
    <t>ISAE-ENSMA</t>
  </si>
  <si>
    <t>0860073M</t>
  </si>
  <si>
    <t>ECOLE NATIONALE SUPERIEURE DE MECANIQUE ET D'AEROTECHNIQUE - ISAE-ENSMA</t>
  </si>
  <si>
    <t>ISBA BESANCON</t>
  </si>
  <si>
    <t>0251272X</t>
  </si>
  <si>
    <t>ISMEP PARIS</t>
  </si>
  <si>
    <t>0930603A</t>
  </si>
  <si>
    <t>SUPMECA</t>
  </si>
  <si>
    <t>IUSPX PARIS</t>
  </si>
  <si>
    <t>0755308M</t>
  </si>
  <si>
    <t>INSTITUT UNIVERSITAIRE SAINT PIE X - IUSPX</t>
  </si>
  <si>
    <t>KEDGE BEM</t>
  </si>
  <si>
    <t>0330211A</t>
  </si>
  <si>
    <t>KEDGE BUSINESS SCHOOL</t>
  </si>
  <si>
    <t>KEDGE EUROMED</t>
  </si>
  <si>
    <t>0130239P</t>
  </si>
  <si>
    <t>METEO FRANCE</t>
  </si>
  <si>
    <t>MUSEES DE FRANCE</t>
  </si>
  <si>
    <t>ONERA</t>
  </si>
  <si>
    <t>0922641W</t>
  </si>
  <si>
    <t>PAV BOSIO - ESA MONACO</t>
  </si>
  <si>
    <t>PAVILLON BOSIO</t>
  </si>
  <si>
    <t>RECT AIX-MARSEILLE</t>
  </si>
  <si>
    <t>0130178Y</t>
  </si>
  <si>
    <t>RECTORAT D'AIX-MARSEILLE</t>
  </si>
  <si>
    <t>RECT AMIENS</t>
  </si>
  <si>
    <t>0800069R</t>
  </si>
  <si>
    <t>RECTORAT D'AMIENS</t>
  </si>
  <si>
    <t>RECT BESANCON</t>
  </si>
  <si>
    <t>0250069P</t>
  </si>
  <si>
    <t>RECTORAT DE BESANCON</t>
  </si>
  <si>
    <t>RECT CORSE</t>
  </si>
  <si>
    <t>6200665D</t>
  </si>
  <si>
    <t>RECTORAT DE CORSE</t>
  </si>
  <si>
    <t>RECT CRETEIL</t>
  </si>
  <si>
    <t>0941295X</t>
  </si>
  <si>
    <t>RECTORAT DE CRETEIL</t>
  </si>
  <si>
    <t>RECT DIJON</t>
  </si>
  <si>
    <t>0210066H</t>
  </si>
  <si>
    <t>RECTORAT DE DIJON</t>
  </si>
  <si>
    <t>RECT NANCY-METZ</t>
  </si>
  <si>
    <t>0540089D</t>
  </si>
  <si>
    <t>RECTORAT DE NANCY-METZ</t>
  </si>
  <si>
    <t>RECT NICE</t>
  </si>
  <si>
    <t>0060087M</t>
  </si>
  <si>
    <t>RECTORAT DE NICE</t>
  </si>
  <si>
    <t>0450080T</t>
  </si>
  <si>
    <t>RECT PARIS</t>
  </si>
  <si>
    <t>0753291V</t>
  </si>
  <si>
    <t>RECTORAT DE PARIS</t>
  </si>
  <si>
    <t>RECT REIMS</t>
  </si>
  <si>
    <t>0510070Z</t>
  </si>
  <si>
    <t>RECTORAT DE REIMS</t>
  </si>
  <si>
    <t>RECT STRASBOURG</t>
  </si>
  <si>
    <t>0670134G</t>
  </si>
  <si>
    <t>RECTORAT DE STRASBOURG</t>
  </si>
  <si>
    <t>ST-GOBAIN</t>
  </si>
  <si>
    <t>SAINT-GOBAIN</t>
  </si>
  <si>
    <t>TELECOM PARISTECH</t>
  </si>
  <si>
    <t>0753510H</t>
  </si>
  <si>
    <t>TELECOM SUDPARIS</t>
  </si>
  <si>
    <t>0911781S</t>
  </si>
  <si>
    <t>U AMIENS</t>
  </si>
  <si>
    <t>0801344B</t>
  </si>
  <si>
    <t>UNIVERSITE DE PICARDIE JULES VERNE - UPJV</t>
  </si>
  <si>
    <t>U ST-JOSEPH BEYROUTH</t>
  </si>
  <si>
    <t>UNIVERSITE SAINT JOSEPH BEYROUTH</t>
  </si>
  <si>
    <t>UEAC EREVAN</t>
  </si>
  <si>
    <t>UNIVERSCIENCE</t>
  </si>
  <si>
    <t>0755604J</t>
  </si>
  <si>
    <t xml:space="preserve">UNIVERSCIENCE - CITE DES SCIENCES ET DE L'INDUSTRIE - PALAIS DE LA DECOUVERTE </t>
  </si>
  <si>
    <t>UT COMPIEGNE</t>
  </si>
  <si>
    <t>0601223D</t>
  </si>
  <si>
    <t>UNIVERSITE DE TECHNOLOGIE DE COMPIEGNE - UTC</t>
  </si>
  <si>
    <t>MAJ vague C - Oct 2021</t>
  </si>
  <si>
    <t>0210099U</t>
  </si>
  <si>
    <t>v</t>
  </si>
  <si>
    <t>#</t>
  </si>
  <si>
    <t>BUREAU DE RECHERCHES GÉOLOGIQUES ET MINIÈRES - BRGM</t>
  </si>
  <si>
    <t>OFFICE NATIONAL D'ÉTUDES ET DE RECHERCHES AEROSPATIALES - ONERA</t>
  </si>
  <si>
    <t>Universités</t>
  </si>
  <si>
    <t>U GRENOBLE</t>
  </si>
  <si>
    <t>ÉTABLISSEMENT ÉTRANGER</t>
  </si>
  <si>
    <t>Instituts d'études politiques</t>
  </si>
  <si>
    <t>ENS</t>
  </si>
  <si>
    <t>Ecoles normales supérieures</t>
  </si>
  <si>
    <t>Centres hospitaliers</t>
  </si>
  <si>
    <t>universitaires, régionaux et Assistance publique</t>
  </si>
  <si>
    <t>Centres de lutte contre</t>
  </si>
  <si>
    <t>le cancer</t>
  </si>
  <si>
    <t>MINISTÈRES</t>
  </si>
  <si>
    <t>INTÉRIEUR</t>
  </si>
  <si>
    <t>MINISTÈRE DE L'INTÉRIEUR</t>
  </si>
  <si>
    <t>MTES</t>
  </si>
  <si>
    <t>MINISTÈRE DE LA TRANSITION ÉCOLOGIQUE ET SOLIDAIRE</t>
  </si>
  <si>
    <t>JUSTICE</t>
  </si>
  <si>
    <t>MINISTÈRE DE LA JUSTICE</t>
  </si>
  <si>
    <t>MEAE</t>
  </si>
  <si>
    <t xml:space="preserve">MINISTÈRE DE L'EUROPE ET DES AFFAIRES ÉTRANGÈRES </t>
  </si>
  <si>
    <t>ARMÉES</t>
  </si>
  <si>
    <t>MINISTÈRE DES ARMÉES</t>
  </si>
  <si>
    <t>MCT</t>
  </si>
  <si>
    <t>MINISTÈRE DE LA COHÉSION DES TERRITOIRES</t>
  </si>
  <si>
    <t>MSS</t>
  </si>
  <si>
    <t>MINISTÈRE DES SOLIDARITÉS ET DE LA SANTÉ</t>
  </si>
  <si>
    <t>MEF</t>
  </si>
  <si>
    <t>MINISTÈRE DE L'ÉCONOMIE ET DES FINANCES</t>
  </si>
  <si>
    <t>CULTURE</t>
  </si>
  <si>
    <t>MINISTÈRE DE LA CULTURE</t>
  </si>
  <si>
    <t>TRAVAIL</t>
  </si>
  <si>
    <t>MINISTÈRE DU TRAVAIL</t>
  </si>
  <si>
    <t>MEN</t>
  </si>
  <si>
    <t>MINISTÈRE DE L'ÉDUCATION NATIONALE</t>
  </si>
  <si>
    <t>MAA</t>
  </si>
  <si>
    <t xml:space="preserve">MINISTÈRE DE L'AGRICULTURE ET DE L'ALIMENTATION </t>
  </si>
  <si>
    <t>MACP</t>
  </si>
  <si>
    <t>MINISTÈRE DE L'ACTION ET DES COMPTES PUBLICS</t>
  </si>
  <si>
    <t>MESRI</t>
  </si>
  <si>
    <t>MINISTÈRE DE L’ENSEIGNEMENT SUPÉRIEUR, DE LA RECHERCHE ET DE L’INNOVATION</t>
  </si>
  <si>
    <t>MOM</t>
  </si>
  <si>
    <t>MINISTÈRE DES OUTRE-MER</t>
  </si>
  <si>
    <t>SPORTS</t>
  </si>
  <si>
    <t>MINISTÈRE DES SPORTS</t>
  </si>
  <si>
    <t>sous tutelle du ministère en charge de l'Enseignement Supérieur et de la Recherche</t>
  </si>
  <si>
    <t>sous tutelle du ministère en charge de l'Agriculture</t>
  </si>
  <si>
    <t>sous tutelle du ministère en charge du Développement Durable</t>
  </si>
  <si>
    <t>sous tutelle du ministère en charge de la Défense</t>
  </si>
  <si>
    <t>sous tutelle du ministère en charge de l'Économie et de l'Industrie</t>
  </si>
  <si>
    <t>ENSM DOUAI</t>
  </si>
  <si>
    <t>MINES DOUAI</t>
  </si>
  <si>
    <t>Ecoles d'Ingénieurs</t>
  </si>
  <si>
    <t>de la ville de Paris</t>
  </si>
  <si>
    <t>sous tutelle consulaire</t>
  </si>
  <si>
    <t>Autres institutions</t>
  </si>
  <si>
    <t>Agences, associations, instituts, entreprises privées, établissements étrangers, …</t>
  </si>
  <si>
    <t>Écoles et établissements</t>
  </si>
  <si>
    <t>CENTRE HOSPITALIER RÉGIONAL ET UNIVERSITAIRE DE BESANCON - CHRU BESANCON</t>
  </si>
  <si>
    <t>CENTRE HOSPITALIER RÉGIONAL ET UNIVERSITAIRE, HOPITAUX DE TOURS - CHRU TOURS</t>
  </si>
  <si>
    <t>ÉCOLE CENTRALE DE NANTES</t>
  </si>
  <si>
    <t>ÉCOLE EUROPÉENNE SUPÉRIEURE D'ART DE BRETAGNE - EESAB</t>
  </si>
  <si>
    <t>ÉCOLE DU GÉNIE</t>
  </si>
  <si>
    <t>ÉCOLE D'INGÉNIEURS LA ROCHELLE  - EIGSI</t>
  </si>
  <si>
    <t>ÉCOLE NAVALE</t>
  </si>
  <si>
    <t>ÉCOLE NATIONALE D'INGÉNIEURS DE BREST - ENIB</t>
  </si>
  <si>
    <t>ÉCOLE NATIONALE SUPÉRIEURE D'ART DE LIMOGES</t>
  </si>
  <si>
    <t>ÉCOLE D'INGÉNIEURS SIGMA CLERMONT</t>
  </si>
  <si>
    <t>OBSERVATOIRE DE PARIS</t>
  </si>
  <si>
    <t>ÉCOLE NATIONALE VÉTÉRINAIRE DE TOULOUSE - ENVT</t>
  </si>
  <si>
    <t>ÉCOLE NATIONALE VÉTÉRINAIRE D'ALFORT - ENVA</t>
  </si>
  <si>
    <t>ÉCOLE NATIONALE DU GÉNIE DE L'EAU ET DE L'ENVIRONNEMENT DE STRASBOURG</t>
  </si>
  <si>
    <t>AGROSUP DIJON - INSTITUT NATIONAL SUPÉRIEUR DES SCIENCES AGRONOMIQUES DE L'ALIMENTATION ET DE L'ENVIRONNEMENT</t>
  </si>
  <si>
    <t>AGROCAMPUS OUEST - INSTITUT SUPÉRIEUR DES SCIENCES AGRONOMIQUES, AGROALIMENTAIRES, HORTICOLES ET DU PAYSAGE</t>
  </si>
  <si>
    <t>Écoles et établissements privés</t>
  </si>
  <si>
    <t>Écoles d'Ingénieurs</t>
  </si>
  <si>
    <t>Écoles d'Architecture</t>
  </si>
  <si>
    <t>UNIVERSITÉ SAINT JOSEPH BEYROUTH</t>
  </si>
  <si>
    <t>UNIVERSITÉ D'ÉTAT D'ARCHITECTURE ET DE CONSTRUCTION D'EREVAN</t>
  </si>
  <si>
    <t xml:space="preserve">UNIVERSCIENCE - CITÉ DES SCIENCES ET DE L'INDUSTRIE - PALAIS DE LA DÉCOUVERTE </t>
  </si>
  <si>
    <t>POLE UNIVERSITAIRE EUROPÉEN DE LILLE NORD-PAS DE CALAIS</t>
  </si>
  <si>
    <t>METÉO FRANCE</t>
  </si>
  <si>
    <t>MUSÉES DE FRANCE</t>
  </si>
  <si>
    <t>INSTITUT DE RADIOPROTECTION ET DE SURETÉ NUCLEAIRE - IRSN</t>
  </si>
  <si>
    <t>INSTITUT AGRONOMIQUE MEDITERRANÉEN DE MONTPELLIER - IAMM</t>
  </si>
  <si>
    <t>GÉNOPOLE</t>
  </si>
  <si>
    <t>ÉTABLISSEMENT FRANCAIS DU SANG - EFS</t>
  </si>
  <si>
    <t>CITÉ INTERNATIONALE UNIVERSITAIRE DE PARIS - CIUP</t>
  </si>
  <si>
    <t>CENTRE EUROPÉEN DE RECHERCHE ET FORMATION AVANCÉE EN CALCUL SCIENTIFIQUE - CERFACS</t>
  </si>
  <si>
    <t>CENTRE D'ÉTUDES DE L'EMPLOI - CEE</t>
  </si>
  <si>
    <t>BIBLIOTHÈQUE NATIONALE ET UNIVERSITAIRE DE STRASBOURG - BNUS</t>
  </si>
  <si>
    <t>AGENCE NATIONALE DE SECURITÉ SANITAIRE DE L'ALIMENTATION, DE L'ENVIRONNEMENT ET DU TRAVAIL - ANSES</t>
  </si>
  <si>
    <t>AGENCE BIBLIOGRAPHIQUE DE L'ENSEIGNEMENT SUPÉRIEUR - ABES</t>
  </si>
  <si>
    <t>ISMANS - ECOLE D'INGÉNIEURS</t>
  </si>
  <si>
    <t>FACULTÉS LIBRES PHILOSOPHIE PSYCHOLOGIE - IPC</t>
  </si>
  <si>
    <t>INSTITUT CATHOLIQUE D'ÉTUDES SUPÉRIEURES - ICES</t>
  </si>
  <si>
    <t>INSTITUT CATHOLIQUE D'ARTS ET MÉTIERS DE TOULOUSE - ICAM</t>
  </si>
  <si>
    <t>INSTITUT CATHOLIQUE D'ARTS ET MÉTIERS DE NANTES</t>
  </si>
  <si>
    <t>INSTITUT CATHOLIQUE D'ARTS ET MÉTIERS DE LILLE</t>
  </si>
  <si>
    <t>FACULTÉS LIBRES DE L'OUEST - UCO</t>
  </si>
  <si>
    <t>ÉCOLE SPECIALE DES TRAVAUX PUBLICS DU BATIMENT ET DE L'INDUSTRIE - ESTP PARIS</t>
  </si>
  <si>
    <t>ÉCOLE SUPÉRIEURE DES TECHNIQUES AÉRONAUTIQUES ET DE CONSTRUCTION AUTOMOBILE - ESTACA</t>
  </si>
  <si>
    <t>ESITPA - ÉCOLE D'INGÉNIEURS EN AGRICULTURE</t>
  </si>
  <si>
    <t>ÉCOLE SUPÉRIEURE D'INGÉNIEURS DES TRAVAUX DE LA CONSTRUCTION DE CACHAN - ESITC</t>
  </si>
  <si>
    <t>ÉCOLE SUPÉRIEURE DE CHIMIE ORGANIQUE ET MINÉRALE - ESCOM</t>
  </si>
  <si>
    <t>GROUPE ESB - ÉCOLE SUPÉRIEURE DU BOIS</t>
  </si>
  <si>
    <t>ÉCOLE INTERNATIONALE DES SCIENCES DU TRAITEMENT DE L'INFORMATION</t>
  </si>
  <si>
    <t>ÉCOLE FRANCAISE D'ÉLECTRONIQUE ET D'INFORMATIQUE</t>
  </si>
  <si>
    <t>ÉCOLE D'INGÉNIEURS DE PURPAN</t>
  </si>
  <si>
    <t>ÉCOLE SUPÉRIEURE DE CHIMIE PHYSIQUE ÉLECTRONIQUE DE LYON</t>
  </si>
  <si>
    <t>TÉLÉCOM ÉCOLE DE MANAGEMENT</t>
  </si>
  <si>
    <t>ESSCA ÉCOLE DE MANAGEMENT</t>
  </si>
  <si>
    <t>ESCEM - ÉCOLE DE MANAGEMENT</t>
  </si>
  <si>
    <t>ÉCOLE DE GESTION ET DE COMMERCE DROME ARDECHE</t>
  </si>
  <si>
    <t>ÉCOLE DE GESTION ET DE COMMERCE PACIFIQUE SUD</t>
  </si>
  <si>
    <t>ÉCOLE DE GESTION ET DE COMMERCE DROME ARDÈCHE</t>
  </si>
  <si>
    <t>AUDENCIA NANTES - ÉCOLE DE MANAGEMENT</t>
  </si>
  <si>
    <t>INSTITUT SUPÉRIEUR DES ARTS DE TOULOUSE - ISDAT</t>
  </si>
  <si>
    <t>INSTITUT SUPÉRIEUR DES BEAUX-ARTS BESANCON/FRANCHE-COMTÉ - ISBA</t>
  </si>
  <si>
    <t>HAUTE ÉCOLE D'ART DE PERPIGNAN</t>
  </si>
  <si>
    <t>HAUTE ÉCOLE DES ARTS DU RHIN - MULHOUSE-STRASBOURG</t>
  </si>
  <si>
    <t>ÉCOLE SUPÉRIEURE DES BEAUX-ARTS TOURS-ANGERS-LE MANS</t>
  </si>
  <si>
    <t>ÉCOLE SUPÉRIEURE DES BEAUX ARTS DE NIMES</t>
  </si>
  <si>
    <t>ÉCOLE SUPÉRIEURE DES BEAUX-ARTS DE MONTPELLIER MEDITERRANÉE MÉTROPOLE</t>
  </si>
  <si>
    <t>ÉCOLE SUPÉRIEURE D'ARTS ET MEDIAS DE CAEN-CHERBOURG</t>
  </si>
  <si>
    <t>ÉCOLE SUPÉRIEURE D'ART ET DE DESIGN DE VALENCIENNES</t>
  </si>
  <si>
    <t>ÉCOLE SUPÉRIEURE D'ART ET DESIGN TOULON PROVENCE MÉDITERRANÉE - ESADTPM</t>
  </si>
  <si>
    <t>Acronyme de l'unité</t>
  </si>
  <si>
    <t>INSTITUT DE RECHERCHE POUR LE DÉVELOPPEMENT - IRD</t>
  </si>
  <si>
    <t>INSTITUT NATIONAL DE LA SANTÉ ET DE LA RECHERCHE MÉDICALE - INSERM</t>
  </si>
  <si>
    <t>COMMISSARIAT À L'ÉNERGIE ATOMIQUE ET AUX ÉNERGIES ALTERNATIVES - CEA</t>
  </si>
  <si>
    <t>UNIVERSITÉ DE TECHNOLOGIE DE TROYES - UTT</t>
  </si>
  <si>
    <t>UNIVERSITÉ DE TECHNOLOGIE DE BELFORT-MONTBELIARD - UTBM</t>
  </si>
  <si>
    <t>UNIVERSITÉ FRANCOIS-RABELAIS DE TOURS</t>
  </si>
  <si>
    <t>UNIVERSITÉ DE TOULON</t>
  </si>
  <si>
    <t>UNIVERSITÉ DE STRASBOURG</t>
  </si>
  <si>
    <t>UNIVERSITÉ DE REIMS CHAMPAGNE-ARDENNE - URCA</t>
  </si>
  <si>
    <t>UNIVERSITÉ DE LA POLYNÉSIE FRANCAISE</t>
  </si>
  <si>
    <t>UNIVERSITÉ D'ORLEANS</t>
  </si>
  <si>
    <t>UNIVERSITÉ DE LA NOUVELLE-CALÉDONIE - UNC</t>
  </si>
  <si>
    <t>UNIVERSITÉ NICE SOPHIA ANTIPOLIS</t>
  </si>
  <si>
    <t>UNIVERSITÉ DE HAUTE-ALSACE - UHA</t>
  </si>
  <si>
    <t>UNIVERSITÉ DE LORRAINE</t>
  </si>
  <si>
    <t>UNIVERSITÉ DE BOURGOGNE - UB</t>
  </si>
  <si>
    <t>UNIVERSITÉ DE CORSE PASQUALE PAOLI</t>
  </si>
  <si>
    <t>UNIVERSITÉ DE FRANCHE-COMTÉ - UFC</t>
  </si>
  <si>
    <t xml:space="preserve">UNIVERSITÉ D'AVIGNON ET DES PAYS DE VAUCLUSE </t>
  </si>
  <si>
    <t>AIX-MARSEILLE UNIVERSITÉ - AMU</t>
  </si>
  <si>
    <t>INSTITUT NATIONAL DES SCIENCES APPLIQUÉES DE STRASBOURG</t>
  </si>
  <si>
    <t>INSTITUT NATIONAL DES SCIENCES APPLIQUÉES CENTRE VAL DE LOIRE</t>
  </si>
  <si>
    <t>ÉCOLE SUPÉRIEURE DE COMMERCE DE DIJON (Burgundy School of Business)</t>
  </si>
  <si>
    <t>ÉCOLE NATIONALE SUPÉRIEURE D'ARCHITECTURE DE NANCY</t>
  </si>
  <si>
    <t>ÉCOLE NATIONALE SUPÉRIEURE D'ARCHITECTURE DE STRASBOURG</t>
  </si>
  <si>
    <t>ÉCOLE NATIONALE SUPÉRIEURE DE MÉCANIQUE ET DES MICROTECHNIQUES DE BESANCON - ENSMM</t>
  </si>
  <si>
    <t>ÉCOLE NATIONALE SUPÉRIEURE D'ARCHITECTURE DE MARSEILLE</t>
  </si>
  <si>
    <t>ÉCOLE CENTRALE DE MARSEILLE</t>
  </si>
  <si>
    <t>CENTRE RÉGIONAL DE LUTTE CONTRE LE CANCER DE LA RÉGION ALSACE - CENTRE PAUL STRAUSS</t>
  </si>
  <si>
    <t>INSTITUT DE CANCÉROLOGIE DE LORRAINE - CENTRE ALEXIS VAUTRIN</t>
  </si>
  <si>
    <t>CENTRE RÉGIONAL DE LUTTE CONTRE LE CANCER PACA - INSTITUT PAOLI-CALMETTES - IPC</t>
  </si>
  <si>
    <t>Rectorats</t>
  </si>
  <si>
    <t>EFE</t>
  </si>
  <si>
    <t>Écoles françaises à l'étranger</t>
  </si>
  <si>
    <t>ÉCOLE FRANCAISE D'ATHENES - EFA</t>
  </si>
  <si>
    <t>ÉCOLE FRANCAISE DE ROME</t>
  </si>
  <si>
    <t>ÉCOLE FRANCAISE D'EXTREME-ORIENT - EFEO</t>
  </si>
  <si>
    <t>INSTITUT FRANCAIS D'ARCHÉOLOGIE ORIENTALE</t>
  </si>
  <si>
    <t>RECTORAT D'ORLÉANS-TOURS</t>
  </si>
  <si>
    <t>RECT ORLÉANS-TOURS</t>
  </si>
  <si>
    <t>RECTORAT DE LA RÉUNION</t>
  </si>
  <si>
    <t>RECT LA RÉUNION</t>
  </si>
  <si>
    <t>Écoles de Commerce</t>
  </si>
  <si>
    <t>Écoles d'Art</t>
  </si>
  <si>
    <t>Numéro de l'école doctorale</t>
  </si>
  <si>
    <t>Intitulé indiqué dans l'arrêté d'accréditation</t>
  </si>
  <si>
    <t>Établissement déposant</t>
  </si>
  <si>
    <t>AMU</t>
  </si>
  <si>
    <t>Avignon Université</t>
  </si>
  <si>
    <t>ComUE Bourgogne Franche-Comté</t>
  </si>
  <si>
    <t>Comue Paris Saclay
Comue Paris Est
IAVFF</t>
  </si>
  <si>
    <t>INSA Centre Val de Loire</t>
  </si>
  <si>
    <t>Université Côte d'Azur</t>
  </si>
  <si>
    <t>Université de Corse Pascal Paoli</t>
  </si>
  <si>
    <t>Université de la Polynésie Française</t>
  </si>
  <si>
    <t>Université de Lorraine</t>
  </si>
  <si>
    <t>Université de Reims Champagne Ardenne (URCA)</t>
  </si>
  <si>
    <t>Université de Strasbourg</t>
  </si>
  <si>
    <t>Université de technologie de Troyes</t>
  </si>
  <si>
    <t>Université de Toulon</t>
  </si>
  <si>
    <t>Université de Tours</t>
  </si>
  <si>
    <t>Université d'Orléans</t>
  </si>
  <si>
    <t>AUTRE ÉCOLE DOCTORALE</t>
  </si>
  <si>
    <t>CENTRE INFORMATIQUE NATIONAL DE L'ENSEIGNEMENT SUPÉRIEUR - CINES</t>
  </si>
  <si>
    <t>INSTITUT DE CANCEROLOGIE DE L'OUEST - RENÉ GAUDUCHEAU - CENTRE DE LUTTE CONTRE LE CANCER ANGERS NANTES</t>
  </si>
  <si>
    <t>ÉCOLE D'ENSEIGNEMENT SUPÉRIEUR D'ART DE BORDEAUX - EBABX</t>
  </si>
  <si>
    <t>ÉCOLE POLYTECHNIQUE</t>
  </si>
  <si>
    <t>ÉCOLE DU LOUVRE</t>
  </si>
  <si>
    <t>ÉCOLE CENTRALE DE LYON</t>
  </si>
  <si>
    <t>ÉCOLE CENTRALE DE LILLE</t>
  </si>
  <si>
    <t>ÉCOLE DE L'AIR - EOAA</t>
  </si>
  <si>
    <t>ÉCOLE SUPÉRIEURE DE CHIMIE PHYSIQUE ELECTRONIQUE DE LYON</t>
  </si>
  <si>
    <t>COMUE UNIVERSITÉ NANTES ANGERS LE MANS - UNAM</t>
  </si>
  <si>
    <t>UNIVERSITÉ FÉDÉRALE  TOULOUSE MIDI-PYRENÉES</t>
  </si>
  <si>
    <t>SORBONNE PARIS CITÉ</t>
  </si>
  <si>
    <t>SORBONNE UNIVERSITÉS</t>
  </si>
  <si>
    <t>ÉCOLE EUROPÉENNE SUPÉRIEURE DE L'IMAGE - ANGOULEME ET POITIERS</t>
  </si>
  <si>
    <t>ÉCOLE FRANCAISE D'ELECTRONIQUE ET D'INFORMATIQUE</t>
  </si>
  <si>
    <t>ÉCOLE DES HAUTES ÉTUDES EN SANTÉ PUBLIQUE - EHESP</t>
  </si>
  <si>
    <t>ÉCOLE DES HAUTES ÉTUDES EN SCIENCES SOCIALES - EHESS</t>
  </si>
  <si>
    <t>ÉCOLE DES INGÉNIEURS DE LA VILLE DE PARIS - EIVP</t>
  </si>
  <si>
    <t>ÉCOLE DES DIRIGEANTS DE LA PROTECTION SOCIALE - EN3S</t>
  </si>
  <si>
    <t>ÉCOLE NATIONALE DE L'AVIATION CIVILE - ENAC</t>
  </si>
  <si>
    <t>ÉCOLE NATIONALE DES CHARTES</t>
  </si>
  <si>
    <t>ÉCOLE NATIONALE DE FORMATION AGRONOMIQUE DE TOULOUSE - AUZEVILLE - ENFA</t>
  </si>
  <si>
    <t>ÉCOLE NATIONALE D'INGÉNIEURS DE SAINT-ETIENNE - ENISE</t>
  </si>
  <si>
    <t>ÉCOLE NATIONALE D'INGÉNIEURS DE METZ - ENIM</t>
  </si>
  <si>
    <t>ÉCOLE NATIONALE D'INGÉNIEURS DE TARBES - ENIT</t>
  </si>
  <si>
    <t>ÉCOLE NATIONALE DE LA MÉTÉOROLOGIE - ENM</t>
  </si>
  <si>
    <t>ÉCOLE DES PONTS PARISTECH</t>
  </si>
  <si>
    <t>ÉCOLE NATIONALE SUPÉRIEURE D'ART DE BOURGES</t>
  </si>
  <si>
    <t>ÉCOLE NATIONALE SUPÉRIEURE D'ART DE DIJON</t>
  </si>
  <si>
    <t>ÉCOLE NATIONALE SUPÉRIEURE D'ART ET DE DESIGN DE NANCY</t>
  </si>
  <si>
    <t>VILLA ARSON - ÉCOLE NATIONALE SUPÉRIEURE D'ART DE NICE</t>
  </si>
  <si>
    <t>ÉCOLE NATIONALE SUPÉRIEURE D'ART DE PARIS-CERGY - ENSAPC</t>
  </si>
  <si>
    <t>Type emplois</t>
  </si>
  <si>
    <t>EC_tit</t>
  </si>
  <si>
    <t>CH_tit</t>
  </si>
  <si>
    <t>EC_aut</t>
  </si>
  <si>
    <t>CH_aut</t>
  </si>
  <si>
    <t>AP_tit</t>
  </si>
  <si>
    <t>AP_aut</t>
  </si>
  <si>
    <t>Corps-grades</t>
  </si>
  <si>
    <t>PR</t>
  </si>
  <si>
    <t>Professeur des universités et autres</t>
  </si>
  <si>
    <t>DIRH</t>
  </si>
  <si>
    <t>Directeur d'études EHESS</t>
  </si>
  <si>
    <t>DIRP</t>
  </si>
  <si>
    <t>Directeur d'études EPHE, EFE</t>
  </si>
  <si>
    <t>Physicien</t>
  </si>
  <si>
    <t>Astronome</t>
  </si>
  <si>
    <t>PUPH</t>
  </si>
  <si>
    <t>Professeurs des universités-Praticiens hospitaliers</t>
  </si>
  <si>
    <t>PR_AutMin</t>
  </si>
  <si>
    <t>Professeur des établissements dépendant d'autres ministères</t>
  </si>
  <si>
    <t>Professeurs des universités et assimilés (MESR), Professeurs d'autres ministères</t>
  </si>
  <si>
    <t>MCF</t>
  </si>
  <si>
    <t>Maître de conférences des universités et autres</t>
  </si>
  <si>
    <t>MCFP</t>
  </si>
  <si>
    <t>Maître de conférences EPHE, EFE, Ec. Nat. Chartes</t>
  </si>
  <si>
    <t>Physicien_adj</t>
  </si>
  <si>
    <t>Physicien adjoint</t>
  </si>
  <si>
    <t>Astronome_adj</t>
  </si>
  <si>
    <t>Astronome adjoint</t>
  </si>
  <si>
    <t>MCUPH</t>
  </si>
  <si>
    <t>Maître de conférences des universités-Praticiens hospitaliers</t>
  </si>
  <si>
    <t>MC_AutMin</t>
  </si>
  <si>
    <t>Maître de conférences ou Maître assistant des établissements dépendant d'autres ministères</t>
  </si>
  <si>
    <t>Autre EC permanent</t>
  </si>
  <si>
    <t>Autre enseignant-chercheur permanent</t>
  </si>
  <si>
    <t>Maîtres de conférences et assimilés (MESR), Maîtres de conférences d'autres ministères</t>
  </si>
  <si>
    <t>PREM</t>
  </si>
  <si>
    <t>Professeur émérite</t>
  </si>
  <si>
    <t>CCA</t>
  </si>
  <si>
    <t>Chef de clinique assistant</t>
  </si>
  <si>
    <t>AHU</t>
  </si>
  <si>
    <t>Attaché hospitalier universitaire</t>
  </si>
  <si>
    <t>PHU</t>
  </si>
  <si>
    <t>Praticien hospitalier universitaire</t>
  </si>
  <si>
    <t>ECC</t>
  </si>
  <si>
    <t>Enseignant-chercheur contractuel (dont contrats LRU)</t>
  </si>
  <si>
    <t>PAST</t>
  </si>
  <si>
    <t>Enseignant-chercheur associé (MC, PR à temps partiel ou temps plein)</t>
  </si>
  <si>
    <t>Autre_EC</t>
  </si>
  <si>
    <t>Autre statut</t>
  </si>
  <si>
    <t>ChPJ</t>
  </si>
  <si>
    <t>Chaire de professeur junior</t>
  </si>
  <si>
    <t>Enseignants-chercheurs non titulaires, émérites et autres</t>
  </si>
  <si>
    <r>
      <rPr>
        <b/>
        <sz val="11"/>
        <rFont val="Century Gothic"/>
        <family val="2"/>
      </rPr>
      <t>Enseignants-chercheurs et assimilés</t>
    </r>
    <r>
      <rPr>
        <sz val="11"/>
        <rFont val="Century Gothic"/>
        <family val="2"/>
      </rPr>
      <t xml:space="preserve">
(personnels ayant une obligation statutaire d'enseignement et de recherche)</t>
    </r>
  </si>
  <si>
    <t>DR ou assimilé</t>
  </si>
  <si>
    <t>CR ou assimilé</t>
  </si>
  <si>
    <t>Chercheurs des EPIC et autres organismes, fondations ou entreprises privées</t>
  </si>
  <si>
    <t>Cadre_supérieur</t>
  </si>
  <si>
    <t>Cadre_confirmé</t>
  </si>
  <si>
    <t>Cadre_débutant</t>
  </si>
  <si>
    <t>Cadre scientifique des EPIC, personnels des ministères autres que MESR reconnus comme chercheurs</t>
  </si>
  <si>
    <t>CBIB</t>
  </si>
  <si>
    <t>CPAT</t>
  </si>
  <si>
    <t>DREM</t>
  </si>
  <si>
    <t>CJC</t>
  </si>
  <si>
    <t>Ch_contractuel</t>
  </si>
  <si>
    <t>POST-DOC</t>
  </si>
  <si>
    <t>CH_INVITÉ</t>
  </si>
  <si>
    <t>DOCTEUR</t>
  </si>
  <si>
    <t>Autre_Ch</t>
  </si>
  <si>
    <t>Conservateurs</t>
  </si>
  <si>
    <t>Conservateur des bibliothèques</t>
  </si>
  <si>
    <t>Conservateur du patrimoine</t>
  </si>
  <si>
    <t>Directeur de recherche émérite</t>
  </si>
  <si>
    <t>Contrat jeune chercheur (CDD 3 / 5 ans,  ATIP-Avenir)</t>
  </si>
  <si>
    <t>Chercheur contractuel</t>
  </si>
  <si>
    <t xml:space="preserve">Post-doctorant </t>
  </si>
  <si>
    <t>Visiteur étranger : professeur invité et chercheur associé, ayant séjourné au moins 1 mois au sein de l'unité</t>
  </si>
  <si>
    <t>Docteur en médecine, pharmacie, etc.</t>
  </si>
  <si>
    <t>autre statut</t>
  </si>
  <si>
    <t>Chercheurs non titulaires, émérites et autres</t>
  </si>
  <si>
    <r>
      <rPr>
        <b/>
        <sz val="11"/>
        <rFont val="Century Gothic"/>
        <family val="2"/>
      </rPr>
      <t>Chercheurs et assimilés</t>
    </r>
    <r>
      <rPr>
        <sz val="11"/>
        <rFont val="Century Gothic"/>
        <family val="2"/>
      </rPr>
      <t xml:space="preserve">
(personnels ayant une obligation statutaire de recherche)</t>
    </r>
  </si>
  <si>
    <t>PRAG</t>
  </si>
  <si>
    <t>Professeur agrégé</t>
  </si>
  <si>
    <t>PCAP</t>
  </si>
  <si>
    <t>Professeur certifié</t>
  </si>
  <si>
    <t>INGADM</t>
  </si>
  <si>
    <t>Ingénieurs de l'armement, des mines, des télécommunications, des ponts des eaux et des forêts, des travaux publics, de l'agriculture et de l'environnement, administrateurs civils (hors MENESR) et INSEE, inspecteurs généraux, architectes et urbanistes de l'État</t>
  </si>
  <si>
    <t>ADMAENES</t>
  </si>
  <si>
    <t>Administrateur de l'éducation nationale et de l'enseignement supérieur, Conseiller d'administration scolaire et universitaire</t>
  </si>
  <si>
    <t>ADAENES</t>
  </si>
  <si>
    <t>Attaché et Attaché principal d'administration de l'éducation nationale et de l'enseignement supérieur</t>
  </si>
  <si>
    <t>SAENES</t>
  </si>
  <si>
    <t>Secrétaire administratif de l'éducation nationale et de l'enseignement supérieur</t>
  </si>
  <si>
    <t>ADJAENES</t>
  </si>
  <si>
    <t>Adjoint d'administration de l'éducation nationale et de l'enseignement supérieur</t>
  </si>
  <si>
    <t>Ingénieur de recherche</t>
  </si>
  <si>
    <t>Ingénieur d'études</t>
  </si>
  <si>
    <t>Assistant ingénieur</t>
  </si>
  <si>
    <t>TCH</t>
  </si>
  <si>
    <t>Technicien de recherche, quelle que soit la classe</t>
  </si>
  <si>
    <t>AJT</t>
  </si>
  <si>
    <t>Adjoints et agents techniques de recherche, adjoints et agents administratifs, quelle que soit la classe</t>
  </si>
  <si>
    <t>BIB</t>
  </si>
  <si>
    <t>Bibliothécaire d'état</t>
  </si>
  <si>
    <t>BIBAS</t>
  </si>
  <si>
    <t>Bibliothécaire assistant spécialisé</t>
  </si>
  <si>
    <t>ASBIB</t>
  </si>
  <si>
    <t>Assistant des bibliothèques</t>
  </si>
  <si>
    <t>MABIB</t>
  </si>
  <si>
    <t>Magasinier et magasinier principal des bibliothèques</t>
  </si>
  <si>
    <t>Cadre_EPIC</t>
  </si>
  <si>
    <t>Personnel cadre non scientifique des EPIC</t>
  </si>
  <si>
    <t>NonCadre_EPIC</t>
  </si>
  <si>
    <t>Personnel non cadre et non scientifique des EPIC</t>
  </si>
  <si>
    <t>CDI</t>
  </si>
  <si>
    <t>Contrat à durée indéterminée (catégorie non précisée)</t>
  </si>
  <si>
    <t>CDI.A</t>
  </si>
  <si>
    <t>Contrat à durée indéterminée (catégorie A)</t>
  </si>
  <si>
    <t>CDI.B</t>
  </si>
  <si>
    <t>Contrat à durée indéterminée (catégorie B)</t>
  </si>
  <si>
    <t>CDI.C</t>
  </si>
  <si>
    <t>Contrat à durée indéterminée (catégorie C)</t>
  </si>
  <si>
    <t>PH</t>
  </si>
  <si>
    <t>Praticien hospitalier</t>
  </si>
  <si>
    <t>AJH</t>
  </si>
  <si>
    <t>Adjoint administratif, technique, ouvrier, agent de service hospitaliers</t>
  </si>
  <si>
    <t>ASPM</t>
  </si>
  <si>
    <t>Aide-soignant, auxiliaire de puériculture, aide médico-psychologique</t>
  </si>
  <si>
    <t>SEC</t>
  </si>
  <si>
    <t>Secrétaire hospitalier</t>
  </si>
  <si>
    <t>TEC</t>
  </si>
  <si>
    <t>Technicien hospitalier</t>
  </si>
  <si>
    <t>INF</t>
  </si>
  <si>
    <t>Infirmier</t>
  </si>
  <si>
    <t>SF</t>
  </si>
  <si>
    <t>Sage-femme</t>
  </si>
  <si>
    <t>ARC</t>
  </si>
  <si>
    <t>Attaché de recherche clinique</t>
  </si>
  <si>
    <t>CS</t>
  </si>
  <si>
    <t>Cadre de santé</t>
  </si>
  <si>
    <t>INGH</t>
  </si>
  <si>
    <t>Ingénieur hospitalier</t>
  </si>
  <si>
    <t>CP</t>
  </si>
  <si>
    <t>Chef de projet (en milieu hospitalier)</t>
  </si>
  <si>
    <t>PATP</t>
  </si>
  <si>
    <t>Personnel associé à temps partiel</t>
  </si>
  <si>
    <t>CT</t>
  </si>
  <si>
    <t>Contrat à durée déterminée (catégorie non précisée)</t>
  </si>
  <si>
    <t>CT.A</t>
  </si>
  <si>
    <t>Contrat à durée déterminée (catégorie A)</t>
  </si>
  <si>
    <t>CT.B</t>
  </si>
  <si>
    <t>Contrat à durée déterminée (catégorie B)</t>
  </si>
  <si>
    <t>CT.C</t>
  </si>
  <si>
    <t>Contrat à durée déterminée (catégorie C)</t>
  </si>
  <si>
    <t>Autre_AP</t>
  </si>
  <si>
    <t>STAGIAIRE</t>
  </si>
  <si>
    <t>Stagiaire BTS, M1 ou M2 présent au moins 1 mois dans l'unité</t>
  </si>
  <si>
    <t>DOCTORANT</t>
  </si>
  <si>
    <t>Doctorant</t>
  </si>
  <si>
    <t>Enseignants du secondaire détachés dans le supérieur</t>
  </si>
  <si>
    <t>Inspecteurs, Ingénieurs des grands corps, administrateurs civils et INSEE</t>
  </si>
  <si>
    <t>ATOS</t>
  </si>
  <si>
    <t>ITRF - ITA</t>
  </si>
  <si>
    <t>Bibliothécaires</t>
  </si>
  <si>
    <t>Personnels non scientifiques  EPIC ou fondations</t>
  </si>
  <si>
    <t>Autres personnels permanents</t>
  </si>
  <si>
    <t>Personnels hospitaliers</t>
  </si>
  <si>
    <t>Autres personnels non titulaires et autres</t>
  </si>
  <si>
    <r>
      <rPr>
        <b/>
        <sz val="11"/>
        <rFont val="Century Gothic"/>
        <family val="2"/>
      </rPr>
      <t>Autres personnels</t>
    </r>
    <r>
      <rPr>
        <sz val="11"/>
        <rFont val="Century Gothic"/>
        <family val="2"/>
      </rPr>
      <t xml:space="preserve">
(personnels n'ayant pas d'obligation statutaire de recherche)</t>
    </r>
  </si>
  <si>
    <t>Financement du doctorant</t>
  </si>
  <si>
    <t>CD</t>
  </si>
  <si>
    <t>CDE</t>
  </si>
  <si>
    <t>CDENSX</t>
  </si>
  <si>
    <t>CDO</t>
  </si>
  <si>
    <t>ATER</t>
  </si>
  <si>
    <t>CIFRE</t>
  </si>
  <si>
    <t>SECD</t>
  </si>
  <si>
    <t>INDUSTR</t>
  </si>
  <si>
    <t>ASSOC</t>
  </si>
  <si>
    <t>COLLTERR</t>
  </si>
  <si>
    <t>ETR</t>
  </si>
  <si>
    <t>RP</t>
  </si>
  <si>
    <t>(...)</t>
  </si>
  <si>
    <t>AUCUN</t>
  </si>
  <si>
    <t>Contrat doctoral uniquement recherche</t>
  </si>
  <si>
    <t>Contrat doctoral avec activités complémentaires (e.g. enseignement)</t>
  </si>
  <si>
    <t>Contrat doctoral spécifique normalien ou polytechnicien</t>
  </si>
  <si>
    <t>Contral doctoral organisme (EPST, EPA ayant une mission d'enseignement supérieur)</t>
  </si>
  <si>
    <t>Attaché temporaire d'enseignement et de recherche</t>
  </si>
  <si>
    <t xml:space="preserve">Convention industrielle de formation par la recherche </t>
  </si>
  <si>
    <t>Enseignant du second degré</t>
  </si>
  <si>
    <t>Contrat industriel</t>
  </si>
  <si>
    <t>Association</t>
  </si>
  <si>
    <t>Collectivité territoriale</t>
  </si>
  <si>
    <t>Financement étranger</t>
  </si>
  <si>
    <t>Financement sur ressources propres de l'unité</t>
  </si>
  <si>
    <t>Autre financement à préciser</t>
  </si>
  <si>
    <t>Aucun financement</t>
  </si>
  <si>
    <t>Agents contractuels dans le secteur public (ATER exclus)</t>
  </si>
  <si>
    <t>Titulaires de la fonction publique en qualité de chercheur, enseignant-chercheur, ingénieur de recherche</t>
  </si>
  <si>
    <t>Titulaires de la fonction publique en qualité d'enseignants dans le 1er ou le 2nd degré</t>
  </si>
  <si>
    <t>Titulaires de la fonction publique dans une autre catégorie (collectivité territoriale, ministère, agence, secteur hospitalier, etc.)</t>
  </si>
  <si>
    <t>Contrats d'ATER</t>
  </si>
  <si>
    <t>Contrats post-doctoraux en France (ATER exclus)</t>
  </si>
  <si>
    <t>Contrats post-doctoraux à l'étranger dans l'Union Européenne</t>
  </si>
  <si>
    <t>Contrats post-doctoraux à l'étranger hors Union Européenne</t>
  </si>
  <si>
    <t>Emplois permanents dans le secteur privé en qualité de chercheur, ingénieur, chef d'entreprise, professions libérales</t>
  </si>
  <si>
    <t>Emplois permanents dans le secteur privé sur un autre type d'emploi</t>
  </si>
  <si>
    <t>Emplois à durée déterminée dans le secteur privé en qualité de chercheur, ingénieur ou autre poste ayant requis un doctorat</t>
  </si>
  <si>
    <t xml:space="preserve">Emplois à durée déterminée dans le secteur privé dans une autre catégorie </t>
  </si>
  <si>
    <t>En recherche d'emploi</t>
  </si>
  <si>
    <t>En reprise d'études</t>
  </si>
  <si>
    <t>Chercheur, enseignant-chercheur, ingénieur de recherche dans un pays étranger</t>
  </si>
  <si>
    <t>Autres situations</t>
  </si>
  <si>
    <t>Situations inconnues</t>
  </si>
  <si>
    <t>Devenir du Doctorant</t>
  </si>
  <si>
    <t>Directeur</t>
  </si>
  <si>
    <t>Directeur adjoint</t>
  </si>
  <si>
    <t>Secrétaire général</t>
  </si>
  <si>
    <t>Responsable d'équipe</t>
  </si>
  <si>
    <t>Autre</t>
  </si>
  <si>
    <t>Enseignants-chercheurs titulaires</t>
  </si>
  <si>
    <t>Autres enseignants-chercheurs</t>
  </si>
  <si>
    <t>Chercheurs titulaires ou CDI</t>
  </si>
  <si>
    <t>Autres chercheurs</t>
  </si>
  <si>
    <t>Autres personnels titulaires ou CDI</t>
  </si>
  <si>
    <t>Autres personnels</t>
  </si>
  <si>
    <t>Organismes, fondations</t>
  </si>
  <si>
    <t>Liste des nomenclatures :</t>
  </si>
  <si>
    <t>Domaines scientifiques</t>
  </si>
  <si>
    <t>Panels disciplinaires</t>
  </si>
  <si>
    <t>SHS1 - Marchés et organisations</t>
  </si>
  <si>
    <t>SHS2 - Institutions, gouvernance et systèmes juridiques</t>
  </si>
  <si>
    <t>SHS3 - Le Monde social et sa diversité</t>
  </si>
  <si>
    <t>SHS4 - L’esprit humain et sa complexité</t>
  </si>
  <si>
    <t xml:space="preserve">SHS5 - Cultures et productions culturelles </t>
  </si>
  <si>
    <t>SHS6 - Histoire générale du passé et des savoirs</t>
  </si>
  <si>
    <t>SHS7 - Espace et relations hommes/milieux</t>
  </si>
  <si>
    <t>ST1 - Mathématiques</t>
  </si>
  <si>
    <t>ST2 - Physique</t>
  </si>
  <si>
    <t>ST3 - Sciences de la terre et de l'univers</t>
  </si>
  <si>
    <t>ST4 - Chimie</t>
  </si>
  <si>
    <t>ST5 - Sciences pour l'ingénieur</t>
  </si>
  <si>
    <t>ST6 - Sciences et technologies de l'information et de la communication - STIC</t>
  </si>
  <si>
    <t>SVE1 - Biologie environnementale fondamentale et appliquée, écologie, évolution</t>
  </si>
  <si>
    <t>SVE2 - Productions végétales et animales (agronomie), biologie végétale et animale, biotechnologie et ingénierie des biosystèmes</t>
  </si>
  <si>
    <t xml:space="preserve">SVE3 - Molécules du vivant, biologie intégrative (des gènes et génomes aux systèmes), biologie cellulaire et du développement pour la science animale </t>
  </si>
  <si>
    <t>SVE4 - Immunité, infection et immunothérapie</t>
  </si>
  <si>
    <t>SVE5 - Neurosciences et troubles du système nerveux</t>
  </si>
  <si>
    <t>SVE6 - Physiologie et physiopathologie humaine, vieillissement</t>
  </si>
  <si>
    <t>SVE7 - Prévention, diagnostic et traitement des maladies humaines (médecine préventive et pronostique, santé publique et épidémiologie, santé environnementale, médecine du travail, soins de santé, y compris soins pour la population vieillissante, technologies et outils médicaux pour la prévention, imagerie, diagnostic et traitement des maladies humaines, approches et interventions thérapeutiques, pharmacologie, conception de médicaments)</t>
  </si>
  <si>
    <t>Sous-panels disciplinaires</t>
  </si>
  <si>
    <t>SHS1_1  Économie</t>
  </si>
  <si>
    <t>SHS1_2  Management</t>
  </si>
  <si>
    <t>SHS2_1  Droit</t>
  </si>
  <si>
    <t xml:space="preserve">SHS3_1  Science politique </t>
  </si>
  <si>
    <t>SHS3_2  Sociologie</t>
  </si>
  <si>
    <t>SHS3_3  Anthropologie sociale</t>
  </si>
  <si>
    <t>SHS3_4  Sciences de l’information et de la communication</t>
  </si>
  <si>
    <t xml:space="preserve">SHS4_1  Psychologie </t>
  </si>
  <si>
    <t xml:space="preserve">SHS4_2  Linguistique </t>
  </si>
  <si>
    <t xml:space="preserve">SHS4_3  Sciences de l’Éducation </t>
  </si>
  <si>
    <t>SHS4_4  Sciences du Mouvement Humain, des activités Physiques et du Sport</t>
  </si>
  <si>
    <t>SHS5_1  Études littéraires</t>
  </si>
  <si>
    <t>SHS5_2  Études culturelles</t>
  </si>
  <si>
    <t>SHS5_3  Arts</t>
  </si>
  <si>
    <t>SHS5_4  Philosophie, humanités numériques</t>
  </si>
  <si>
    <t xml:space="preserve">SHS6-1  Archéologie </t>
  </si>
  <si>
    <t>SHS6-2  Histoire générale du passé</t>
  </si>
  <si>
    <t>SHS6-3  Histoire des savoirs</t>
  </si>
  <si>
    <t xml:space="preserve">SHS7_1  Géographie humaine et outils de la géographie </t>
  </si>
  <si>
    <t xml:space="preserve">SHS7_2  Population et santé </t>
  </si>
  <si>
    <t>SHS7_3  Rapports Hommes/milieux</t>
  </si>
  <si>
    <t xml:space="preserve">SHS7_4  Aménagement et architecture </t>
  </si>
  <si>
    <t>ST1_1  Mathématiques fondamentales</t>
  </si>
  <si>
    <t>ST1_2  Mathématiques appliquées</t>
  </si>
  <si>
    <t>ST2_1  Physique nucléaire et physique des particules, astroparticules et cosmologie, et leurs applications</t>
  </si>
  <si>
    <t>ST2_2  Physique des atomes, molécules et plasmas, optique et lasers</t>
  </si>
  <si>
    <t>ST2_3  Physique de la matière condensée, nanosciences, propriétés électroniques, systèmes complexes, approches multi-échelles</t>
  </si>
  <si>
    <t>ST3_1  Océan, atmosphère</t>
  </si>
  <si>
    <t>ST3_2  Terre solide</t>
  </si>
  <si>
    <t>ST3_3  Astronomie, univers</t>
  </si>
  <si>
    <t>ST4_1  Chimie physique théorique et analytique</t>
  </si>
  <si>
    <t>ST4_2  Chimie coordination, catalyse, matériaux</t>
  </si>
  <si>
    <t>ST4_3  Chimie moléculaire, polymères</t>
  </si>
  <si>
    <t>ST4_4  Chimie du et pour le vivant</t>
  </si>
  <si>
    <t>ST5_1  Mécanique du solide</t>
  </si>
  <si>
    <t>ST5_2  Génie des procédés</t>
  </si>
  <si>
    <t>ST5_3  Mécanique des fluides</t>
  </si>
  <si>
    <t>ST5_4  Énergie, thermique</t>
  </si>
  <si>
    <t>ST6_1  Informatique</t>
  </si>
  <si>
    <t>ST6_2  Génie électrique, électronique, électromagnétique, photonique et systèmes</t>
  </si>
  <si>
    <t>ST6_3  Signal, image, automatique, robotique et génie industriel</t>
  </si>
  <si>
    <t>SVE1_1  Écotoxicologie et biologie environnementale appliquée</t>
  </si>
  <si>
    <t>SVE1_3  Écologie marine et d'eau douce</t>
  </si>
  <si>
    <t>SVE1_4  Évolution</t>
  </si>
  <si>
    <t>SVE2_1  Biologie animale appliquée et productions animales</t>
  </si>
  <si>
    <t>SVE2_2  Biologie végétale fondamentale et appliquée et productions végétales</t>
  </si>
  <si>
    <t>SVE2_3  Biologie marine</t>
  </si>
  <si>
    <t>SVE2_4  Biotechnologie, production et utilisation de la biomasse, ingénierie des biosystèmes</t>
  </si>
  <si>
    <t>SVE3_1  Biologie moléculaire et structurale, biochimie</t>
  </si>
  <si>
    <t>SVE3_2  Génétique, génomique, bioinformatique, biologie des systèmes</t>
  </si>
  <si>
    <t>SVE3_3 Biologie cellulaire, biologie du développement animal</t>
  </si>
  <si>
    <t>SVE4_1  Immunologie</t>
  </si>
  <si>
    <t>SVE4_2  Bactériologie</t>
  </si>
  <si>
    <t>SVE4_3  Parasitologie</t>
  </si>
  <si>
    <t>SVE4_4  Virologie</t>
  </si>
  <si>
    <t>SVE5-1  Base neuronale de la cognition, du comportement, des systèmes sensoriels et moteur</t>
  </si>
  <si>
    <t>SVE5-2  Développement neurologique et troubles connexes, vieillissement, troubles neurologiques et neurodégénératifs, troubles mentaux</t>
  </si>
  <si>
    <t>SVE5-3  Cellules neuronales, biologie cellulaire des neuros, transmission synaptique</t>
  </si>
  <si>
    <t>SVE5-4  Neurotechnologies, neurosciences computationnelles, imagerie en neurosciences</t>
  </si>
  <si>
    <t>SVE5-5  Neuroimmunologie, neuroinflammation, barrière neurovasculaire et hémato-encéphalique</t>
  </si>
  <si>
    <t>SVE6_1  Physiologie, endrocrinologie, physiopathologie</t>
  </si>
  <si>
    <t xml:space="preserve">SVE6_2  Cardiologie, cardiovasculaire  </t>
  </si>
  <si>
    <t xml:space="preserve">SVE6_3  Génétique médicale </t>
  </si>
  <si>
    <t>SVE6_4  Cancer</t>
  </si>
  <si>
    <t xml:space="preserve">SVE7-1   Santé publique et épidémiologie    </t>
  </si>
  <si>
    <t>SVE7-5  Pharmacologie et conception de médicaments</t>
  </si>
  <si>
    <t>SVE1_2  Écologie terrestre</t>
  </si>
  <si>
    <t>SVE7-2   Santé environnementale, médecine du travail, soins de santé (y compris soins pour la  population vieillissante)</t>
  </si>
  <si>
    <t>SVE7-3   Imagerie, technologies médicales</t>
  </si>
  <si>
    <t>SVE7-4   Diagnostic, approches thérapeutiques et interventions sur les maladies humaines</t>
  </si>
  <si>
    <t>Droit privé et sciences criminelles</t>
  </si>
  <si>
    <t>Droit public</t>
  </si>
  <si>
    <t>Histoire du droit et des institutions</t>
  </si>
  <si>
    <t>Science politique</t>
  </si>
  <si>
    <t>Sciences économiques</t>
  </si>
  <si>
    <t>Sciences de gestion et du management</t>
  </si>
  <si>
    <t>Sciences du langage</t>
  </si>
  <si>
    <t>Langues et littératures anciennes</t>
  </si>
  <si>
    <t>Langue et littérature française</t>
  </si>
  <si>
    <t>Littératures comparées</t>
  </si>
  <si>
    <t>Études anglophones</t>
  </si>
  <si>
    <t>Études germaniques et scandinaves</t>
  </si>
  <si>
    <t>Études slaves et baltes</t>
  </si>
  <si>
    <t>Études romanes</t>
  </si>
  <si>
    <t>Langues, littératures et cultures africaines, asiatiques et d'autres aires linguistiques</t>
  </si>
  <si>
    <t>Psychologie et ergonomie</t>
  </si>
  <si>
    <t>Philosophie</t>
  </si>
  <si>
    <t>Architecture (ses théories et ses pratiques), arts appliqués, arts plastiques, arts du spectacle, épistémologie des enseignements artistiques, esthétique, musicologie, musique, sciences de l'art</t>
  </si>
  <si>
    <t>Sociologie, démographie</t>
  </si>
  <si>
    <t>Ethnologie, préhistoire, anthropologie biologique</t>
  </si>
  <si>
    <t>Histoire, civilisations, archéologie et art des mondes anciens et médiévaux</t>
  </si>
  <si>
    <t>Histoire et civilisations : histoire des mondes modernes, histoire du monde contemporain ; de l'art ; de la musique</t>
  </si>
  <si>
    <t>Géographie physique, humaine, économique et régionale</t>
  </si>
  <si>
    <t>Aménagement de l'espace, urbanisme</t>
  </si>
  <si>
    <t>Mathématiques</t>
  </si>
  <si>
    <t>Mathématiques appliquées et applications des mathématiques</t>
  </si>
  <si>
    <t>Informatique</t>
  </si>
  <si>
    <t>Milieux denses et matériaux</t>
  </si>
  <si>
    <t>Constituants élémentaires</t>
  </si>
  <si>
    <t>Milieux dilués et optique</t>
  </si>
  <si>
    <t>Chimie théorique, physique, analytique</t>
  </si>
  <si>
    <t>Chimie organique, minérale, industrielle</t>
  </si>
  <si>
    <t>Chimie des matériaux</t>
  </si>
  <si>
    <t>Astronomie, astrophysique</t>
  </si>
  <si>
    <t>Structure et évolution de la terre et des autres planètes</t>
  </si>
  <si>
    <t>Terre solide : géodynamique des enveloppes supérieure, paléobiosphère</t>
  </si>
  <si>
    <t>Météorologie, océanographie physique et physique de l'environnement</t>
  </si>
  <si>
    <t>Mécanique, génie mécanique, génie civil</t>
  </si>
  <si>
    <t>Génie informatique, automatique et traitement du signal</t>
  </si>
  <si>
    <t>Energétique, génie des procédés</t>
  </si>
  <si>
    <t>Génie électrique, électronique, photonique et systèmes</t>
  </si>
  <si>
    <t>Biochimie et biologie moléculaire</t>
  </si>
  <si>
    <t>Biologie cellulaire</t>
  </si>
  <si>
    <t>Physiologie</t>
  </si>
  <si>
    <t>Biologie des populations et écologie</t>
  </si>
  <si>
    <t>Biologie des organismes</t>
  </si>
  <si>
    <t>Neurosciences</t>
  </si>
  <si>
    <t>Sciences de l'éducation et de la formation</t>
  </si>
  <si>
    <t>Sciences de l'information et de la communication</t>
  </si>
  <si>
    <t>Epistémologie, histoire des sciences et des techniques</t>
  </si>
  <si>
    <t>Cultures et langues régionales</t>
  </si>
  <si>
    <t>Sciences et techniques des activités physiques et sportives</t>
  </si>
  <si>
    <t>Théologie catholique</t>
  </si>
  <si>
    <t>Théologie protestante</t>
  </si>
  <si>
    <t>Personnels enseignants-chercheurs de pharmacie en sciences physico-chimiques et ingénierie appliquée à la santé</t>
  </si>
  <si>
    <t>Personnels enseignants-chercheurs de pharmacie en sciences du médicament et des autres produits de santé</t>
  </si>
  <si>
    <t>Personnels enseignants-chercheurs de pharmacie en sciences biologiques, fondamentales et cliniques</t>
  </si>
  <si>
    <t>Personnels enseignants-chercheurs des disciplines des sciences de la rééducation et de réadaptation</t>
  </si>
  <si>
    <t>Personnels enseignants-chercheurs des disciplines des sciences infirmières</t>
  </si>
  <si>
    <t>Droit, économie et gestion</t>
  </si>
  <si>
    <t>Lettres et sciences humaines</t>
  </si>
  <si>
    <t>Sciences</t>
  </si>
  <si>
    <t>Théologie</t>
  </si>
  <si>
    <t>Pharmacie (mono-appartenants)</t>
  </si>
  <si>
    <t>Autres sections de santé (mono-appartenants)</t>
  </si>
  <si>
    <t>Pluridisciplinaire</t>
  </si>
  <si>
    <t>Sections de santé (mono-appartenants)</t>
  </si>
  <si>
    <t>Interactions, particules, noyaux, du laboratoire au cosmos</t>
  </si>
  <si>
    <t>Institut national de physique nucléaire et de physique des particules (IN2P3)</t>
  </si>
  <si>
    <t>Théories physiques : méthodes, modèles et applications</t>
  </si>
  <si>
    <t>Institut de physique (INP)</t>
  </si>
  <si>
    <t>Matière condensée : structures et propriétés électroniques</t>
  </si>
  <si>
    <t>Physique des atomes, molécules et plasmas. Optique et lasers</t>
  </si>
  <si>
    <t>Institut des sciences de l'ingenierie et des systemes (INSIS)</t>
  </si>
  <si>
    <t>Matière condensée : organisation et dynamique</t>
  </si>
  <si>
    <t>Sciences de l'information : fondements de l'informatique, calculs, algorithmes, représentations, exploitations</t>
  </si>
  <si>
    <t>Institut des sciences de l'information et de leurs interactions (INS2I)</t>
  </si>
  <si>
    <t>Sciences de l'information : signaux, images, langues, automatique, robotique, interactions, systèmes intégrés matériel-logiciel</t>
  </si>
  <si>
    <t>Micro- et nanotechnologies, micro- et nanosystèmes, photonique, électronique, électromagnétisme, énergie électrique</t>
  </si>
  <si>
    <t>Institut des sciences de l'ingénierie et des systèmes (INSIS)</t>
  </si>
  <si>
    <t>Mécanique des solides. Matériaux et structures. Biomécanique. Acoustique</t>
  </si>
  <si>
    <t>Milieux fluides et réactifs : transports, transferts, procédés de transformation</t>
  </si>
  <si>
    <t>Matière molle : synthèse, élaboration, assemblages, structure, propriétés, fonctions</t>
  </si>
  <si>
    <t>Institut de chimie (INC)</t>
  </si>
  <si>
    <t>Architectures moléculaires : synthèses, mécanismes et propriétés</t>
  </si>
  <si>
    <t>Chimie physique, théorique et analytique</t>
  </si>
  <si>
    <t>Chimie de coordination, catalyse et procédés, interfaces</t>
  </si>
  <si>
    <t>Chimie des matériaux, nanomatériaux et procédés</t>
  </si>
  <si>
    <t>Chimie et vivant</t>
  </si>
  <si>
    <t>Institut des sciences biologiques (INSB)</t>
  </si>
  <si>
    <t>Système solaire et univers lointain</t>
  </si>
  <si>
    <t>Institut national des sciences de l'univers (INSU)</t>
  </si>
  <si>
    <t>Terre et planètes telluriques : structure, histoire, modèles</t>
  </si>
  <si>
    <t>Système Terre : enveloppes superficielles</t>
  </si>
  <si>
    <t>Biologie moléculaire et structurale, biochimie</t>
  </si>
  <si>
    <t>Organisation, expression, évolution des génomes</t>
  </si>
  <si>
    <t>Biologie cellulaire, développement, évolution-développement</t>
  </si>
  <si>
    <t>Biologie intégrative des organismes photosynthétiques et des microorganismes associés</t>
  </si>
  <si>
    <t>Institut d'ecologie et environnement (INEE)</t>
  </si>
  <si>
    <t>Physiologie, physiopathologie, biologie du cancer</t>
  </si>
  <si>
    <t>Neurobiologie moléculaire et cellulaire, neurophysiologie</t>
  </si>
  <si>
    <t>Cerveau, cognition, comportement</t>
  </si>
  <si>
    <t>Institut des sciences humaines et sociales (INSHS)</t>
  </si>
  <si>
    <t>Relations hôte-pathogène, immunologie, inflammation</t>
  </si>
  <si>
    <t>Pharmacologie - ingénierie et technologies pour la santé - imagerie biomédicale</t>
  </si>
  <si>
    <t>Biodiversité, évolution et adaptations biologiques : des macromolécules aux communautés</t>
  </si>
  <si>
    <t>Institut d'écologie et environnement (INEE)</t>
  </si>
  <si>
    <t>Surface continentale et interfaces</t>
  </si>
  <si>
    <t>Institut d'écologie et environnement (INEE) - Institut national des sciences de l'univers (INSU) (INEE-INSU)</t>
  </si>
  <si>
    <t>Hommes et milieux : évolution, interactions</t>
  </si>
  <si>
    <t>Mondes anciens et médiévaux</t>
  </si>
  <si>
    <t>Mondes modernes et contemporains</t>
  </si>
  <si>
    <t>Philosophie, littératures, arts</t>
  </si>
  <si>
    <t>Sociologie et sciences du droit</t>
  </si>
  <si>
    <t>Economie et gestion</t>
  </si>
  <si>
    <t>Anthropologie et étude comparative des sociétés contemporaines</t>
  </si>
  <si>
    <t>Espaces, territoires, sociétés</t>
  </si>
  <si>
    <t>Politique, pouvoir, organisation</t>
  </si>
  <si>
    <t>Mathématiques et interactions des mathématiques</t>
  </si>
  <si>
    <t>Institut national des sciences mathématiques et de leurs interactions (INSMI)</t>
  </si>
  <si>
    <t>Commissions Scientifiques Spécialisées Inserm (2016-2021)</t>
  </si>
  <si>
    <t xml:space="preserve"> Mécanismes moléculaires et cellulaires du vivant</t>
  </si>
  <si>
    <t xml:space="preserve"> Pathologie du développement, hématologie et cancérologie</t>
  </si>
  <si>
    <t xml:space="preserve"> Physiologie et physiopathologie des grands systèmes</t>
  </si>
  <si>
    <t xml:space="preserve"> Neurosciences</t>
  </si>
  <si>
    <t xml:space="preserve"> Immunité, Infection</t>
  </si>
  <si>
    <t xml:space="preserve"> Santé publique, Technologies de la santé</t>
  </si>
  <si>
    <t>Santé publique, Technologies de la santé</t>
  </si>
  <si>
    <t>Commissions Scientifiques Spécialisées Inrae (bilan social 2019)</t>
  </si>
  <si>
    <t>Sciences de la terre, eau, atmosphère</t>
  </si>
  <si>
    <t>Agronomie, élevage, sylviculture</t>
  </si>
  <si>
    <t>Biologie des populations et des écosystèmes</t>
  </si>
  <si>
    <t>Génétique végétale et animale</t>
  </si>
  <si>
    <t>Écophysiologie, génétique et biologie intégrative des plantes</t>
  </si>
  <si>
    <t>Physiologie animale</t>
  </si>
  <si>
    <t>Biologie des interactions hôtes-agresseurs, symbiotes et commensaux</t>
  </si>
  <si>
    <t>Nutrition, toxicologie</t>
  </si>
  <si>
    <t>Sciences et ingénierie des aliments, des matériaux, des molécules pour la chimie et l’énergie</t>
  </si>
  <si>
    <t>Microbiologie et sécurité alimentaire : biotechnologies, biologie des systèmes, pathogènes et pathosystèmes, ecosystèmes</t>
  </si>
  <si>
    <t>Mathématique, bio-informatique, intelligence artificielle</t>
  </si>
  <si>
    <t>Sciences économiques, sociales et de gestion</t>
  </si>
  <si>
    <t>Gestion de la recherche</t>
  </si>
  <si>
    <t>Commissions Scientifiques Spécialisées IRD (08/2021)</t>
  </si>
  <si>
    <t>Sciences physiques et chimiques de l’environnement planétaire</t>
  </si>
  <si>
    <t>Sciences biologiques et médicales</t>
  </si>
  <si>
    <t>Sciences des systèmes écologiques</t>
  </si>
  <si>
    <t>Sciences humaines et sociales</t>
  </si>
  <si>
    <t>Sciences des données et des modèles</t>
  </si>
  <si>
    <t>Gestion de la recherche et de ses applications</t>
  </si>
  <si>
    <t>ÉCOLE SUPÉRIEURE D'ART ET DE DESIGN DE MARSEILLE-MEDITÉRRANÉE</t>
  </si>
  <si>
    <t>INSTITUT SUPÉRIEUR DES BEAUX-ARTS BESANCON/FRANCHE-COMTE - ISBA</t>
  </si>
  <si>
    <t>ÉCOLE SUPÉRIEURE D'ART D'AIX-EN-PROVENCE</t>
  </si>
  <si>
    <t>ÉCOLE NATIONALE SUPÉRIEURE DES ARTS ET INDUSTRIES TEXTILES - ENSAIT</t>
  </si>
  <si>
    <t>ÉCOLE SUPÉRIEURE D'ART DE LORRAINE</t>
  </si>
  <si>
    <t>ESAD ORLÉANS</t>
  </si>
  <si>
    <t>CHR ORLÉANS</t>
  </si>
  <si>
    <t>CENTRE HOSPITALIER RÉGIONAL D'ORLÉANS - CHR ORLÉANS</t>
  </si>
  <si>
    <t>ÉCOLE SUPÉRIEURE D'ART ET DE DESIGN D'ORLEANS</t>
  </si>
  <si>
    <t>CENTRE DE LUTTE CONTRE LE CANCER DE LA RÉGION CHAMPAGNE-ARDENNE - INSTITUT JEAN-GODINOT</t>
  </si>
  <si>
    <t>ÉCOLE SUPÉRIEURE D'ART ET DE DESIGN DE REIMS</t>
  </si>
  <si>
    <t>ÉCOLE SUPÉRIEURE D'ART ET DESIGN TOULON PROVENCE MEDITÉRRANÉE - ESADTPM</t>
  </si>
  <si>
    <t>ÉCOLE NATIONALE SUPÉRIEURE MARITIME - ENSM</t>
  </si>
  <si>
    <t>ÉCOLE NORMALE SUPÉRIEURE - ENS</t>
  </si>
  <si>
    <t>ÉCOLE NATIONALE SUPÉRIEURE DE LA PHOTOGRAPHIE D'ARLES</t>
  </si>
  <si>
    <t>ÉCOLE NORMALE SUPÉRIEURE DE RENNES - ENS RENNES</t>
  </si>
  <si>
    <t>ÉCOLE NATIONALE SUPÉRIEURE D'ARCHITECTURE DE CLERMONT-FERRAND</t>
  </si>
  <si>
    <t>ÉCOLE NATIONALE SUPÉRIEURE D'ARCHITECTURE DE BRETAGNE</t>
  </si>
  <si>
    <t>ÉCOLE NATIONALE SUPÉRIEURE D'ARCHITECTURE DE GRENOBLE</t>
  </si>
  <si>
    <t>ÉCOLE NATIONALE SUPÉRIEURE D'ARCHITECTURE DE LYON</t>
  </si>
  <si>
    <t>ÉCOLE NATIONALE SUPÉRIEURE D'ARCHITECTURE DE MONTPELLIER</t>
  </si>
  <si>
    <t>ÉCOLE NATIONALE SUPÉRIEURE D'ARCHITECTURE DE NANTES</t>
  </si>
  <si>
    <t>ÉCOLE NATIONALE SUPÉRIEURE D'ARCHITECTURE DE NORMANDIE</t>
  </si>
  <si>
    <t>ÉCOLE NATIONALE SUPÉRIEURE D'ARCHITECTURE DE PARIS-BELLEVILLE - ENSAPB</t>
  </si>
  <si>
    <t>ÉCOLE NATIONALE SUPÉRIEURE D'ARCHITECTURE DE PARIS LA VILLETTE - ENSAPLV</t>
  </si>
  <si>
    <t>ÉCOLE NATIONALE SUPÉRIEURE D'ARCHITECTURE  PARIS-MALAQUAIS</t>
  </si>
  <si>
    <t>ÉCOLE NATIONALE SUPÉRIEURE D'ARCHITECTURE  PARIS-VAL DE SEINE</t>
  </si>
  <si>
    <t>ÉCOLE NATIONALE SUPÉRIEURE D'ARCHITECTURE DE SAINT-ETIENNE</t>
  </si>
  <si>
    <t>ÉCOLE NATIONALE SUPÉRIEURE D'ARCHITECTURE DE TOULOUSE</t>
  </si>
  <si>
    <t>ÉCOLE NATIONALE SUPÉRIEURE D'ARCHITECTURE  DE VERSAILLES</t>
  </si>
  <si>
    <t>ÉCOLE NATIONALE SUPÉRIEURE DES ARTS DÉCORATIFS</t>
  </si>
  <si>
    <t>ARTS ET METIERS PARISTECH - ÉCOLE NATIONALE SUPÉRIEURE DES ARTS ET METIERS</t>
  </si>
  <si>
    <t>ÉCOLE NATIONALE SUPÉRIEURE D'ARCHITECTURE ET DE PAYSAGE DE BORDEAUX</t>
  </si>
  <si>
    <t>ÉCOLE NATIONALE SUPÉRIEURE D'ARCHITECTURE ET DE PAYSAGE DE LILLE</t>
  </si>
  <si>
    <t>ÉCOLE NATIONALE SUPÉRIEURE DES ARTS ET TECHNIQUES DU THEATRE - ENSATT</t>
  </si>
  <si>
    <t>ÉCOLE D'ARCHITECTURE DE LA VILLE ET DES TERRITOIRES</t>
  </si>
  <si>
    <t>ÉCOLE NATIONALE SUPÉRIEURE DES BEAUX-ARTS DE LYON</t>
  </si>
  <si>
    <t>ÉCOLE SUPÉRIEURE D'ART DE L'AGGLOMERATION D'ANNECY - ESAAA</t>
  </si>
  <si>
    <t>ÉCOLE SUPÉRIEURE D'ART D'AVIGNON</t>
  </si>
  <si>
    <t>ÉCOLE SUPÉRIEURE D'ART DE CLERMONT MÉTROPOLE - ESACM</t>
  </si>
  <si>
    <t>ÉCOLE SUPÉRIEURE D'ART DE LA RÉUNION</t>
  </si>
  <si>
    <t>ÉCOLE SUPÉRIEURE D'ART DU NORD-PAS DE CALAIS DUNKERQUE-TOURCOING</t>
  </si>
  <si>
    <t>ÉCOLE SUPÉRIEURE D'ART DES PYRÉNÉES - PAU TARBES</t>
  </si>
  <si>
    <t>ÉCOLE SUPÉRIEURE D'ART ET DE COMMUNICATION CAMBRAI</t>
  </si>
  <si>
    <t>ÉCOLE SUPÉRIEURE D'ART ET DE DESIGN D'AMIENS</t>
  </si>
  <si>
    <t>ÉCOLE SUPÉRIEURE D'ART ET DESIGN GRENOBLE VALENCE</t>
  </si>
  <si>
    <t>ÉCOLE SUPÉRIEURE D'ART ET DESIGN LE HAVRE-ROUEN</t>
  </si>
  <si>
    <t>ÉCOLE SUPÉRIEURE D'ART ET DESIGN SAINT-ETIENNE - ESADSE</t>
  </si>
  <si>
    <t>ÉCOLE SUPÉRIEURE DES BEAUX-ARTS DE MONTPELLIER MEDITÉRRANÉE MÉTROPOLE</t>
  </si>
  <si>
    <t>ÉCOLE SUPÉRIEURE DE JOURNALISME DE LILLE - ESJ LILLE</t>
  </si>
  <si>
    <t>ÉCOLE SUPÉRIEURE DES TECHNOLOGIES INDUSTRIELLES AVANCÉES - ESTIA</t>
  </si>
  <si>
    <t>ÉCOLE SPÉCIALE DES TRAVAUX PUBLICS DU BATIMENT ET DE L'INDUSTRIE - ESTP PARIS</t>
  </si>
  <si>
    <t>GROUPE DES ÉCOLES NATIONALES D'ÉCONOMIE ET DE STATISTIQUE - GENES</t>
  </si>
  <si>
    <t>INSTITUT FRANCAIS DES SCIENCES ET TECHNOLOGIES DES TRANSPORTS, DE L'AMÉNAGEMENT ET DES RÉSEAUX - IFSTTAR</t>
  </si>
  <si>
    <t>INSTITUT DES HAUTES ÉTUDES SCIENTIFIQUES - IHES</t>
  </si>
  <si>
    <t>INSTITUT NATIONAL D'ÉTUDES DÉMOGRAPHIQUES - INED</t>
  </si>
  <si>
    <t>INSTITUT NATIONAL DE RECHERCHES ARCHÉOLOGIQUES PRÉVENTIVES - INRAP</t>
  </si>
  <si>
    <t>INSTITUT NATIONAL DES SCIENCES APPLIQUÉES DE LYON</t>
  </si>
  <si>
    <t>INSTITUT NATIONAL DES SCIENCES APPLIQUÉES DE RENNES</t>
  </si>
  <si>
    <t>INSTITUT NATIONAL DES SCIENCES APPLIQUÉES DE ROUEN</t>
  </si>
  <si>
    <t>INSTITUT NATIONAL DES SCIENCES APPLIQUÉES DE TOULOUSE</t>
  </si>
  <si>
    <t>INSTITUT NATIONAL SUPÉRIEUR DE FORMATION ET DE RECHERCHE POUR L'ÉDUCATION DES JEUNES HANDICAPÉS ET LES ENSEIGNEMENTS ADAPTÉS - INS HEA</t>
  </si>
  <si>
    <t>INSTITUT PASTEUR DE LILLE</t>
  </si>
  <si>
    <t>INSTITUT PASTEUR DE PARIS</t>
  </si>
  <si>
    <t>INSTITUT NATIONAL DES SCIENCES ET TECHNIQUES NUCLÉAIRES - INSTN</t>
  </si>
  <si>
    <t>INSTITUT DE RADIOPROTECTION ET DE SURETÉ NUCLÉAIRE - IRSN</t>
  </si>
  <si>
    <t>INSTITUT SUPÉRIEUR DE L'AÉRONAUTIQUE ET DE L'ESPACE - ISAE</t>
  </si>
  <si>
    <t>ÉCOLE NATIONALE SUPÉRIEURE DE MÉCANIQUE ET D'AÉROTECHNIQUE - ISAE-ENSMA</t>
  </si>
  <si>
    <t>ISMANS - ÉCOLE D'INGÉNIEURS</t>
  </si>
  <si>
    <t>MÉTÉO FRANCE</t>
  </si>
  <si>
    <t>ONIRIS - ÉCOLE NATIONALE VÉTÉRINAIRE, AGROALIMENTAIRE ET DE L'ALIMENTATION, NANTES ATLANTIQUE</t>
  </si>
  <si>
    <t>TELECOM ÉCOLE DE MANAGEMENT</t>
  </si>
  <si>
    <t>UNIVERSITÉ DE PICARDIE JULES VERNE - UPJV</t>
  </si>
  <si>
    <t>UNIVERSITÉ D'ANGERS - UA</t>
  </si>
  <si>
    <t>UNIVERSITÉ DES ANTILLES</t>
  </si>
  <si>
    <t>UNIVERSITÉ D'ARTOIS</t>
  </si>
  <si>
    <t>ÉCOLE NATIONALE DES SCIENCES GÉOGRAPHIQUES</t>
  </si>
  <si>
    <t>ÉCOLE NATIONALE DES TRAVAUX PUBLICS DE L'ÉTAT - ENTPE</t>
  </si>
  <si>
    <t>62 - Sciences de la vie et de la santé</t>
  </si>
  <si>
    <t xml:space="preserve">67 - Sciences juridiques et politiques </t>
  </si>
  <si>
    <t>184 - Mathématiques et Informatique de Marseille</t>
  </si>
  <si>
    <t>250 - Sciences chimiques</t>
  </si>
  <si>
    <t>251 - Sciences de l'environnement</t>
  </si>
  <si>
    <t>352 - Physique et sciences de la matière</t>
  </si>
  <si>
    <t>353 - Sciences pour l’Ingénieur : mécanique, physique, micro et nanoélectronique</t>
  </si>
  <si>
    <t>354 - Langues, lettres et arts</t>
  </si>
  <si>
    <t>355 - Espaces cultures sociétés</t>
  </si>
  <si>
    <t>356 - Cognition, langage, éducation</t>
  </si>
  <si>
    <t xml:space="preserve">372 - Sciences économiques et de gestion d'Aix-Marseille </t>
  </si>
  <si>
    <t>463 - Sciences du mouvement humain</t>
  </si>
  <si>
    <t>536 - École doctorale Agrosciences et Sciences</t>
  </si>
  <si>
    <t>537 - École doctorale Culture et Patrimoine</t>
  </si>
  <si>
    <t>37 - École doctorale Sciences Physiques pour l'Ingénieur et Microtechniques (SPIM)</t>
  </si>
  <si>
    <t>533 - École doctorale  Carnot-Pasteur</t>
  </si>
  <si>
    <t>554 - École doctorale  Environnements-Santé</t>
  </si>
  <si>
    <t>592 - École doctorale Lettres Communication Langues Arts (LECLA)</t>
  </si>
  <si>
    <t>593 - École doctorale Droit, Gestion, sciences Économiques et Politiques (DGEP)</t>
  </si>
  <si>
    <t>594 - École doctorale Sociétés, Espaces, Pratiques, Temps (SEPT)</t>
  </si>
  <si>
    <t>581 - Agriculture, alimentation, biologie, environnement, santé (ABIES)</t>
  </si>
  <si>
    <t xml:space="preserve">551 - Mathématiques, informatique, physique théorique et
ingénierie des systèmes </t>
  </si>
  <si>
    <t>84 - Sciences et techniques de l'information et de la communication (STIC)</t>
  </si>
  <si>
    <t>85 - Sciences de la vie et de la santé (SVS)</t>
  </si>
  <si>
    <t>86 - Sociétés, Humanités, Arts, Lettres  (SHAL)</t>
  </si>
  <si>
    <t>364 - Sciences fondamentales et appliquées (SFA)</t>
  </si>
  <si>
    <t>513 - Droit et Sciences Politiques, Economiques et de Gestion (DESPEG)</t>
  </si>
  <si>
    <t>377 - Environnement et société</t>
  </si>
  <si>
    <t>469 - École doctorale du Pacifique</t>
  </si>
  <si>
    <t>79 - Sciences Juridiques, Politiques, Economiques et de Gestion (SJPEG)</t>
  </si>
  <si>
    <t>78 - Sociétés, Langages, Temps, Connaissances (SLTC)</t>
  </si>
  <si>
    <t>411 - Humanités Nouvelles - Fernand Braudel</t>
  </si>
  <si>
    <t>266 - Biologie, Santé et Environnement (BioSE)</t>
  </si>
  <si>
    <t>607 - Science et Ingénierie des Ressources Naturelles (SIReNa)</t>
  </si>
  <si>
    <t>606 - Chimie Mécanique Matériaux Physique (C2MP)</t>
  </si>
  <si>
    <t>77 - Informatique Automatique Electronique Electrotechnique Mathématiques de Lorraine (IAEM-Lorraine)</t>
  </si>
  <si>
    <t>608 - Sciences et Ingénierie des Molécules, des Produits, des Procédés et de l'énergie (SIMPFé)</t>
  </si>
  <si>
    <t>555 - Sciences humaines et sociales (SHS)</t>
  </si>
  <si>
    <t>619 - Sciences fondamentales et Santé (SFS)</t>
  </si>
  <si>
    <t>620 - Sciences du numérique et  de l’ingénieur (SNI)</t>
  </si>
  <si>
    <t>221 - École doctorale Augustin Cournot</t>
  </si>
  <si>
    <t>101 - École doctorale Sciences juridiques</t>
  </si>
  <si>
    <t>520 - École doctorale des Humanités</t>
  </si>
  <si>
    <t>269 - École doctorale Mathématiques, sciences de l'Information et de l'Ingénieur</t>
  </si>
  <si>
    <t>182 - École doctorale Physique et chimie-Physique</t>
  </si>
  <si>
    <t>222 - École doctorale Sciences chimiques</t>
  </si>
  <si>
    <t>519 - École doctorale des Sciences humaines et sociales. Perspectives européennes</t>
  </si>
  <si>
    <t>413 - École doctorale des Sciences de la terre et environnement</t>
  </si>
  <si>
    <t>414 - École doctorale des Sciences de la vie et de la santé</t>
  </si>
  <si>
    <t>270 - École doctorale  de Théologie et sciences religieuses</t>
  </si>
  <si>
    <t>361 - Sciences pour l'ingénieur</t>
  </si>
  <si>
    <t>548 - Mer et Sciences</t>
  </si>
  <si>
    <t xml:space="preserve">509 - Sociétés Méditerranéennes et Sciences humaines </t>
  </si>
  <si>
    <t>617 - Sciences de la société : Territoires, Economie,
Droit</t>
  </si>
  <si>
    <t>549 - Santé, Sciences Biologiques et Chimie du Vivant</t>
  </si>
  <si>
    <t xml:space="preserve">552 - Énergie, Matériaux, Sciences de la Terre et de l’Univers </t>
  </si>
  <si>
    <t>616 - Humanités et Langues</t>
  </si>
  <si>
    <t>ÉCOLE SPÉCIALE MILITAIRE DE SAINT-CYR</t>
  </si>
  <si>
    <t>Tutelle déposante</t>
  </si>
  <si>
    <t>Établissements d'enseignement supérieur et de recherche</t>
  </si>
  <si>
    <t>UNIVERSITÉ DE TECHNOLOGIE DE COMPIÈGNE - UTC</t>
  </si>
  <si>
    <t>Chercheurs des EPST et assimilés</t>
  </si>
  <si>
    <t>Directeur de recherche EPST et assimilés</t>
  </si>
  <si>
    <t>Chargé de recherche EPST et assimilés</t>
  </si>
  <si>
    <t>IR / IGR</t>
  </si>
  <si>
    <t>IE / IGE</t>
  </si>
  <si>
    <t>AI / ASI</t>
  </si>
  <si>
    <t>Sections du CNU</t>
  </si>
  <si>
    <t>Sections du Comité national de la recherche scientifique (CoNRS)</t>
  </si>
  <si>
    <r>
      <t>Ressources propres</t>
    </r>
    <r>
      <rPr>
        <sz val="12"/>
        <color rgb="FFED145B"/>
        <rFont val="Century Gothic"/>
        <family val="2"/>
      </rPr>
      <t xml:space="preserve"> (en k€) de l'unité</t>
    </r>
  </si>
  <si>
    <t xml:space="preserve"> Zones à régime restrictif (ZRR) : partielle ou totale ?</t>
  </si>
  <si>
    <t>H</t>
  </si>
  <si>
    <t>F</t>
  </si>
  <si>
    <t>Art</t>
  </si>
  <si>
    <t>EPIC</t>
  </si>
  <si>
    <t>EPST</t>
  </si>
  <si>
    <t>Fondation</t>
  </si>
  <si>
    <t>EPCA</t>
  </si>
  <si>
    <t>EPCSCP</t>
  </si>
  <si>
    <t>EPA</t>
  </si>
  <si>
    <t>Établissements employeurs</t>
  </si>
  <si>
    <t>CHU LA RÉUNION</t>
  </si>
  <si>
    <t>CENTRE HOSPITALIER UNIVERSITAIRE DE LA RÉUNION - CHU LA RÉUNION</t>
  </si>
  <si>
    <t>A trier, à ranger</t>
  </si>
  <si>
    <t>Établissement d'exercice de l'activité</t>
  </si>
  <si>
    <t>AUTRE</t>
  </si>
  <si>
    <t>AUTRE ÉTABLISSEMENT D'EXERCICE DE L'ACTIVITÉ</t>
  </si>
  <si>
    <t>Panel 
disciplinaire
(3)</t>
  </si>
  <si>
    <t>Identifiant ORCID
(4)</t>
  </si>
  <si>
    <t>(4) Renseigner ici l'identifiant obtenu sur la base ORCID (http://orcid.org/) si le chercheur dispose d'un identifiant et souhaite le communiquer.</t>
  </si>
  <si>
    <t>Sections disciplinaires (CNU, CSS, CoNRS, …, BAP)
(2)</t>
  </si>
  <si>
    <t>ISAE - SUPAERO  </t>
  </si>
  <si>
    <t>Établissements accrédités ou co-accrédités à délivrer le doctorat à travers une ou plusieurs écoles doctorales (site enseignementsup-recherche.gouv.fr)</t>
  </si>
  <si>
    <t>ECAM-EPMI</t>
  </si>
  <si>
    <t>EPF</t>
  </si>
  <si>
    <t>Établissements dispensant des formations supérieures initiales diplômantes conférant le grade de master (site enseignementsup-recherche.gouv.fr)</t>
  </si>
  <si>
    <t>AIX-MARSEILLE UNIVERSITÉ</t>
  </si>
  <si>
    <t>ARTS ET MÉTIERS SCIENCES ET TECHNOLOGIES</t>
  </si>
  <si>
    <t>AUDENCIA BUSINESS SCHOOL (AUDENCIA NANTES ÉCOLE DE MANAGEMENT)</t>
  </si>
  <si>
    <t>AVIGNON UNIVERSITÉ</t>
  </si>
  <si>
    <t>BORDEAUX SCIENCES AGRO (ÉCOLE NATIONALE SUPÉRIEURE DES SCIENCES AGRONOMIQUES DE BORDEAUX AQUITAINE)</t>
  </si>
  <si>
    <t>BREST BUSINESS SCHOOL</t>
  </si>
  <si>
    <t>BURGUNDY SCHOOL OF BUSINESS</t>
  </si>
  <si>
    <t>CAMPUS CARAÏBÉEN DES ARTS</t>
  </si>
  <si>
    <t>CENTRALE LILLE INSTITUT</t>
  </si>
  <si>
    <t>CENTRALE LYON</t>
  </si>
  <si>
    <t>CENTRALE MARSEILLE</t>
  </si>
  <si>
    <t>CENTRALE NANTES</t>
  </si>
  <si>
    <t>CENTRE DES HAUTES ÉTUDES DE LA CONSTRUCTION</t>
  </si>
  <si>
    <t>CENTRE INTERNATIONAL DE HAUTES ÉTUDES AGRONOMIQUES MÉDITERRANÉENNES - INSTITUT AGRONOMIQUE MÉDITERRANÉEN DE MONTPELLIER</t>
  </si>
  <si>
    <t>CENTRE UNIVERSITAIRE DE FORMATION ET DE RECHERCHE DE MAYOTTE</t>
  </si>
  <si>
    <t>CESI ENSEIGNEMENT SUPÉRIEUR ET FORMATION PROFESSIONNELLE</t>
  </si>
  <si>
    <t>CONSERVATOIRE NATIONAL DES ARTS ET MÉTIERS</t>
  </si>
  <si>
    <t>CONSERVATOIRE NATIONAL SUPÉRIEUR DE MUSIQUE ET DE DANSE DE LYON</t>
  </si>
  <si>
    <t>CONSERVATOIRE NATIONAL SUPÉRIEUR DE MUSIQUE ET DE DANSE DE PARIS</t>
  </si>
  <si>
    <t>CY CERGY PARIS UNIVERSITÉ</t>
  </si>
  <si>
    <t>ÉCOLE CATHOLIQUE D'ARTS ET MÉTIERS DE LYON</t>
  </si>
  <si>
    <t>ÉCOLE CENTRALE D'ÉLECTRONIQUE</t>
  </si>
  <si>
    <t>ÉCOLE DE DESIGN NANTES-ATLANTIQUE</t>
  </si>
  <si>
    <t>ÉCOLE DE L'AIR</t>
  </si>
  <si>
    <t>ÉCOLE DE L'EXPERTISE COMPTABLE ET DE L'AUDIT</t>
  </si>
  <si>
    <t>ÉCOLE DES HAUTES ÉTUDES EN SANTÉ PUBLIQUE</t>
  </si>
  <si>
    <t>ÉCOLE DES HAUTES ÉTUDES EN SCIENCES SOCIALES (EHESS)</t>
  </si>
  <si>
    <t>ÉCOLE D'INGÉNIEURS DES SCIENCES AÉROSPATIALES</t>
  </si>
  <si>
    <t>ÉCOLE EUROPÉENNE SUPÉRIEURE D'ART DE BRETAGNE</t>
  </si>
  <si>
    <t>ÉCOLE EUROPÉENNE SUPÉRIEURE DE L'IMAGE ANGOULÊME-POITIERS</t>
  </si>
  <si>
    <t>ÉCOLE MÉDIAS ARTS FRUCTIDOR</t>
  </si>
  <si>
    <t>ÉCOLE NATIONALE DE L'AVIATION CIVILE</t>
  </si>
  <si>
    <t>ÉCOLE NATIONALE DE SÉCURITÉ ET D'ADMINISTRATION DE LA MER</t>
  </si>
  <si>
    <t>ÉCOLE NATIONALE DES TRAVAUX PUBLICS DE L'ETAT</t>
  </si>
  <si>
    <t>ÉCOLE NATIONALE D'INGÉNIEURS DE BREST (ENIB)</t>
  </si>
  <si>
    <t>ÉCOLE NATIONALE D'INGÉNIEURS DE SAINT-ETIENNE (ENISE                                                          </t>
  </si>
  <si>
    <t>ÉCOLE NATIONALE D'INGÉNIEURS DE TARBES (ENIT)</t>
  </si>
  <si>
    <t>ÉCOLE NATIONALE SUPÉRIEURE D'ARCHITECTURE DE PARIS-BELLEVILLE</t>
  </si>
  <si>
    <t>ÉCOLE NATIONALE SUPÉRIEURE D'ARCHITECTURE DE PARIS-LAVILLETTE (ENSAPLV)</t>
  </si>
  <si>
    <t>ÉCOLE NATIONALE SUPÉRIEURE D'ARCHITECTURE DE PARIS-VAL-DE-SEINE</t>
  </si>
  <si>
    <t>ÉCOLE NATIONALE SUPÉRIEURE D'ARCHITECTURE DE VERSAILLES</t>
  </si>
  <si>
    <t>ÉCOLE NATIONALE SUPÉRIEURE D'ARCHITECTURE ET DU PAYSAGE DE BORDEAUX</t>
  </si>
  <si>
    <t>ÉCOLE NATIONALE SUPÉRIEURE D'ARCHITECTURE PARIS-MALAQUAIS</t>
  </si>
  <si>
    <t>ÉCOLE NATIONALE SUPÉRIEURE D'ART DU NORD-PAS-DE-CALAIS</t>
  </si>
  <si>
    <t>ÉCOLE NATIONALE SUPÉRIEURE D'ART ET DE DESIGN DE MARSEILLE MÉDITERRANÉE</t>
  </si>
  <si>
    <t>ÉCOLE NATIONALE SUPÉRIEURE D'ART ET DE DESIGN DE TOURS-ANGERS-LE MANS</t>
  </si>
  <si>
    <t>ÉCOLE NATIONALE SUPÉRIEURE D'ART ET DE DESIGN LE HAVRE ROUEN</t>
  </si>
  <si>
    <t>ÉCOLE NATIONALE SUPÉRIEURE D'ART ET DESIGN GRENOBLE VALENCE</t>
  </si>
  <si>
    <t>ÉCOLE NATIONALE SUPÉRIEURE D'ARTS &amp; MÉDIAS CAEN - CHERBOURG  </t>
  </si>
  <si>
    <t>ÉCOLE NATIONALE SUPÉRIEURE D'ARTS DE PARIS-CERGY</t>
  </si>
  <si>
    <t>ÉCOLE NATIONALE SUPÉRIEURE DE CHIMIE DE MONTPELLIER (ENSCM)</t>
  </si>
  <si>
    <t>ÉCOLE NATIONALE SUPÉRIEURE DE CHIMIE DE RENNES</t>
  </si>
  <si>
    <t>ÉCOLE NATIONALE SUPÉRIEURE DE CRÉATION INDUSTRIELLE - LES ATELIERS</t>
  </si>
  <si>
    <t>ÉCOLE NATIONALE SUPÉRIEURE DE FORMATION DE L'ENSEIGNEMENT AGRICOLE (ENSFEA)</t>
  </si>
  <si>
    <t>ÉCOLE NATIONALE SUPÉRIEURE DE LA PHOTOGRAPHIE</t>
  </si>
  <si>
    <t>ÉCOLE NATIONALE SUPÉRIEURE DE L'ÉLECTRONIQUE ET DE SES APPLICATIONS</t>
  </si>
  <si>
    <t>ÉCOLE NATIONALE SUPÉRIEURE DE PAYSAGE VERSAILLES MARSEILLE</t>
  </si>
  <si>
    <t>ÉCOLE NATIONALE SUPÉRIEURE DE TECHNIQUES AVANCÉES BRETAGNE</t>
  </si>
  <si>
    <t>ÉCOLE NATIONALE SUPÉRIEURE DES ARTS DÉCORATIFS - ARTS DÉCO</t>
  </si>
  <si>
    <t>ÉCOLE NATIONALE SUPÉRIEURE DES ARTS ET INDUSTRIES TEXTILES</t>
  </si>
  <si>
    <t>ÉCOLE NATIONALE SUPÉRIEURE DES ARTS ET TECHNIQUES DU THÉÂTRE</t>
  </si>
  <si>
    <t>ÉCOLE NATIONALE SUPÉRIEURE DES BEAUX-ARTS - BEAUX-ARTS DE PARIS</t>
  </si>
  <si>
    <t>ÉCOLE NATIONALE SUPÉRIEURE DES SCIENCES DE L'INFORMATION ET DES BIBLIOTHÈQUES (ENSSIB)</t>
  </si>
  <si>
    <t>ÉCOLE NATIONALE SUPÉRIEURE D'INFORMATIQUE POUR L'INDUSTRIE ET L'ENTREPRISE</t>
  </si>
  <si>
    <t>ÉCOLE NATIONALE SUPÉRIEURE LOUIS LUMIÈRE</t>
  </si>
  <si>
    <t>ÉCOLE NATIONALE SUPÉRIEURE MARITIME</t>
  </si>
  <si>
    <t>ÉCOLE NATIONALE VÉTÉRINAIRE D'ALFORT</t>
  </si>
  <si>
    <t>ÉCOLE NATIONALE VÉTÉRINAIRE DE TOULOUSE</t>
  </si>
  <si>
    <t>ÉCOLE NORMALE SUPÉRIEURE DE LYON</t>
  </si>
  <si>
    <t>ÉCOLE NORMALE SUPÉRIEURE DE RENNES</t>
  </si>
  <si>
    <t>ÉCOLE POUR L'INFORMATIQUE ET LES TECHNIQUES AVANCÉES (EPITA)</t>
  </si>
  <si>
    <t>ÉCOLE SPÉCIALE D'ARCHITECTURE</t>
  </si>
  <si>
    <t>ÉCOLE SPÉCIALE DES TRAVAUX PUBLICS, DU BÂTIMENT ET DE L'INDUSTRIE (ESTP PARIS, CACHAN, DIJON, TROYES)</t>
  </si>
  <si>
    <t>ÉCOLE SPÉCIALE MILITAIRE DE SAINT-CYR (CAMP DE COËTQUIDAN, ÉCOLE INTERARMES)</t>
  </si>
  <si>
    <t>ÉCOLE SUPÉRIEURE ANGEVINE D'INFORMATIQUE ET DE PRODUCTIQUE</t>
  </si>
  <si>
    <t>ÉCOLE SUPÉRIEURE D'AGRICULTURE D'ANGERS</t>
  </si>
  <si>
    <t>ÉCOLE SUPÉRIEURE D'ART ANNECY ALPES</t>
  </si>
  <si>
    <t>ÉCOLE SUPÉRIEURE D'ART DE CLERMONT MÉTROPOLE</t>
  </si>
  <si>
    <t>ÉCOLE SUPÉRIEURE D'ART ET DE DESIGN DE SAINT-ETIENNE</t>
  </si>
  <si>
    <t>ÉCOLE SUPÉRIEURE D'ART ET DE DESIGN DES PYRÉNÉES</t>
  </si>
  <si>
    <t>ÉCOLE SUPÉRIEURE D'ART ET DE DESIGN D'ORLÉANS</t>
  </si>
  <si>
    <t>ÉCOLE SUPÉRIEURE D'ART ET DE DESIGN TOULON PROVENCE MÉDITERRANÉE</t>
  </si>
  <si>
    <t>ÉCOLE SUPÉRIEURE DE CHIMIE ORGANIQUE ET MINÉRALE</t>
  </si>
  <si>
    <t>ÉCOLE SUPÉRIEURE DE CHIMIE, PHYSIQUE, ÉLECTRONIQUE DE LYON</t>
  </si>
  <si>
    <t>ÉCOLE SUPÉRIEURE DE FONDERIE ET DE FORGE</t>
  </si>
  <si>
    <t>ECOLE SUPÉRIEURE DE JOURNALISME DE LILLE</t>
  </si>
  <si>
    <t>ÉCOLE SUPÉRIEURE D'ÉLECTRONIQUE DE L'OUEST</t>
  </si>
  <si>
    <t>ÉCOLE SUPÉRIEURE DES BEAUX-ARTS DE BORDEAUX</t>
  </si>
  <si>
    <t>ÉCOLE SUPÉRIEURE DES BEAUX-ARTS DE NANTES SAINT-NAZAIRE</t>
  </si>
  <si>
    <t>ÉCOLE SUPÉRIEURE DES BEAUX-ARTS DE NÎMES</t>
  </si>
  <si>
    <t>ÉCOLE SUPÉRIEURE DES TECHNOLOGIES INDUSTRIELLES AVANCÉES (ESTIA)</t>
  </si>
  <si>
    <t>ÉCOLE SUPÉRIEURE D'INFORMATIQUE, ÉLECTRONIQUE ET AUTOMATIQUE (ESIEA)</t>
  </si>
  <si>
    <t>ÉCOLE SUPÉRIEURE D'INGÉNIEURS DES TRAVAUX DE LA CONSTRUCTION DE CAEN</t>
  </si>
  <si>
    <t>ÉCOLE SUPÉRIEURE D'INGÉNIEURS DES TRAVAUX DE LA CONSTRUCTION DE METZ</t>
  </si>
  <si>
    <t>ÉCOLE SUPÉRIEURE D'INGÉNIEURS DES TRAVAUX DE LA CONSTRUCTION DE PARIS</t>
  </si>
  <si>
    <t>ÉCOLE SUPÉRIEURE D'INGÉNIEURS EN GÉNIE ÉLECTRIQUE (ESIGELEC)</t>
  </si>
  <si>
    <t>ÉCOLE SUPÉRIEURE D'INGÉNIEURS LÉONARD DE VINCI</t>
  </si>
  <si>
    <t>ÉCOLE SUPÉRIEURE DU BOIS</t>
  </si>
  <si>
    <t>ÉCOLE SUPÉRIEURE DU SOUDAGE ET DE SES APPLICATIONS</t>
  </si>
  <si>
    <t>EDC PARIS BUSINESS SCHOOL</t>
  </si>
  <si>
    <t>EFREI PARIS</t>
  </si>
  <si>
    <t>EIGSI (ÉCOLE SUPÉRIEURE EN GÉNIE DES SYSTÈMES INDUSTRIELS DE LA ROCHELLE)</t>
  </si>
  <si>
    <t>EM LYON BUSINESS SCHOOL</t>
  </si>
  <si>
    <t>EM NORMANDIE (ÉCOLE DE MANAGEMENT DE NORMANDIE)</t>
  </si>
  <si>
    <t>EMLV (ÉCOLE DE MANAGEMENT LÉONARD DE VINCI)</t>
  </si>
  <si>
    <t>ENSICAEN (ÉCOLE NATIONALE SUPÉRIEURE D'INGÉNIEURS DE CAEN)</t>
  </si>
  <si>
    <t>ENSMM (ÉCOLE NATIONALE SUPÉRIEURE DE MÉCANIQUE ET DES MICROTECHNIQUES DE BESANÇON)</t>
  </si>
  <si>
    <t>ESC PAU BUSINESS SCHOOL (ÉCOLE SUPÉRIEURE DE COMMERCE DE PAU)</t>
  </si>
  <si>
    <t>ESCE (ÉCOLE SUPÉRIEURE DE COMMERCE EXTÉRIEUR)</t>
  </si>
  <si>
    <t>ESCP EUROPE BUSINESS SCHOOL</t>
  </si>
  <si>
    <t>ESDES LYON (ÉCOLE SUPÉRIEURE POUR LE DÉVELOPPEMENT ÉCONOMIQUE ET SOCIAL DE LYON)</t>
  </si>
  <si>
    <t>ESME SUDRIA (ÉCOLE SPÉCIALE DE MÉCANIQUE ET D'ÉLECTRICITÉ)</t>
  </si>
  <si>
    <t>ESSCA (ÉCOLE SUPÉRIEURE DES SCIENCES COMMERCIALES D'ANGERS - AIX, BORDEAUX, LYON, PARIS)</t>
  </si>
  <si>
    <t>ESSEC BUSINESS SCHOOL (ÉCOLE SUPÉRIEURE DES SCIENCES ÉCONOMIQUES ET COMMERCIALES)</t>
  </si>
  <si>
    <t>ESTACA (ÉCOLE SUPÉRIEURE DES TECHNIQUES AÉRONAUTIQUES ET DE CONSTRUCTIONS)</t>
  </si>
  <si>
    <t>EURECOM SOPHIA ANTIPOLIS</t>
  </si>
  <si>
    <t>GENES - ENSAI (GROUPE DES ÉCOLES NATIONALES D'ÉCONOMIE ET DE STATISTIQUE - ÉCOLE NATIONALE DE LA STATISTIQUE ET DE L'ANALYSE DE L'INFORMATION)</t>
  </si>
  <si>
    <t>GRENOBLE ÉCOLE DE MANAGEMENT</t>
  </si>
  <si>
    <t>GROUPE ESC CLERMONT (ÉCOLE SUPÉRIEURE DE COMMERCE DE CLERMONT-FERRAND)</t>
  </si>
  <si>
    <t>HAUTE ÉCOLE DES ARTS DU RHIN</t>
  </si>
  <si>
    <t>ICD (INSTITUT INTERNATIONAL DU COMMERCE ET DU DÉVELOPPEMENT)</t>
  </si>
  <si>
    <t>ICN BUSINESS SCHOOL</t>
  </si>
  <si>
    <t>IDRAC BUSINESS SCHOOL (INSTITUT DE RECHERCHE ET D'ACTION COMMERCIALE)</t>
  </si>
  <si>
    <t>IESEG SCHOOL OF MANAGEMENT (INSTITUT D'ÉCONOMIE SCIENTIFIQUE ET DE GESTION)</t>
  </si>
  <si>
    <t>IFPEN - IFP SCHOOL (INSTITUT FRANÇAIS DU PÉTROLE ÉNERGIES NOUVELLES)</t>
  </si>
  <si>
    <t>IMT-BS (INSTITUT MINES-TÉLÉCOM BUSINESS SCHOOL)</t>
  </si>
  <si>
    <t>INALCO (INSTITUT NATIONAL DES LANGUES ET CIVILISATIONS ORIENTALES)</t>
  </si>
  <si>
    <t>INSEAD (INSTITUT EUROPÉEN D'ADMINISTRATION DES AFFAIRES)</t>
  </si>
  <si>
    <t>INSEEC BUSINESS SCHOOL (INSTITUT DES HAUTES ÉTUDES ÉCONOMIQUES ET COMMERCIALES)</t>
  </si>
  <si>
    <t>INSTITUT AGRO</t>
  </si>
  <si>
    <t>INSTITUT CATHOLIQUE D'ARTS ET MÉTIERS (ICAM)</t>
  </si>
  <si>
    <t>INSTITUT D'ADMINISTRATION DES ENTREPRISES DE PARIS</t>
  </si>
  <si>
    <t>INSTITUT D'INGÉNIERIE INFORMATIQUE DE LIMOGES (3IL)</t>
  </si>
  <si>
    <t>INSTITUT MINES TELECOM (POUR SES 4 ÉCOLES INTERNES : MINES ALBI-CARMAUX, MINES D'ALÈS, MINES-TÉLÉCOM LILLE DOUAI, IMT ATLANTIQUE BRETAGNE PAYS DE LA LOIRE),</t>
  </si>
  <si>
    <t>INSTITUT MINES-TÉLÉCOM, SITE DE SAINT-ETIENNE (ÉCOLE NATIONALE SUPÉRIEUR DES MINES DE SAINT-ETIENNE)</t>
  </si>
  <si>
    <t>INSTITUT NATIONAL DE L'AUDIOVISUEL</t>
  </si>
  <si>
    <t>INSTITUT NATIONAL DES SCIENCES ET TECHNIQUES NUCLÉAIRES</t>
  </si>
  <si>
    <t>INSTITUT NATIONAL DU PATRIMOINE</t>
  </si>
  <si>
    <t>INSTITUT NATIONAL UNIVERSITAIRE JEAN-FRANÇOIS CHAMPOLLION</t>
  </si>
  <si>
    <t>INSTITUT POLYTECHNIQUE DE PARIS</t>
  </si>
  <si>
    <t>INSTITUT POLYTECHNIQUE DES SCIENCES AVANCÉES (IPSA)</t>
  </si>
  <si>
    <t>INSTITUT SUPÉRIEUR D'AGRICULTURE RHÔNE-ALPES (ISARA)</t>
  </si>
  <si>
    <t>INSTITUT SUPÉRIEUR DE MÉCANIQUE DE PARIS (SUPMÉCA)</t>
  </si>
  <si>
    <t>INSTITUT SUPÉRIEUR D'ÉLECTRONIQUE DE PARIS (ISEP)</t>
  </si>
  <si>
    <t>INSTITUT SUPÉRIEUR DES ARTS DE TOULOUSE BEAUX-ARTS SPECTACLE VIVANT                                                                  </t>
  </si>
  <si>
    <t>INSTITUT SUPÉRIEUR DES BEAUX-ARTS DE BESANÇON</t>
  </si>
  <si>
    <t>INSTITUT SUPÉRIEUR DES BIOTECHNOLOGIES DE PARIS (SUPBIOTECH)</t>
  </si>
  <si>
    <t>INSTITUT SUPÉRIEUR DES MATÉRIAUX DU MANS - CESI</t>
  </si>
  <si>
    <t>INSTITUT SUPÉRIEUR DU BÂTIMENT ET DES TRAVAUX PUBLICS</t>
  </si>
  <si>
    <t>INSTITUT TEXTILE ET CHIMIQUE DE LYON</t>
  </si>
  <si>
    <t>IPAG (INSTITUT DE PRÉPARATION À L'ADMINISTRATION ET À LA GESTION)</t>
  </si>
  <si>
    <t>ISAE - ENSMA (ÉCOLE NATIONALE SUPÉRIEURE DE MÉCANIQUE ET D'AÉROTECHNIQUE)</t>
  </si>
  <si>
    <t>ISC PARIS BUSINESS SCHOOL (INSTITUT SUPÉRIEUR DU COMMERCE)</t>
  </si>
  <si>
    <t>ISIT (INSTITUT DE MANAGEMENT ET DE COMMUNICATION INTERCULTURELS)</t>
  </si>
  <si>
    <t>ISTEC PARIS (INSTITUT SUPÉRIEUR PRIVÉ DES SCIENCES, TECHNIQUES ET ÉCONOMIE COMMERCIALE)</t>
  </si>
  <si>
    <t>ISTOM (ÉCOLE SUPÉRIEURE D'AGRO-DÉVELOPPEMENT INTERNATIONAL)</t>
  </si>
  <si>
    <t>LA ROCHELLE BUSINESS SCHOOL  </t>
  </si>
  <si>
    <t>LA ROCHELLE UNIVERSITÉ</t>
  </si>
  <si>
    <t>LE MANS UNIVERSITÉ</t>
  </si>
  <si>
    <t>MO.CO.ESBA - ÉCOLE SUPÉRIEURE DES BEAUX-ARTS DE MONTPELLIER AGGLOMÉRATION</t>
  </si>
  <si>
    <t>MONTPELLIER BUSINESS SCHOOL</t>
  </si>
  <si>
    <t>MUSÉUM NATIONAL D'HISTOIRE NATURELLE (MNHN)</t>
  </si>
  <si>
    <t>NEOMA BUSINESS SCHOOL</t>
  </si>
  <si>
    <t>ONIRIS NANTES (ECOLE NATIONALE VÉTÉRINAIRE, AGROALIMENTAIRE ET DE L'ALIMENTATION),</t>
  </si>
  <si>
    <t>PSB (PARIS SCHOOL OF BUSINESS)</t>
  </si>
  <si>
    <t>RENNES SCHOOL OF BUSINESS</t>
  </si>
  <si>
    <t>SCIENCES PO PARIS</t>
  </si>
  <si>
    <t>SCIENCES  PO TOULOUSE</t>
  </si>
  <si>
    <t>SOUTH CHAMPAGNE BUSINESS SCHOOL (SCBS)</t>
  </si>
  <si>
    <t>TOULOUSE BUSINESS SCHOOL (TBS)</t>
  </si>
  <si>
    <t>UNILASALLE (INSTITUT POLYTECHNIQUE UNILASALLE) : CAMPUS DE BEAUVAIS ; CAMPUS DE ROUEN)</t>
  </si>
  <si>
    <t>UNIVERSITÉ BORDEAUX MONTAIGNE</t>
  </si>
  <si>
    <t>UNIVERSITÉ CLAUDE BERNARD LYON 1</t>
  </si>
  <si>
    <t>UNIVERSITÉ CLERMONT AUVERGNE</t>
  </si>
  <si>
    <t>UNIVERSITÉ CÔTE D'AZUR</t>
  </si>
  <si>
    <t>UNIVERSITÉ D'ANGERS</t>
  </si>
  <si>
    <t>UNIVERSITÉ DE BORDEAUX</t>
  </si>
  <si>
    <t>UNIVERSITÉ DE BOURGOGNE</t>
  </si>
  <si>
    <t>UNIVERSITÉ DE BRETAGNE OCCIDENTALE</t>
  </si>
  <si>
    <t>UNIVERSITÉ DE BRETAGNE SUD                                                                                                       </t>
  </si>
  <si>
    <t>UNIVERSITÉ DE CAEN NORMANDIE</t>
  </si>
  <si>
    <t>UNIVERSITÉ DE FRANCHE-COMTÉ</t>
  </si>
  <si>
    <t>UNIVERSITÉ DE GUYANE</t>
  </si>
  <si>
    <t>UNIVERSITÉ DE HAUTE-ALSACE</t>
  </si>
  <si>
    <t>UNIVERSITÉ DE LA NOUVELLE-CALÉDONIE</t>
  </si>
  <si>
    <t>UNIVERSITÉ DE LA RÉUNION</t>
  </si>
  <si>
    <t>UNIVERSITÉ DE LILLE</t>
  </si>
  <si>
    <t>UNIVERSITÉ DE LIMOGE</t>
  </si>
  <si>
    <t>UNIVERSITÉ DE MONTPELLIER</t>
  </si>
  <si>
    <t>UNIVERSITÉ DE NANTES</t>
  </si>
  <si>
    <t>UNIVERSITÉ DE NÎMES</t>
  </si>
  <si>
    <t>UNIVERSITÉ DE PARIS</t>
  </si>
  <si>
    <t>UNIVERSITÉ DE PAU ET DES PAYS DE L'ADOUR</t>
  </si>
  <si>
    <t>UNIVERSITÉ DE PERPIGNAN - VIA DOMITIA</t>
  </si>
  <si>
    <t>UNIVERSITÉ DE PICARDIE JULES VERNE</t>
  </si>
  <si>
    <t>UNIVERSITÉ DE POITIERS</t>
  </si>
  <si>
    <t>UNIVERSITÉ DE POLYNÉSIE FRANÇAISE</t>
  </si>
  <si>
    <t>UNIVERSITÉ DE REIMS CHAMPAGNE-ARDENNE</t>
  </si>
  <si>
    <t>UNIVERSITÉ DE RENNES 1</t>
  </si>
  <si>
    <t>UNIVERSITÉ DE ROUEN NORMANDIE</t>
  </si>
  <si>
    <t>UNIVERSITÉ DE TECHNOLOGIE DE BELFORT MONTBÉLIARD</t>
  </si>
  <si>
    <t>UNIVERSITÉ DE TECHNOLOGIE DE COMPIÈGNE</t>
  </si>
  <si>
    <t>UNIVERSITÉ DE TECHNOLOGIE DE TROYES</t>
  </si>
  <si>
    <t>UNIVERSITÉ DE TOURS</t>
  </si>
  <si>
    <t>UNIVERSITÉ DE VERSAILLES-SAINT-QUENTIN EN YVELINES</t>
  </si>
  <si>
    <t>UNIVERSITÉ DES ANTILLES                                                                                                                          </t>
  </si>
  <si>
    <t>UNIVERSITÉ D'EVRY VAL D'ESSONNE</t>
  </si>
  <si>
    <t>UNIVERSITÉ D'ORLÉANS</t>
  </si>
  <si>
    <t>UNIVERSITÉ DU LITTORAL CÔTE D'OPALE</t>
  </si>
  <si>
    <t>UNIVERSITÉ GRENOBLE ALPES</t>
  </si>
  <si>
    <t>UNIVERSITÉ GUSTAVE EIFFEL</t>
  </si>
  <si>
    <t>UNIVERSITÉ JEAN MONNET SAINT-ETIENNE</t>
  </si>
  <si>
    <t>UNIVERSITÉ JEAN MOULIN LYON 3</t>
  </si>
  <si>
    <t>UNIVERSITÉ LE HAVRE NORMANDIE</t>
  </si>
  <si>
    <t>UNIVERSITÉ LUMIÈRE - LYON 2</t>
  </si>
  <si>
    <t>UNIVERSITÉ PANTHÉON-ASSAS</t>
  </si>
  <si>
    <t>UNIVERSITÉ PARIS 1 PANTHÉON SORBONNE</t>
  </si>
  <si>
    <t>UNIVERSITÉ PARIS 8 - VINCENNES - SAINT-DENIS</t>
  </si>
  <si>
    <t>UNIVERSITÉ PARIS NANTERRE</t>
  </si>
  <si>
    <t>UNIVERSITÉ PARIS SCIENCES ET LETTRES</t>
  </si>
  <si>
    <t>UNIVERSITÉ PARIS-EST CRÉTEIL VAL-DE-MARNE</t>
  </si>
  <si>
    <t>UNIVERSITÉ PARIS-SACLAY</t>
  </si>
  <si>
    <t>UNIVERSITÉ PAUL-VALÉRY - MONTPELLIER 3</t>
  </si>
  <si>
    <t>UNIVERSITÉ POLYTECHNIQUE HAUTS-DE-FRANCE</t>
  </si>
  <si>
    <t>UNIVERSITÉ RENNES 2</t>
  </si>
  <si>
    <t>UNIVERSITÉ SAVOIE MONT BLANC</t>
  </si>
  <si>
    <t>UNIVERSITÉ SORBONNE NOUVELLE - PARIS 3</t>
  </si>
  <si>
    <t>UNIVERSITÉ SORBONNE PARIS NORD</t>
  </si>
  <si>
    <t>UNIVERSITÉ TOULOUSE-I CAPITOLE</t>
  </si>
  <si>
    <t>UNIVERSITÉ TOULOUSE-II JEAN JAURÈS</t>
  </si>
  <si>
    <t>UNIVERSITÉ TOULOUSE-III PAUL SABATIER</t>
  </si>
  <si>
    <t>VETAGRO SUP (INSTITUT D'ENSEIGNEMENT SUPÉRIEUR ET DE RECHERCHE EN ALIMENTATION, SANTÉ ANIMALE, SCIENCES AGRONOMIQUES ET DE L'ENVIRONNEMENT)</t>
  </si>
  <si>
    <t>VETAGRO-SUP (ÉCOLE NATIONALE VÉTÉRINAIRE DE LYON)</t>
  </si>
  <si>
    <t>YNCRÉA HAUTS-DE-FRANCE (ÉCOLE DES HAUTES ÉTUDES D'INGÉNIEUR, INSTITUT SUPÉRIEUR DE L'ÉLECTRONIQUE ET DU NUMÉRIQUE, INSTITUT SUPÉRIEUR D'AGRICULTURE)</t>
  </si>
  <si>
    <t>YNCRÉA MÉDITERRANÉE (INSTITUT SUPÉRIEUR DE L'ÉLECTRONIQUE ET DU NUMÉRIQUE)</t>
  </si>
  <si>
    <t>YNCRÉA OUEST (INSTITUT SUPÉRIEUR DE L'ÉLECTRONIQUE ET DU NUMÉRIQUE) : ISEN BREST ; ISEN NANTES ; ISEN RENNES</t>
  </si>
  <si>
    <t>UNIVERSITÉ CLAUDE BERNARD LYON 0</t>
  </si>
  <si>
    <t>UNIVERSITÉ DE RENNES 0</t>
  </si>
  <si>
    <t>UNIVERSITÉ JEAN MOULIN LYON 2</t>
  </si>
  <si>
    <t>UNIVERSITÉ LUMIÈRE - LYON 1</t>
  </si>
  <si>
    <t>UNIVERSITÉ PAUL-VALÉRY - MONTPELLIER 2</t>
  </si>
  <si>
    <t>UNIVERSITÉ RENNES 1</t>
  </si>
  <si>
    <t>UNIVERSITÉ SORBONNE NOUVELLE - PARIS 2</t>
  </si>
  <si>
    <t>ÉCOLE DES HAUTES ÉTUDES EN SANTÉ PUBLIQUE (EHESP)</t>
  </si>
  <si>
    <t>ÉCOLE NATIONALE DE L'AVIATION CIVILE (ENAC)</t>
  </si>
  <si>
    <t>UNIVERSITÉ DE BRETAGNE SUD</t>
  </si>
  <si>
    <r>
      <t>Ressources propres</t>
    </r>
    <r>
      <rPr>
        <sz val="12"/>
        <color rgb="FFED145B"/>
        <rFont val="Century Gothic"/>
        <family val="2"/>
      </rPr>
      <t xml:space="preserve"> (en k€) par équipe quand pluri-équipes</t>
    </r>
  </si>
  <si>
    <t>1 - CoNRS</t>
  </si>
  <si>
    <t>2 - CoNRS</t>
  </si>
  <si>
    <t>3 - CoNRS</t>
  </si>
  <si>
    <t>4 - CoNRS</t>
  </si>
  <si>
    <t>5 - CoNRS</t>
  </si>
  <si>
    <t>6 - CoNRS</t>
  </si>
  <si>
    <t>7 - CoNRS</t>
  </si>
  <si>
    <t>8 - CoNRS</t>
  </si>
  <si>
    <t>9 - CoNRS</t>
  </si>
  <si>
    <t>10 - CoNRS</t>
  </si>
  <si>
    <t>11 - CoNRS</t>
  </si>
  <si>
    <t>12 - CoNRS</t>
  </si>
  <si>
    <t>13 - CoNRS</t>
  </si>
  <si>
    <t>14 - CoNRS</t>
  </si>
  <si>
    <t>15 - CoNRS</t>
  </si>
  <si>
    <t>16 - CoNRS</t>
  </si>
  <si>
    <t>17 - CoNRS</t>
  </si>
  <si>
    <t>18 - CoNRS</t>
  </si>
  <si>
    <t>19 - CoNRS</t>
  </si>
  <si>
    <t>20 - CoNRS</t>
  </si>
  <si>
    <t>21 - CoNRS</t>
  </si>
  <si>
    <t>22 - CoNRS</t>
  </si>
  <si>
    <t>23 - CoNRS</t>
  </si>
  <si>
    <t>24 - CoNRS</t>
  </si>
  <si>
    <t>25 - CoNRS</t>
  </si>
  <si>
    <t>26 - CoNRS</t>
  </si>
  <si>
    <t>27 - CoNRS</t>
  </si>
  <si>
    <t>28 - CoNRS</t>
  </si>
  <si>
    <t>29 - CoNRS</t>
  </si>
  <si>
    <t>30 - CoNRS</t>
  </si>
  <si>
    <t>31 - CoNRS</t>
  </si>
  <si>
    <t>32 - CoNRS</t>
  </si>
  <si>
    <t>33 - CoNRS</t>
  </si>
  <si>
    <t>34 - CoNRS</t>
  </si>
  <si>
    <t>35 - CoNRS</t>
  </si>
  <si>
    <t>36 - CoNRS</t>
  </si>
  <si>
    <t>37 - CoNRS</t>
  </si>
  <si>
    <t>38 - CoNRS</t>
  </si>
  <si>
    <t>39 - CoNRS</t>
  </si>
  <si>
    <t>40 - CoNRS</t>
  </si>
  <si>
    <t>41 - CoNRS</t>
  </si>
  <si>
    <t>CSS1 - Inserm</t>
  </si>
  <si>
    <t>CSS2 - Inserm</t>
  </si>
  <si>
    <t>CSS3 - Inserm</t>
  </si>
  <si>
    <t>CSS4 - Inserm</t>
  </si>
  <si>
    <t>CSS5​ - Inserm</t>
  </si>
  <si>
    <t>CSS6​ - Inserm</t>
  </si>
  <si>
    <t>STEA - Inrae</t>
  </si>
  <si>
    <t>AES - Inrae</t>
  </si>
  <si>
    <t>BPE - Inrae</t>
  </si>
  <si>
    <t>GVA - Inrae</t>
  </si>
  <si>
    <t>EGBIP - Inrae</t>
  </si>
  <si>
    <t>P A - Inrae</t>
  </si>
  <si>
    <t>BIHASC - Inrae</t>
  </si>
  <si>
    <t>NT - Inrae</t>
  </si>
  <si>
    <t>SIAMM - Inrae</t>
  </si>
  <si>
    <t>MSA - Inrae</t>
  </si>
  <si>
    <t>MBIA - Inrae</t>
  </si>
  <si>
    <t>SESG - Inrae</t>
  </si>
  <si>
    <t>GR - Inrae</t>
  </si>
  <si>
    <t>CSS1 - IRD</t>
  </si>
  <si>
    <t>CSS2 - IRD</t>
  </si>
  <si>
    <t>CSS3 - IRD</t>
  </si>
  <si>
    <t>CSS4 - IRD</t>
  </si>
  <si>
    <t>CSS5 - IRD</t>
  </si>
  <si>
    <t>CGRA - IRD</t>
  </si>
  <si>
    <t>BAP A - Science du vivant, de la terre et de l'environnement</t>
  </si>
  <si>
    <t>BAP B - Sciences chimiques et Sciences des matériaux</t>
  </si>
  <si>
    <t>BAP C - Sciences de l'ingenieur et instrumentation scientifique</t>
  </si>
  <si>
    <t>BAP D - Sciences Humaines et Sociales</t>
  </si>
  <si>
    <t>BAP E - Informatique, Statistique et Calcul Scientifique</t>
  </si>
  <si>
    <t>BAP F - Culture, Communication, Production et diffusion des savoirs</t>
  </si>
  <si>
    <t>BAP G - Patrimoine immobilier, Logistique, Restauration et Prévention</t>
  </si>
  <si>
    <t>BAP J - Gestion et Pilotage</t>
  </si>
  <si>
    <t>01 - CNU</t>
  </si>
  <si>
    <t>02 - CNU</t>
  </si>
  <si>
    <t>03 - CNU</t>
  </si>
  <si>
    <t>04 - CNU</t>
  </si>
  <si>
    <t>05 - CNU</t>
  </si>
  <si>
    <t>06 - CNU</t>
  </si>
  <si>
    <t>07 - CNU</t>
  </si>
  <si>
    <t>08 - CNU</t>
  </si>
  <si>
    <t>09 - CNU</t>
  </si>
  <si>
    <t>10 - CNU</t>
  </si>
  <si>
    <t>11 - CNU</t>
  </si>
  <si>
    <t>12 - CNU</t>
  </si>
  <si>
    <t>13 - CNU</t>
  </si>
  <si>
    <t>14 - CNU</t>
  </si>
  <si>
    <t>15 - CNU</t>
  </si>
  <si>
    <t>16 - CNU</t>
  </si>
  <si>
    <t>17 - CNU</t>
  </si>
  <si>
    <t>18 - CNU</t>
  </si>
  <si>
    <t>19 - CNU</t>
  </si>
  <si>
    <t>20 - CNU</t>
  </si>
  <si>
    <t>21 - CNU</t>
  </si>
  <si>
    <t>22 - CNU</t>
  </si>
  <si>
    <t>23 - CNU</t>
  </si>
  <si>
    <t>24 - CNU</t>
  </si>
  <si>
    <t>25 - CNU</t>
  </si>
  <si>
    <t>26 - CNU</t>
  </si>
  <si>
    <t>27 - CNU</t>
  </si>
  <si>
    <t>28 - CNU</t>
  </si>
  <si>
    <t>29 - CNU</t>
  </si>
  <si>
    <t>30 - CNU</t>
  </si>
  <si>
    <t>31 - CNU</t>
  </si>
  <si>
    <t>32 - CNU</t>
  </si>
  <si>
    <t>33 - CNU</t>
  </si>
  <si>
    <t>34 - CNU</t>
  </si>
  <si>
    <t>35 - CNU</t>
  </si>
  <si>
    <t>36 - CNU</t>
  </si>
  <si>
    <t>37 - CNU</t>
  </si>
  <si>
    <t>60 - CNU</t>
  </si>
  <si>
    <t>61 - CNU</t>
  </si>
  <si>
    <t>62 - CNU</t>
  </si>
  <si>
    <t>63 - CNU</t>
  </si>
  <si>
    <t>64 - CNU</t>
  </si>
  <si>
    <t>65 - CNU</t>
  </si>
  <si>
    <t>66 - CNU</t>
  </si>
  <si>
    <t>67 - CNU</t>
  </si>
  <si>
    <t>68 - CNU</t>
  </si>
  <si>
    <t>69 - CNU</t>
  </si>
  <si>
    <t>70 - CNU</t>
  </si>
  <si>
    <t>71 - CNU</t>
  </si>
  <si>
    <t>72 - CNU</t>
  </si>
  <si>
    <t>73 - CNU</t>
  </si>
  <si>
    <t>74 - CNU</t>
  </si>
  <si>
    <t>76 - CNU</t>
  </si>
  <si>
    <t>77 - CNU</t>
  </si>
  <si>
    <t>85 - CNU</t>
  </si>
  <si>
    <t>86 - CNU</t>
  </si>
  <si>
    <t>87 - CNU</t>
  </si>
  <si>
    <t>91 - CNU</t>
  </si>
  <si>
    <t>92 - CNU</t>
  </si>
  <si>
    <t>Branches d'Activité Professionnelle BAP</t>
  </si>
  <si>
    <t>alimentation automatique</t>
  </si>
  <si>
    <t>1 - Liste des Écoles Doctorales</t>
  </si>
  <si>
    <t>2 - Nomenclatures RH</t>
  </si>
  <si>
    <t>3 - Nomenclatures Panels Disciplinaires Hcéres</t>
  </si>
  <si>
    <t>4 - Sections disciplinaires (CNU, CSS, CoNRS) et BAP</t>
  </si>
  <si>
    <t>5 - Nomenclatures unité</t>
  </si>
  <si>
    <t>6 - Liste des établissements tutelles des unités</t>
  </si>
  <si>
    <t>3 - Nomenclatures Scientifique</t>
  </si>
  <si>
    <t>LIGNES 18 à 77</t>
  </si>
  <si>
    <t>LIGNES 79 à 197</t>
  </si>
  <si>
    <t>LIGNES 199 à 295</t>
  </si>
  <si>
    <t>devient INSTITUT AGRO au 1/01/22</t>
  </si>
  <si>
    <t>U BOURGOGNE</t>
  </si>
  <si>
    <t>ex-U NICE</t>
  </si>
  <si>
    <t>U COTE D'AZUR</t>
  </si>
  <si>
    <t>ex-U BESANCON</t>
  </si>
  <si>
    <t>ex-U MULHOUSE</t>
  </si>
  <si>
    <t>U HAUTE-ALSACE</t>
  </si>
  <si>
    <t>équipe 2</t>
  </si>
  <si>
    <t>équipe 3</t>
  </si>
  <si>
    <t>nom des équipes</t>
  </si>
  <si>
    <t>équipe 1</t>
  </si>
  <si>
    <t>équipe 4</t>
  </si>
  <si>
    <t>équipe 5</t>
  </si>
  <si>
    <t>équipe 6</t>
  </si>
  <si>
    <t>équipe 7</t>
  </si>
  <si>
    <t>équipe 8</t>
  </si>
  <si>
    <t>équipe 9</t>
  </si>
  <si>
    <t>équipe 10</t>
  </si>
  <si>
    <t>équipe 11</t>
  </si>
  <si>
    <t>équipe 12</t>
  </si>
  <si>
    <t>équipe 13</t>
  </si>
  <si>
    <t>équipe 14</t>
  </si>
  <si>
    <t>équipe 15</t>
  </si>
  <si>
    <t>équipe 16</t>
  </si>
  <si>
    <t>équipe 17</t>
  </si>
  <si>
    <t>équipe 18</t>
  </si>
  <si>
    <t>équipe 19</t>
  </si>
  <si>
    <t>équipe 20</t>
  </si>
  <si>
    <t>équipe 21</t>
  </si>
  <si>
    <t>équipe 22</t>
  </si>
  <si>
    <t>équipe 23</t>
  </si>
  <si>
    <t>équipe 24</t>
  </si>
  <si>
    <t>équipe 25</t>
  </si>
  <si>
    <t>équipe 26</t>
  </si>
  <si>
    <t>équipe 27</t>
  </si>
  <si>
    <t>équipe 28</t>
  </si>
  <si>
    <t>équipe 29</t>
  </si>
  <si>
    <t>équipe 30</t>
  </si>
  <si>
    <t>équipe 31</t>
  </si>
  <si>
    <t>équipe 32</t>
  </si>
  <si>
    <t>équipe 33</t>
  </si>
  <si>
    <t>équipe 34</t>
  </si>
  <si>
    <t>équipe 35</t>
  </si>
  <si>
    <t>équipe 36</t>
  </si>
  <si>
    <t>équipe 37</t>
  </si>
  <si>
    <t>équipe 38</t>
  </si>
  <si>
    <t>équipe 39</t>
  </si>
  <si>
    <t>équipe 40</t>
  </si>
  <si>
    <t>équipe 41</t>
  </si>
  <si>
    <t>équipe 42</t>
  </si>
  <si>
    <t>équipe 43</t>
  </si>
  <si>
    <t>équipe 44</t>
  </si>
  <si>
    <t>équipe 45</t>
  </si>
  <si>
    <t>équipe 46</t>
  </si>
  <si>
    <t>équipe 47</t>
  </si>
  <si>
    <t>équipe 48</t>
  </si>
  <si>
    <t>équipe 49</t>
  </si>
  <si>
    <t>équipe 50</t>
  </si>
  <si>
    <t>équipe 51</t>
  </si>
  <si>
    <t>équipe 52</t>
  </si>
  <si>
    <t>équipe 53</t>
  </si>
  <si>
    <t>équipe 54</t>
  </si>
  <si>
    <t>équipe 55</t>
  </si>
  <si>
    <t>équipe 56</t>
  </si>
  <si>
    <t>équipe 57</t>
  </si>
  <si>
    <t>équipe 58</t>
  </si>
  <si>
    <t>équipe 59</t>
  </si>
  <si>
    <t>équipe 60</t>
  </si>
  <si>
    <t>Code Hcéres</t>
  </si>
  <si>
    <t>codes postaux</t>
  </si>
  <si>
    <t>cp1</t>
  </si>
  <si>
    <t>cp2</t>
  </si>
  <si>
    <t>RFD-E1</t>
  </si>
  <si>
    <t>RFD-E2</t>
  </si>
  <si>
    <t>RFD-E3</t>
  </si>
  <si>
    <t>RFD-E4</t>
  </si>
  <si>
    <t>RFD-E5</t>
  </si>
  <si>
    <t>RFD-E6</t>
  </si>
  <si>
    <t>RFRP</t>
  </si>
  <si>
    <t>Totaux dotations récurrentes et ressources propres</t>
  </si>
  <si>
    <t>RFT</t>
  </si>
  <si>
    <t>RFP-E</t>
  </si>
  <si>
    <t>Homme/Femme</t>
  </si>
  <si>
    <t>Établissements de rattachement</t>
  </si>
  <si>
    <t>UNITÉS</t>
  </si>
  <si>
    <t>LIGNES 297 à 433</t>
  </si>
  <si>
    <t>LIGNES 435 à 532</t>
  </si>
  <si>
    <t>LIGNES 535 à 2610</t>
  </si>
  <si>
    <t>INSA CVL</t>
  </si>
  <si>
    <t>INSA CLV</t>
  </si>
  <si>
    <t>OBSERVATOIRE COTE D'AZUR - OCA</t>
  </si>
  <si>
    <t>AIX-MARSEILLE U - AMU</t>
  </si>
  <si>
    <t>U AVIGNON - AU</t>
  </si>
  <si>
    <t>U FRANCHE-COMTE</t>
  </si>
  <si>
    <t>U STRASBOURG - UNISTRA</t>
  </si>
  <si>
    <t>TUTELLES DÉPOSANTES NOM COMPLET</t>
  </si>
  <si>
    <t>TUTELLES DÉPOSANTES LIGHT</t>
  </si>
  <si>
    <t>Code UAI</t>
  </si>
  <si>
    <t>AGROSUP</t>
  </si>
  <si>
    <t>ESC</t>
  </si>
  <si>
    <t>ENSA_M</t>
  </si>
  <si>
    <t>ENSA_N</t>
  </si>
  <si>
    <t>ENSA_S</t>
  </si>
  <si>
    <t>IEP_A</t>
  </si>
  <si>
    <t>OCA</t>
  </si>
  <si>
    <t>AU</t>
  </si>
  <si>
    <t>U_LOR</t>
  </si>
  <si>
    <t>UHA</t>
  </si>
  <si>
    <t>UNC</t>
  </si>
  <si>
    <t>UNISTRA</t>
  </si>
  <si>
    <t>U_TOUL</t>
  </si>
  <si>
    <t>U_TOURS</t>
  </si>
  <si>
    <t>U_ORL</t>
  </si>
  <si>
    <t>U_REIMS</t>
  </si>
  <si>
    <t>U_BOURG</t>
  </si>
  <si>
    <t>UFC</t>
  </si>
  <si>
    <t>U_COR</t>
  </si>
  <si>
    <t>UPF</t>
  </si>
  <si>
    <t>UTB</t>
  </si>
  <si>
    <t>UTT</t>
  </si>
  <si>
    <t>AGROSUP;CENTRALE_M;ENGEES;ENSA_M;ENSA_N;ENSA_S;ENSMM;ESC;IEP_A;IEP_S;INSA_CLV;INSA_S;OCA;AMU;AU;UFC;U_COR;U_BOURG;U_LOR;UHA;OCA;UNC;U_ORL;UPF;U_REIMS;UNISTRA;U_TOUL;U_TOURS;UTB;UTT;CEA;CNRS;IFREMER;INRAE;INSERM;PASTEUR;IRD</t>
  </si>
  <si>
    <t>199511717M</t>
  </si>
  <si>
    <t>199717902B</t>
  </si>
  <si>
    <t>200715421L</t>
  </si>
  <si>
    <t>UMR 5022</t>
  </si>
  <si>
    <t>UMR 1041</t>
  </si>
  <si>
    <t>UMR‐MA 2102</t>
  </si>
  <si>
    <t>Laboratoire d'étude de l'apprentissage et du développement</t>
  </si>
  <si>
    <t>Centre d'économie et de sociologie appliquées à l'agriculture et aux espaces ruraux</t>
  </si>
  <si>
    <t>Procédés alimentaires et microbiologiques</t>
  </si>
  <si>
    <t>UP DPF</t>
  </si>
  <si>
    <t>CESAER</t>
  </si>
  <si>
    <t>PAM</t>
  </si>
  <si>
    <t>OLRY</t>
  </si>
  <si>
    <t>BLANCARD</t>
  </si>
  <si>
    <t>Stéphane</t>
  </si>
  <si>
    <t>BENEY</t>
  </si>
  <si>
    <t>Laurent</t>
  </si>
  <si>
    <t>195818595Z</t>
  </si>
  <si>
    <t>198318600W</t>
  </si>
  <si>
    <t>199018572K</t>
  </si>
  <si>
    <t>199018578S</t>
  </si>
  <si>
    <t>200418580H</t>
  </si>
  <si>
    <t>202023587F</t>
  </si>
  <si>
    <t>GIS / UPR 3266</t>
  </si>
  <si>
    <t>IRFM</t>
  </si>
  <si>
    <t>GANIL</t>
  </si>
  <si>
    <t>DER</t>
  </si>
  <si>
    <t>DEC</t>
  </si>
  <si>
    <t>DTN</t>
  </si>
  <si>
    <t>IRESNE</t>
  </si>
  <si>
    <t>Institut de recherche sur la fusion par confinement magnétique</t>
  </si>
  <si>
    <t>Grand accélérateur national d’ions lourds</t>
  </si>
  <si>
    <t>Département étude des réacteurs</t>
  </si>
  <si>
    <t xml:space="preserve">Département d'études des combustibles </t>
  </si>
  <si>
    <t xml:space="preserve">Département de technologie nucléaire </t>
  </si>
  <si>
    <t>Institut de recherche sur les systèmes nucléaires pour la production d’énergie bas carbone</t>
  </si>
  <si>
    <t xml:space="preserve">BUCALOSSI </t>
  </si>
  <si>
    <t xml:space="preserve">Jerome </t>
  </si>
  <si>
    <t>LEWITOWICZ (STALEY)</t>
  </si>
  <si>
    <t>Marek (Florent)</t>
  </si>
  <si>
    <t>DEVICTOR</t>
  </si>
  <si>
    <t>Nicolas</t>
  </si>
  <si>
    <t>DELPECH</t>
  </si>
  <si>
    <t>Marc</t>
  </si>
  <si>
    <t>ROCHWERGER</t>
  </si>
  <si>
    <t>Daniel</t>
  </si>
  <si>
    <t>MOREY</t>
  </si>
  <si>
    <t>Jean-Michel</t>
  </si>
  <si>
    <t>197821209D</t>
  </si>
  <si>
    <t>201421210Y</t>
  </si>
  <si>
    <t>EA 7514</t>
  </si>
  <si>
    <t>EA 7513</t>
  </si>
  <si>
    <t>INAMA</t>
  </si>
  <si>
    <t>PROJECT[S]</t>
  </si>
  <si>
    <t>Investigations sur l'histoire et l'actualité des mutations architecturales et urbaines</t>
  </si>
  <si>
    <t xml:space="preserve">Étude des savoirs en actes dans le projet </t>
  </si>
  <si>
    <t>BORRUEY</t>
  </si>
  <si>
    <t>René</t>
  </si>
  <si>
    <t>BIEHLER</t>
  </si>
  <si>
    <t>Alexandra</t>
  </si>
  <si>
    <t>Laboratoire d'histoire de l'architecture contemporaine</t>
  </si>
  <si>
    <t>LHAC</t>
  </si>
  <si>
    <t>EA 7490</t>
  </si>
  <si>
    <t xml:space="preserve">Catherine </t>
  </si>
  <si>
    <t>Architecture, morphologie/morphogénèse urbaine et projet</t>
  </si>
  <si>
    <t>AMUP</t>
  </si>
  <si>
    <t>UR 7309</t>
  </si>
  <si>
    <t>201320585Y</t>
  </si>
  <si>
    <t>RUDOLF</t>
  </si>
  <si>
    <t>Florence</t>
  </si>
  <si>
    <t>Centre de recherche sur les entreprises</t>
  </si>
  <si>
    <t>CEREN</t>
  </si>
  <si>
    <t>EA n° 7477</t>
  </si>
  <si>
    <t>201722460U</t>
  </si>
  <si>
    <t>ASSELINEAU</t>
  </si>
  <si>
    <t>Alexandre</t>
  </si>
  <si>
    <t>DESCHAMPS</t>
  </si>
  <si>
    <t>Centre méditerranéen de sociologie, de science politique et d'histoire</t>
  </si>
  <si>
    <t>MESOPOLHIS</t>
  </si>
  <si>
    <t>UMR 7064</t>
  </si>
  <si>
    <t>202123701A</t>
  </si>
  <si>
    <t>BERNARDOT</t>
  </si>
  <si>
    <t>Génétique et pathologie des mollusques marins</t>
  </si>
  <si>
    <t>LGP2M</t>
  </si>
  <si>
    <t>200418931P</t>
  </si>
  <si>
    <t>LAPEGUE</t>
  </si>
  <si>
    <t>Sylvie</t>
  </si>
  <si>
    <t>Unité de recherche technologie et analyses laitières</t>
  </si>
  <si>
    <t>URTAL</t>
  </si>
  <si>
    <t>UPR_A 0342</t>
  </si>
  <si>
    <t>195517880K</t>
  </si>
  <si>
    <t>BEUVIER</t>
  </si>
  <si>
    <t>Eric</t>
  </si>
  <si>
    <t>Pathologie végétale</t>
  </si>
  <si>
    <t>PV</t>
  </si>
  <si>
    <t>UPR_A 0407</t>
  </si>
  <si>
    <t>195817828R</t>
  </si>
  <si>
    <t>MOURY</t>
  </si>
  <si>
    <t>Benoit</t>
  </si>
  <si>
    <t>Sécurité et qualité des produits d'origine végétale</t>
  </si>
  <si>
    <t>SQPOV</t>
  </si>
  <si>
    <t>UMR_A 408</t>
  </si>
  <si>
    <t>195817884B</t>
  </si>
  <si>
    <t>CARLIN</t>
  </si>
  <si>
    <t>Agro-systèmes territoires ressources Mirecourt</t>
  </si>
  <si>
    <t xml:space="preserve">ASTER </t>
  </si>
  <si>
    <t>UPR_A 0055</t>
  </si>
  <si>
    <t>196217969B</t>
  </si>
  <si>
    <t>SOULARD</t>
  </si>
  <si>
    <t>Christophe</t>
  </si>
  <si>
    <t>Plantes et systèmes de culture horticoles</t>
  </si>
  <si>
    <t>PSH</t>
  </si>
  <si>
    <t>UPR_A 1115</t>
  </si>
  <si>
    <t>196617874F</t>
  </si>
  <si>
    <t>GAUTIER</t>
  </si>
  <si>
    <t>Hélène</t>
  </si>
  <si>
    <t>Biostatistique et processus spatiaux</t>
  </si>
  <si>
    <t>BioSP</t>
  </si>
  <si>
    <t>UPR_A 0546</t>
  </si>
  <si>
    <t>196617964D</t>
  </si>
  <si>
    <t>ROQUES</t>
  </si>
  <si>
    <t>Lionel</t>
  </si>
  <si>
    <t>Unité science du sol</t>
  </si>
  <si>
    <t>SOLS</t>
  </si>
  <si>
    <t>UPR_A 0272</t>
  </si>
  <si>
    <t>196717852C</t>
  </si>
  <si>
    <t>COUSIN</t>
  </si>
  <si>
    <t>Isabelle</t>
  </si>
  <si>
    <t>Écologie des forêts méditerranéennes</t>
  </si>
  <si>
    <t>URFM</t>
  </si>
  <si>
    <t>UPR_A 0629</t>
  </si>
  <si>
    <t>196817912N</t>
  </si>
  <si>
    <t>RIGOLOT</t>
  </si>
  <si>
    <t>Unité de recherche zoologie forestière</t>
  </si>
  <si>
    <t>URZF</t>
  </si>
  <si>
    <t>UPR_A 0633</t>
  </si>
  <si>
    <t>197017913F</t>
  </si>
  <si>
    <t>AUGER-ROZENBERG</t>
  </si>
  <si>
    <t>Marie-Anne</t>
  </si>
  <si>
    <t>Unité de recherche écodéveloppement</t>
  </si>
  <si>
    <t>ECODEVELOPPEMENT</t>
  </si>
  <si>
    <t>UPR_A 0767</t>
  </si>
  <si>
    <t>198317971M</t>
  </si>
  <si>
    <t>TCHATMITCHIAN</t>
  </si>
  <si>
    <t>Infectiologie et santé publique</t>
  </si>
  <si>
    <t>ISP</t>
  </si>
  <si>
    <t>UMR_A 1282</t>
  </si>
  <si>
    <t>199117802U</t>
  </si>
  <si>
    <t>WINTER</t>
  </si>
  <si>
    <t>Nathalie</t>
  </si>
  <si>
    <t>Génétique et amélioration des fruits et légumes</t>
  </si>
  <si>
    <t>GAFL</t>
  </si>
  <si>
    <t>UPR_A 1052</t>
  </si>
  <si>
    <t>199817816D</t>
  </si>
  <si>
    <t>DOGIMONT</t>
  </si>
  <si>
    <t>Catherine</t>
  </si>
  <si>
    <t>Environnement méditerranéen et modélisation des agro-hydrosystèmes</t>
  </si>
  <si>
    <t>EMMAH</t>
  </si>
  <si>
    <t>UMR_A 1144</t>
  </si>
  <si>
    <t>199917981D</t>
  </si>
  <si>
    <t>RUY</t>
  </si>
  <si>
    <t>Stephane</t>
  </si>
  <si>
    <t>Gestion territoriale de l'eau et de l'environnement</t>
  </si>
  <si>
    <t>GESTE</t>
  </si>
  <si>
    <t>UMR_A 1459</t>
  </si>
  <si>
    <t>199918626E</t>
  </si>
  <si>
    <t>FERNANDEZ</t>
  </si>
  <si>
    <t>Abeilles et environnement</t>
  </si>
  <si>
    <t>AE</t>
  </si>
  <si>
    <t>UMR_A 406</t>
  </si>
  <si>
    <t>200017435F</t>
  </si>
  <si>
    <t>HENRY</t>
  </si>
  <si>
    <t>Mickaël</t>
  </si>
  <si>
    <t>Santé de la vigne et qualité du vin</t>
  </si>
  <si>
    <t>SVQV</t>
  </si>
  <si>
    <t>UMR_A 1131</t>
  </si>
  <si>
    <t>200117249Z</t>
  </si>
  <si>
    <t>BRAULT</t>
  </si>
  <si>
    <t>Biogéochimie des ecosystèmes forestiers</t>
  </si>
  <si>
    <t>BEF</t>
  </si>
  <si>
    <t>UPR_A 1138</t>
  </si>
  <si>
    <t>200117918B</t>
  </si>
  <si>
    <t>ZELLER</t>
  </si>
  <si>
    <t>Bernhard</t>
  </si>
  <si>
    <t>Écosystèmes forestiers</t>
  </si>
  <si>
    <t>EFNO</t>
  </si>
  <si>
    <t>UPR_A 1455</t>
  </si>
  <si>
    <t>200418631N</t>
  </si>
  <si>
    <t>ARCHAUX</t>
  </si>
  <si>
    <t>Frédéric</t>
  </si>
  <si>
    <t>Physiologie de la reproduction et des comportements</t>
  </si>
  <si>
    <t>PRC</t>
  </si>
  <si>
    <t>UMR_A 0085</t>
  </si>
  <si>
    <t>201220294L</t>
  </si>
  <si>
    <t>KELLER</t>
  </si>
  <si>
    <t>Matthieu</t>
  </si>
  <si>
    <t>Agroécologie</t>
  </si>
  <si>
    <t>UMR 1347</t>
  </si>
  <si>
    <t>201220381F</t>
  </si>
  <si>
    <t>MARTIN</t>
  </si>
  <si>
    <t>Fabrice</t>
  </si>
  <si>
    <t>Institut Sophia agrobiotech</t>
  </si>
  <si>
    <t>ISA</t>
  </si>
  <si>
    <t>UMR_A 1355</t>
  </si>
  <si>
    <t>201220409L</t>
  </si>
  <si>
    <t>CASTAGNONE</t>
  </si>
  <si>
    <t>Philippe</t>
  </si>
  <si>
    <t>Risques, ecosystèmes, vulnérabilité, environnement, résilience</t>
  </si>
  <si>
    <t>RECOVER</t>
  </si>
  <si>
    <t>UMR_A 1467</t>
  </si>
  <si>
    <t>201521789Y</t>
  </si>
  <si>
    <t>JAPPIOT</t>
  </si>
  <si>
    <t>Biologie intégrée pour la valorisation de la diversité des arbres et de la forêt</t>
  </si>
  <si>
    <t>BioForA</t>
  </si>
  <si>
    <t>UMR_A 0588</t>
  </si>
  <si>
    <t>201822705F</t>
  </si>
  <si>
    <t>VILLAR</t>
  </si>
  <si>
    <t>Biologie des oiseaux et aviculture</t>
  </si>
  <si>
    <t>BOA</t>
  </si>
  <si>
    <t>UPR_A 0083</t>
  </si>
  <si>
    <t>201822706G</t>
  </si>
  <si>
    <t>BERRI</t>
  </si>
  <si>
    <t>Cécile</t>
  </si>
  <si>
    <t>Prevention and treatment of HIV infections and virus-associated cancers in South East Asia</t>
  </si>
  <si>
    <t>PHPT</t>
  </si>
  <si>
    <t>UMI 174</t>
  </si>
  <si>
    <t>JOURDAIN</t>
  </si>
  <si>
    <t>Gonzague</t>
  </si>
  <si>
    <t>Marielle</t>
  </si>
  <si>
    <t>Laboratoire géoazur</t>
  </si>
  <si>
    <t>Géoazur</t>
  </si>
  <si>
    <t>UMR 7329 / UMR_D 082</t>
  </si>
  <si>
    <t>200816914E</t>
  </si>
  <si>
    <t>SOSSON (TRIC)</t>
  </si>
  <si>
    <t>Marc (Emmanuel)</t>
  </si>
  <si>
    <t>Laboratoire Joseph-Louis Lagrange</t>
  </si>
  <si>
    <t>Lagrange</t>
  </si>
  <si>
    <t>UMR 7293</t>
  </si>
  <si>
    <t>201220431K</t>
  </si>
  <si>
    <t>HILL STEE</t>
  </si>
  <si>
    <t>Vanessa Philippe</t>
  </si>
  <si>
    <t>Astrophysique relativiste théories expériences métrologie instrumentation signaux</t>
  </si>
  <si>
    <t>ARTEMIS</t>
  </si>
  <si>
    <t>UMR 7250</t>
  </si>
  <si>
    <t>201220434N</t>
  </si>
  <si>
    <t>CHRISTENSEN</t>
  </si>
  <si>
    <t>Nelson</t>
  </si>
  <si>
    <t>Laboratoire de psychologie sociale</t>
  </si>
  <si>
    <t>Psy-DREPI
LPS</t>
  </si>
  <si>
    <t>EA 4452 + EA 4180
UR 849</t>
  </si>
  <si>
    <t>199213249R</t>
  </si>
  <si>
    <t xml:space="preserve">FOINTIAT </t>
  </si>
  <si>
    <t>Valérie</t>
  </si>
  <si>
    <t>Laboratoire d'études et de recherche sur le monde anglophone</t>
  </si>
  <si>
    <t xml:space="preserve">LERMA </t>
  </si>
  <si>
    <t>UR 853</t>
  </si>
  <si>
    <t>199213252U</t>
  </si>
  <si>
    <t xml:space="preserve">LEFAIT </t>
  </si>
  <si>
    <t>Sébastien</t>
  </si>
  <si>
    <t>Centre Aixois d'études romanes</t>
  </si>
  <si>
    <t>CAER</t>
  </si>
  <si>
    <t>UR 854</t>
  </si>
  <si>
    <t>199213253V</t>
  </si>
  <si>
    <t>MILANESI</t>
  </si>
  <si>
    <t>Claudio</t>
  </si>
  <si>
    <t>Centre de recherche sur le transport et la logistique</t>
  </si>
  <si>
    <t xml:space="preserve">CRET-LOG </t>
  </si>
  <si>
    <t>UR 881</t>
  </si>
  <si>
    <t>199213256Y</t>
  </si>
  <si>
    <t>LIVOLSI</t>
  </si>
  <si>
    <t>Laboratoire interdisciplinaire en urbanisme</t>
  </si>
  <si>
    <t xml:space="preserve">LIEU </t>
  </si>
  <si>
    <t>UR 889</t>
  </si>
  <si>
    <t>199213258A</t>
  </si>
  <si>
    <t>DUBOIS</t>
  </si>
  <si>
    <t>Jérôme</t>
  </si>
  <si>
    <t>Centre d'études fiscales et financières</t>
  </si>
  <si>
    <t>CEFF</t>
  </si>
  <si>
    <t>UR 891</t>
  </si>
  <si>
    <t>199213259B</t>
  </si>
  <si>
    <t>LAMBERT</t>
  </si>
  <si>
    <t>Thierry</t>
  </si>
  <si>
    <t>Laboratoire de théorie du droit</t>
  </si>
  <si>
    <t xml:space="preserve">LTD </t>
  </si>
  <si>
    <t>UR 892</t>
  </si>
  <si>
    <t>199213260C</t>
  </si>
  <si>
    <t>ROUVIERE</t>
  </si>
  <si>
    <t>Jean-Yves</t>
  </si>
  <si>
    <t>Centre de recherches administratives</t>
  </si>
  <si>
    <t xml:space="preserve">CRA </t>
  </si>
  <si>
    <t>UR 893</t>
  </si>
  <si>
    <t>199213261D</t>
  </si>
  <si>
    <t>LOMBARD</t>
  </si>
  <si>
    <t>Centre de droit social</t>
  </si>
  <si>
    <t>CDS</t>
  </si>
  <si>
    <t>UR 901</t>
  </si>
  <si>
    <t>199213265H</t>
  </si>
  <si>
    <t>BUGADA</t>
  </si>
  <si>
    <t>Alexis</t>
  </si>
  <si>
    <t>Centre d'études et de recherches d'histoire des idées et des institutions politiques</t>
  </si>
  <si>
    <t xml:space="preserve">CERHIIP </t>
  </si>
  <si>
    <t>UR 2186</t>
  </si>
  <si>
    <t>199613778Y</t>
  </si>
  <si>
    <t>GASPARINI</t>
  </si>
  <si>
    <t>Laboratoire de mécanique et d’acoustique</t>
  </si>
  <si>
    <t xml:space="preserve">LMA </t>
  </si>
  <si>
    <t>UMR 7031</t>
  </si>
  <si>
    <t>199617659S</t>
  </si>
  <si>
    <t xml:space="preserve">EYHERAMENDY </t>
  </si>
  <si>
    <t>Dominique</t>
  </si>
  <si>
    <t>Recherche en psychologie de la connaissance, du langage et de l'emotion</t>
  </si>
  <si>
    <t>PSYCLE</t>
  </si>
  <si>
    <t>UR 3273</t>
  </si>
  <si>
    <t>200014571T</t>
  </si>
  <si>
    <t>BONNARDEL</t>
  </si>
  <si>
    <t>Laboratoire d'études en sciences des arts</t>
  </si>
  <si>
    <t xml:space="preserve">LESA </t>
  </si>
  <si>
    <t>UR 3274</t>
  </si>
  <si>
    <t>200014572U</t>
  </si>
  <si>
    <t xml:space="preserve">DURAFOUR </t>
  </si>
  <si>
    <t>Institut d'histoire de la philosophie</t>
  </si>
  <si>
    <t xml:space="preserve">IHP </t>
  </si>
  <si>
    <t>UR 3276</t>
  </si>
  <si>
    <t>200014574W</t>
  </si>
  <si>
    <t>PARIENTE BUTTERLIN</t>
  </si>
  <si>
    <t>Psychologie ergonomique et sociale pour l'expérience utilisateurs</t>
  </si>
  <si>
    <t>PErSEUs</t>
  </si>
  <si>
    <t>EA 7312 
UR 3278</t>
  </si>
  <si>
    <t>201320587A</t>
  </si>
  <si>
    <t xml:space="preserve">BOUTEYRE </t>
  </si>
  <si>
    <t>Evelyne</t>
  </si>
  <si>
    <t xml:space="preserve">Santé publique et maladies chroniques : qualité de vie concepts, usages et limites, déterminants </t>
  </si>
  <si>
    <t>CEReSS</t>
  </si>
  <si>
    <t>UR 3279</t>
  </si>
  <si>
    <t>200014577Z</t>
  </si>
  <si>
    <t>AUQUIER</t>
  </si>
  <si>
    <t>Pascal</t>
  </si>
  <si>
    <t>Centre d'immunologie de Marseille-Luminy</t>
  </si>
  <si>
    <t xml:space="preserve">CIML </t>
  </si>
  <si>
    <t>UM 2 - UMR_S 1104 - UMR 7280</t>
  </si>
  <si>
    <t>200017461J</t>
  </si>
  <si>
    <t xml:space="preserve">PIERRE </t>
  </si>
  <si>
    <t xml:space="preserve">Laboratoire de biomécanique appliquée </t>
  </si>
  <si>
    <t xml:space="preserve">LBA </t>
  </si>
  <si>
    <t>UMR_T 24</t>
  </si>
  <si>
    <t>200017663D</t>
  </si>
  <si>
    <t>ARNOUX BERDAH</t>
  </si>
  <si>
    <t>Pierre-Jean Stéphane</t>
  </si>
  <si>
    <t>Laboratoire population-environnement-développement</t>
  </si>
  <si>
    <t xml:space="preserve">LPED </t>
  </si>
  <si>
    <t>UMR_D 151</t>
  </si>
  <si>
    <t>200217423J</t>
  </si>
  <si>
    <t xml:space="preserve">GASTINEAU </t>
  </si>
  <si>
    <t>Bénédicte</t>
  </si>
  <si>
    <t>Fédération des sciences chimiques de Marseille</t>
  </si>
  <si>
    <t>FSCM</t>
  </si>
  <si>
    <t>FR 1739</t>
  </si>
  <si>
    <t>200410639B</t>
  </si>
  <si>
    <t>VIEL</t>
  </si>
  <si>
    <t>Fédération de recherche des unités de mathématiques de Marseille</t>
  </si>
  <si>
    <t>FRUMAM</t>
  </si>
  <si>
    <t>FR 2291</t>
  </si>
  <si>
    <t>200410654T</t>
  </si>
  <si>
    <t>PICHON</t>
  </si>
  <si>
    <t>Anne</t>
  </si>
  <si>
    <t>Réseau de laboratoires d'histoire des idées et des institutions politiques</t>
  </si>
  <si>
    <t>FED 1119</t>
  </si>
  <si>
    <t>200410706Z</t>
  </si>
  <si>
    <t>Maison Asie Pacifique</t>
  </si>
  <si>
    <t>MAP</t>
  </si>
  <si>
    <t>UMS 1885</t>
  </si>
  <si>
    <t>200410852H</t>
  </si>
  <si>
    <t>BERTAUX-PICHARD</t>
  </si>
  <si>
    <t>Louise</t>
  </si>
  <si>
    <t xml:space="preserve">Groupe de recherches et d’études en droit de l’immobilier, de l’aménagement, de l’urbanisme et de la construction </t>
  </si>
  <si>
    <t xml:space="preserve">GREDIAUC </t>
  </si>
  <si>
    <t>UR 3786</t>
  </si>
  <si>
    <t>200415047T</t>
  </si>
  <si>
    <t>CARPENTIER</t>
  </si>
  <si>
    <t>Elise</t>
  </si>
  <si>
    <t>Biodiversité et biotechnologie fongiques</t>
  </si>
  <si>
    <t xml:space="preserve">BBF </t>
  </si>
  <si>
    <t xml:space="preserve">UMR_A 1163 </t>
  </si>
  <si>
    <t>200417421Y</t>
  </si>
  <si>
    <t>FAULDS</t>
  </si>
  <si>
    <t>Craig</t>
  </si>
  <si>
    <t>Membranes et cibles thérapeutiques</t>
  </si>
  <si>
    <t>UMR_MD 1</t>
  </si>
  <si>
    <t>200617429Y</t>
  </si>
  <si>
    <t>BOLLA (PAGES)</t>
  </si>
  <si>
    <t>Jean-Michel (Jean-Marie)</t>
  </si>
  <si>
    <t>Fédération droits, pouvoirs et sociétés</t>
  </si>
  <si>
    <t>DPS</t>
  </si>
  <si>
    <t>FED 4280</t>
  </si>
  <si>
    <t>200810699Z</t>
  </si>
  <si>
    <t>AGRESTI</t>
  </si>
  <si>
    <t>Jean-Philippe</t>
  </si>
  <si>
    <t>Écosystèmes continentaux et risques environnementaux</t>
  </si>
  <si>
    <t>ECCOREV</t>
  </si>
  <si>
    <t>FR 3098</t>
  </si>
  <si>
    <t>200810703D</t>
  </si>
  <si>
    <t>HEULIN</t>
  </si>
  <si>
    <t>Centre de droit économique</t>
  </si>
  <si>
    <t xml:space="preserve">CDE </t>
  </si>
  <si>
    <t>UR 4224</t>
  </si>
  <si>
    <t>200815462B</t>
  </si>
  <si>
    <t>BOSCO</t>
  </si>
  <si>
    <t>David</t>
  </si>
  <si>
    <t>Centre interdisciplinaire d'éetude des littératures d'Aix-Marseille</t>
  </si>
  <si>
    <t>CIELAM</t>
  </si>
  <si>
    <t>UR 4235</t>
  </si>
  <si>
    <t>200815472M</t>
  </si>
  <si>
    <t xml:space="preserve">MAZAURIC </t>
  </si>
  <si>
    <t>Équipe sur les cultures et humanités anciennes et nouvelles germaniques et slaves</t>
  </si>
  <si>
    <t>ECHANGES</t>
  </si>
  <si>
    <t>UR 4236</t>
  </si>
  <si>
    <t>200815473N</t>
  </si>
  <si>
    <t>BANCAUD</t>
  </si>
  <si>
    <t>Laboratoire d'imagerie interventionnelle expérimentale</t>
  </si>
  <si>
    <t xml:space="preserve">LiiE </t>
  </si>
  <si>
    <t>UR 4264</t>
  </si>
  <si>
    <t>200815501U</t>
  </si>
  <si>
    <t>VIDAL</t>
  </si>
  <si>
    <t>Vincent</t>
  </si>
  <si>
    <t>Laboratoire interdisciplinaire de droit des médias et des mutations sociales</t>
  </si>
  <si>
    <t xml:space="preserve">LID2MS </t>
  </si>
  <si>
    <t>UR 4328</t>
  </si>
  <si>
    <t>200815558F</t>
  </si>
  <si>
    <t>ISAR</t>
  </si>
  <si>
    <t>Hervé</t>
  </si>
  <si>
    <t>Centre de génétique médicale de Marseille (Marseille medical genetics)</t>
  </si>
  <si>
    <t>MMG</t>
  </si>
  <si>
    <t>UMR_S 910</t>
  </si>
  <si>
    <t>200816536U</t>
  </si>
  <si>
    <t>LEVY</t>
  </si>
  <si>
    <t>Sciences économiques et sociales de la santé et traitement de l'information médicale</t>
  </si>
  <si>
    <t xml:space="preserve">SESSTIM </t>
  </si>
  <si>
    <t>UMR_S 1252 / UMR_D 259</t>
  </si>
  <si>
    <t>200817366W</t>
  </si>
  <si>
    <t>GIORGI</t>
  </si>
  <si>
    <t>Roch</t>
  </si>
  <si>
    <t>Adhésion et inflammation</t>
  </si>
  <si>
    <t xml:space="preserve">LAI </t>
  </si>
  <si>
    <t>UM 61 - UMR_S 1067 - UMR 7333</t>
  </si>
  <si>
    <t>200817464C</t>
  </si>
  <si>
    <t xml:space="preserve">THEODOLY </t>
  </si>
  <si>
    <t>Olivier</t>
  </si>
  <si>
    <t xml:space="preserve">Unité des virus emergents </t>
  </si>
  <si>
    <t>UVE</t>
  </si>
  <si>
    <t>UMR_D 190 / UMR_S 1207</t>
  </si>
  <si>
    <t>200817677J</t>
  </si>
  <si>
    <t>DE LAMBALLERIE</t>
  </si>
  <si>
    <t>Xavier</t>
  </si>
  <si>
    <t>Maison méditerranéenne des sciences de l'homme</t>
  </si>
  <si>
    <t xml:space="preserve">MMSH </t>
  </si>
  <si>
    <t>USR 3125</t>
  </si>
  <si>
    <t>200817679L</t>
  </si>
  <si>
    <t>BOUFFIER</t>
  </si>
  <si>
    <t>Sophie</t>
  </si>
  <si>
    <t>Institut de recherche sur l'architecture antique</t>
  </si>
  <si>
    <t xml:space="preserve">IRAA </t>
  </si>
  <si>
    <t>USR 3155</t>
  </si>
  <si>
    <t>200817680M</t>
  </si>
  <si>
    <t>QUANTIN</t>
  </si>
  <si>
    <t>François</t>
  </si>
  <si>
    <t>Centre d'études et de recherche en gestion d'Aix-Marseille</t>
  </si>
  <si>
    <t>CERGAM (int. GRM)</t>
  </si>
  <si>
    <t>UR 4225 (int. EA 4711)</t>
  </si>
  <si>
    <t>200818985F</t>
  </si>
  <si>
    <t>AUBERT</t>
  </si>
  <si>
    <t>Institut de neurobiologie de la méditerranée</t>
  </si>
  <si>
    <t xml:space="preserve">INMED </t>
  </si>
  <si>
    <t>UMR_S 1249</t>
  </si>
  <si>
    <t>200819256A</t>
  </si>
  <si>
    <t xml:space="preserve">COSSART </t>
  </si>
  <si>
    <t>Rosa</t>
  </si>
  <si>
    <t>Centre de recherche en cancérologie de Marseille</t>
  </si>
  <si>
    <t>CRCM</t>
  </si>
  <si>
    <t>UM 105 / UMR_S 1068 / UMR 7258</t>
  </si>
  <si>
    <t>201220152G</t>
  </si>
  <si>
    <t>BORG</t>
  </si>
  <si>
    <t>Jean-Paul</t>
  </si>
  <si>
    <t xml:space="preserve">Unité de neurobiologie des canaux ioniques  et de la synapse </t>
  </si>
  <si>
    <t xml:space="preserve">UNIS </t>
  </si>
  <si>
    <t>UMR_S 1072</t>
  </si>
  <si>
    <t>201220156L</t>
  </si>
  <si>
    <t>DEBANNE</t>
  </si>
  <si>
    <t>Technologie avancée pour le génome et la clinique</t>
  </si>
  <si>
    <t xml:space="preserve">TAGC </t>
  </si>
  <si>
    <t>UMR_S 1090</t>
  </si>
  <si>
    <t>201220169A</t>
  </si>
  <si>
    <t xml:space="preserve">RIHET </t>
  </si>
  <si>
    <t>Autoanticorps et microchimérisme dans la polyarthrite rhumatoïde et la sclérodermie
arthrites autoimmunes</t>
  </si>
  <si>
    <t>Gènes HLA-DR
AA</t>
  </si>
  <si>
    <t>UMR_S 1097</t>
  </si>
  <si>
    <t>201220176H</t>
  </si>
  <si>
    <t>ROUDIER</t>
  </si>
  <si>
    <t>Jean</t>
  </si>
  <si>
    <t>Institut de neurosciences des systèmes</t>
  </si>
  <si>
    <t>INS</t>
  </si>
  <si>
    <t>UMR_S 1106</t>
  </si>
  <si>
    <t>201220181N</t>
  </si>
  <si>
    <t>JIRSA</t>
  </si>
  <si>
    <t>Viktor</t>
  </si>
  <si>
    <t>Centre de résonance magnétique biologique et médicale</t>
  </si>
  <si>
    <t xml:space="preserve">CRMBM </t>
  </si>
  <si>
    <t>UMR 7339</t>
  </si>
  <si>
    <t>201220246J</t>
  </si>
  <si>
    <t>BERNARD</t>
  </si>
  <si>
    <t>Monique</t>
  </si>
  <si>
    <t>Centre de physique des particules de Marseille</t>
  </si>
  <si>
    <t>CPPM</t>
  </si>
  <si>
    <t>UMR 7346</t>
  </si>
  <si>
    <t>201220247K</t>
  </si>
  <si>
    <t xml:space="preserve">DIACONU </t>
  </si>
  <si>
    <t>Cristinel</t>
  </si>
  <si>
    <t xml:space="preserve">Centre de physique théorique </t>
  </si>
  <si>
    <t xml:space="preserve">CPT </t>
  </si>
  <si>
    <t>UMR 7332</t>
  </si>
  <si>
    <t>201220252R</t>
  </si>
  <si>
    <t>Droits international, comparé et européen</t>
  </si>
  <si>
    <t>DICE</t>
  </si>
  <si>
    <t>UMR 7318</t>
  </si>
  <si>
    <t>201220257W</t>
  </si>
  <si>
    <t>STEFANINI</t>
  </si>
  <si>
    <t>Marthe</t>
  </si>
  <si>
    <t>Laboratoire lasers plasmas et procédés photoniques</t>
  </si>
  <si>
    <t xml:space="preserve">LP3 </t>
  </si>
  <si>
    <t>UMR 7341</t>
  </si>
  <si>
    <t>201220258X</t>
  </si>
  <si>
    <t xml:space="preserve">UTEZA </t>
  </si>
  <si>
    <t>Architecture et fonction des macromolécules biologiques</t>
  </si>
  <si>
    <t>AFMB</t>
  </si>
  <si>
    <t>UMR 7257 / USC_A 1408</t>
  </si>
  <si>
    <t>201220260Z</t>
  </si>
  <si>
    <t>BOURNE</t>
  </si>
  <si>
    <t>Yves</t>
  </si>
  <si>
    <t>Institut neurophysiopathologie</t>
  </si>
  <si>
    <t>INP</t>
  </si>
  <si>
    <t>UMR 7051</t>
  </si>
  <si>
    <t>201220266F</t>
  </si>
  <si>
    <t>KHRESTCHATISKY</t>
  </si>
  <si>
    <t>Michel</t>
  </si>
  <si>
    <t>Laboratoire de neurosciences intégratives et adaptatives</t>
  </si>
  <si>
    <t xml:space="preserve">LNIA </t>
  </si>
  <si>
    <t>201220267G</t>
  </si>
  <si>
    <t>XERRI</t>
  </si>
  <si>
    <t>Christian</t>
  </si>
  <si>
    <t>Laboratoire de neurosciences cognitives</t>
  </si>
  <si>
    <t xml:space="preserve">LNC </t>
  </si>
  <si>
    <t>UMR 7291 (int. UMR 7260)</t>
  </si>
  <si>
    <t>201220268H</t>
  </si>
  <si>
    <t xml:space="preserve">HASBROUCQ </t>
  </si>
  <si>
    <t>Bioénergétique et ingénierie des protéines</t>
  </si>
  <si>
    <t>BIP</t>
  </si>
  <si>
    <t>UMR 7281</t>
  </si>
  <si>
    <t>201220269J</t>
  </si>
  <si>
    <t>GIUDICI-ORTICONI</t>
  </si>
  <si>
    <t>Marie-Thérése</t>
  </si>
  <si>
    <t>Physique des interactions ioniques et moléculaires</t>
  </si>
  <si>
    <t xml:space="preserve">PIIM </t>
  </si>
  <si>
    <t>UMR 7345</t>
  </si>
  <si>
    <t>201220272M</t>
  </si>
  <si>
    <t xml:space="preserve">CALISTI </t>
  </si>
  <si>
    <t>Annette</t>
  </si>
  <si>
    <t>Institut de recherche sur les phénomènes hors équilibre</t>
  </si>
  <si>
    <t xml:space="preserve">IRPHE </t>
  </si>
  <si>
    <t>UMR 7342</t>
  </si>
  <si>
    <t>201220273N</t>
  </si>
  <si>
    <t xml:space="preserve">LE DIZÉS </t>
  </si>
  <si>
    <t>Laboratoire d’astrophysique de Marseille</t>
  </si>
  <si>
    <t>LAM</t>
  </si>
  <si>
    <t>UMR 7326</t>
  </si>
  <si>
    <t>201220274P</t>
  </si>
  <si>
    <t>BEUZIT</t>
  </si>
  <si>
    <t>Jean-Luc</t>
  </si>
  <si>
    <t>Institut universitaire des systèmes thermiques industriels</t>
  </si>
  <si>
    <t xml:space="preserve">IUSTI </t>
  </si>
  <si>
    <t>UMR 7343</t>
  </si>
  <si>
    <t>201220275R</t>
  </si>
  <si>
    <t xml:space="preserve">POULIQUEN </t>
  </si>
  <si>
    <t>Laboratoire parole et langage</t>
  </si>
  <si>
    <t>LPL</t>
  </si>
  <si>
    <t>UMR 7309</t>
  </si>
  <si>
    <t>201220301U</t>
  </si>
  <si>
    <t xml:space="preserve">PRÉVOT </t>
  </si>
  <si>
    <t>Centre Gilles Gaston Granger</t>
  </si>
  <si>
    <t>CGGG</t>
  </si>
  <si>
    <t>UMR 7304</t>
  </si>
  <si>
    <t>201220302V</t>
  </si>
  <si>
    <t>TARANTO</t>
  </si>
  <si>
    <t>Centre de recherche et de documentation sur l'Océanie</t>
  </si>
  <si>
    <t xml:space="preserve">CREDO </t>
  </si>
  <si>
    <t>UMR 7308</t>
  </si>
  <si>
    <t>201220303W</t>
  </si>
  <si>
    <t>TABANI</t>
  </si>
  <si>
    <t xml:space="preserve">Institut de recherches asiatiques </t>
  </si>
  <si>
    <t xml:space="preserve">IrAsia </t>
  </si>
  <si>
    <t>UMR 7306</t>
  </si>
  <si>
    <t>201220304X</t>
  </si>
  <si>
    <t xml:space="preserve">NGUYEN </t>
  </si>
  <si>
    <t>Thi Phuong Ngoc</t>
  </si>
  <si>
    <t>Centre Camille Jullian - Archéologie méditerranéenne et africaine</t>
  </si>
  <si>
    <t xml:space="preserve">CCJ </t>
  </si>
  <si>
    <t>UMR 7299</t>
  </si>
  <si>
    <t>201220305Y</t>
  </si>
  <si>
    <t xml:space="preserve">BOETTO </t>
  </si>
  <si>
    <t>Giulia</t>
  </si>
  <si>
    <t>Laboratoire méditerranéen de préhistoire Europe-Afrique</t>
  </si>
  <si>
    <t xml:space="preserve">LAMPEA </t>
  </si>
  <si>
    <t>UMR 7269</t>
  </si>
  <si>
    <t>201220306Z</t>
  </si>
  <si>
    <t xml:space="preserve">HERRSCHER </t>
  </si>
  <si>
    <t>Estelle</t>
  </si>
  <si>
    <t>Institut de recherches et d'études sur le monde arabe et musulman</t>
  </si>
  <si>
    <t>IREMAM</t>
  </si>
  <si>
    <t>UMR 7310</t>
  </si>
  <si>
    <t>201220307A</t>
  </si>
  <si>
    <t xml:space="preserve">JACQUEMOND </t>
  </si>
  <si>
    <t>Richard</t>
  </si>
  <si>
    <t>Laboratoire d'archéologie médiévale et moderne en méditerranée</t>
  </si>
  <si>
    <t xml:space="preserve">LA3M </t>
  </si>
  <si>
    <t>UMR 7298</t>
  </si>
  <si>
    <t>201220308B</t>
  </si>
  <si>
    <t xml:space="preserve">MAILLOUX </t>
  </si>
  <si>
    <t xml:space="preserve">Laboratoire méditerranéen de sociologie </t>
  </si>
  <si>
    <t xml:space="preserve">LAMES </t>
  </si>
  <si>
    <t>UMR 7305</t>
  </si>
  <si>
    <t>201220309C</t>
  </si>
  <si>
    <t>MAZZELLA</t>
  </si>
  <si>
    <t>Institut d'ethnologie méditerranéenne, européenne et comparative</t>
  </si>
  <si>
    <t>IDEMEC</t>
  </si>
  <si>
    <t>UMR 7307</t>
  </si>
  <si>
    <t>201220310D</t>
  </si>
  <si>
    <t xml:space="preserve">FLICHE </t>
  </si>
  <si>
    <t>Benoît</t>
  </si>
  <si>
    <t>Temps, espaces, langages, europe méridionale, méditerranée</t>
  </si>
  <si>
    <t xml:space="preserve">TELEMME </t>
  </si>
  <si>
    <t>UMR 7303</t>
  </si>
  <si>
    <t>201220311E</t>
  </si>
  <si>
    <t xml:space="preserve">DAUMALIN </t>
  </si>
  <si>
    <t>Textes et documents de la méditerranée antique et médiévale (centre Paul Albert Février)</t>
  </si>
  <si>
    <t xml:space="preserve">TDMAM </t>
  </si>
  <si>
    <t>UMR 7297</t>
  </si>
  <si>
    <t>201220312F</t>
  </si>
  <si>
    <t>CAIRE</t>
  </si>
  <si>
    <t>Emmanuèle</t>
  </si>
  <si>
    <t>Institut de biologie du développement de Marseille</t>
  </si>
  <si>
    <t xml:space="preserve">IBDM </t>
  </si>
  <si>
    <t>UMR 7288</t>
  </si>
  <si>
    <t>201220316K</t>
  </si>
  <si>
    <t xml:space="preserve">KODJABACHIAN </t>
  </si>
  <si>
    <t>Institut des sciences du mouvement - Etienne-Jules Marey</t>
  </si>
  <si>
    <t xml:space="preserve">ISM </t>
  </si>
  <si>
    <t>UMR 7287</t>
  </si>
  <si>
    <t>201220320P</t>
  </si>
  <si>
    <t xml:space="preserve">PITHIOUX </t>
  </si>
  <si>
    <t>Martine</t>
  </si>
  <si>
    <t xml:space="preserve">Centre européen de recherche et d’enseignement des géosciences de l’environnement </t>
  </si>
  <si>
    <t xml:space="preserve">CEREGE </t>
  </si>
  <si>
    <t>UM 34 - UMR 7330 - UMR_D 161</t>
  </si>
  <si>
    <t>201220322S</t>
  </si>
  <si>
    <t xml:space="preserve">BELLIER </t>
  </si>
  <si>
    <t>Laboratoire d'économie et de sociologie du travail</t>
  </si>
  <si>
    <t xml:space="preserve">LEST </t>
  </si>
  <si>
    <t>UMR 7317</t>
  </si>
  <si>
    <t>201220323T</t>
  </si>
  <si>
    <t>BERTHET</t>
  </si>
  <si>
    <t>Aix-Marseille sciences economiques</t>
  </si>
  <si>
    <t>AMSE</t>
  </si>
  <si>
    <t>UMR 7316</t>
  </si>
  <si>
    <t>201220324U</t>
  </si>
  <si>
    <t>VENDITTI</t>
  </si>
  <si>
    <t>Alain</t>
  </si>
  <si>
    <t>Apprentissages, didactiques, évaluation, formation</t>
  </si>
  <si>
    <t>ADEF</t>
  </si>
  <si>
    <t>EA 4671</t>
  </si>
  <si>
    <t>201220327X</t>
  </si>
  <si>
    <t>DANTIN</t>
  </si>
  <si>
    <t>Pierre</t>
  </si>
  <si>
    <t>Linguistique, langues, parole</t>
  </si>
  <si>
    <t>199213419A</t>
  </si>
  <si>
    <t xml:space="preserve">POPLIMONT </t>
  </si>
  <si>
    <t>Christine</t>
  </si>
  <si>
    <t>Laboratoire de psychologie des cognitions</t>
  </si>
  <si>
    <t>LPC</t>
  </si>
  <si>
    <t>UMR 7290</t>
  </si>
  <si>
    <t>201220328Y</t>
  </si>
  <si>
    <t>ZIEGLER</t>
  </si>
  <si>
    <t>Johannes</t>
  </si>
  <si>
    <t>Laboratoire de mécanique, modélisation et procédés propres</t>
  </si>
  <si>
    <t xml:space="preserve">M2P2 </t>
  </si>
  <si>
    <t>UMR 7340</t>
  </si>
  <si>
    <t>201220330A</t>
  </si>
  <si>
    <t>SAGAUT</t>
  </si>
  <si>
    <t>Institut des sciences moléculaires de Marseille</t>
  </si>
  <si>
    <t xml:space="preserve">ISM2 </t>
  </si>
  <si>
    <t>UMR 7313</t>
  </si>
  <si>
    <t>201220334E</t>
  </si>
  <si>
    <t>RODRIGUEZ</t>
  </si>
  <si>
    <t>Institut Fresnel</t>
  </si>
  <si>
    <t>FRESNEL</t>
  </si>
  <si>
    <t>UMR 7249</t>
  </si>
  <si>
    <t>201220335F</t>
  </si>
  <si>
    <t xml:space="preserve">BRASSELET </t>
  </si>
  <si>
    <t>Institut matériaux microélectronique nanosciences de Provence</t>
  </si>
  <si>
    <t xml:space="preserve">IM2NP </t>
  </si>
  <si>
    <t>UMR 7334</t>
  </si>
  <si>
    <t>201220336G</t>
  </si>
  <si>
    <t>AUTRAN (BOUCHAKOUR)</t>
  </si>
  <si>
    <t>Jean-Luc (Rachid)</t>
  </si>
  <si>
    <t>Institut méditerranéen de biodiversité et d'écologie marine et continentale</t>
  </si>
  <si>
    <t>IMBE</t>
  </si>
  <si>
    <t>UMR 7263 / UMR_D 237</t>
  </si>
  <si>
    <t>201220339K</t>
  </si>
  <si>
    <t xml:space="preserve">FERNANDEZ </t>
  </si>
  <si>
    <t>Centre interdisciplinaire de nanoscience de Marseille</t>
  </si>
  <si>
    <t>CINaM</t>
  </si>
  <si>
    <t>UMR 7325</t>
  </si>
  <si>
    <t>201220341M</t>
  </si>
  <si>
    <t xml:space="preserve">MÜLLER </t>
  </si>
  <si>
    <t>Institut des neurosciences de la Timone</t>
  </si>
  <si>
    <t xml:space="preserve">INT </t>
  </si>
  <si>
    <t>UMR 7289</t>
  </si>
  <si>
    <t>201220346T</t>
  </si>
  <si>
    <t>MASSON</t>
  </si>
  <si>
    <t>Guillaume</t>
  </si>
  <si>
    <t>Institut méditerranéen d'océanologie</t>
  </si>
  <si>
    <t xml:space="preserve">MIO </t>
  </si>
  <si>
    <t>UM 110 - UMR 7294 - UMR_D 235</t>
  </si>
  <si>
    <t>201220349W</t>
  </si>
  <si>
    <t>MICHOTEY</t>
  </si>
  <si>
    <t>Anthropologie bio-culturelle, droit, éthique &amp; santé</t>
  </si>
  <si>
    <t>ADES</t>
  </si>
  <si>
    <t>UMR 7268</t>
  </si>
  <si>
    <t>201220350X</t>
  </si>
  <si>
    <t>CHIARONI</t>
  </si>
  <si>
    <t>Jacques</t>
  </si>
  <si>
    <t>Laboratoire chimie de l'environnement</t>
  </si>
  <si>
    <t xml:space="preserve">LCE </t>
  </si>
  <si>
    <t>UMR 7376</t>
  </si>
  <si>
    <t>201220353A</t>
  </si>
  <si>
    <t>WORTHAM</t>
  </si>
  <si>
    <t>Henri</t>
  </si>
  <si>
    <t>Institut de chimie radicalaire</t>
  </si>
  <si>
    <t xml:space="preserve">ICR </t>
  </si>
  <si>
    <t>UMR 7273</t>
  </si>
  <si>
    <t>201220354B</t>
  </si>
  <si>
    <t>GIGMES</t>
  </si>
  <si>
    <t>Didier</t>
  </si>
  <si>
    <t>Matériaux divisés, interfaces, réactivité, électrochimie</t>
  </si>
  <si>
    <t xml:space="preserve">MADIREL </t>
  </si>
  <si>
    <t>UMR 7246</t>
  </si>
  <si>
    <t>201220355C</t>
  </si>
  <si>
    <t>DENOYEL</t>
  </si>
  <si>
    <t>Renaud</t>
  </si>
  <si>
    <t>Laboratoire de chimie bactérienne</t>
  </si>
  <si>
    <t xml:space="preserve">LCB </t>
  </si>
  <si>
    <t>UMR 7283</t>
  </si>
  <si>
    <t>201220357E</t>
  </si>
  <si>
    <t xml:space="preserve">MIGNOT </t>
  </si>
  <si>
    <t>Tam</t>
  </si>
  <si>
    <t>Laboratoire d'ingénierie des systèmes macromoléculaires</t>
  </si>
  <si>
    <t xml:space="preserve">LISM </t>
  </si>
  <si>
    <t>UMR 7255</t>
  </si>
  <si>
    <t>201220358F</t>
  </si>
  <si>
    <t>STURGIS</t>
  </si>
  <si>
    <t>James</t>
  </si>
  <si>
    <t>laboratoire de droit privé et de sciences criminelles</t>
  </si>
  <si>
    <t xml:space="preserve">LDPSC </t>
  </si>
  <si>
    <t>UR 4690</t>
  </si>
  <si>
    <t>201220364M</t>
  </si>
  <si>
    <t>EGEA</t>
  </si>
  <si>
    <t>Information génomique &amp; structurale</t>
  </si>
  <si>
    <t>IGS</t>
  </si>
  <si>
    <t>UMR 7256</t>
  </si>
  <si>
    <t>201220435P</t>
  </si>
  <si>
    <t xml:space="preserve">ABERGEL </t>
  </si>
  <si>
    <t>Chantal</t>
  </si>
  <si>
    <t>Comportement-cerveau-cognition</t>
  </si>
  <si>
    <t>Fédération 3C</t>
  </si>
  <si>
    <t>FR 3512</t>
  </si>
  <si>
    <t>201220470C</t>
  </si>
  <si>
    <t>SAVE</t>
  </si>
  <si>
    <t>Etienne</t>
  </si>
  <si>
    <t>Fédération Fabri de Peiresc</t>
  </si>
  <si>
    <t>FR 3515</t>
  </si>
  <si>
    <t>201220473F</t>
  </si>
  <si>
    <t>VANDENBERGHE</t>
  </si>
  <si>
    <t>Institut de microbiologie de la méditerranée</t>
  </si>
  <si>
    <t>IMM</t>
  </si>
  <si>
    <t>FR 3479</t>
  </si>
  <si>
    <t>201220484T</t>
  </si>
  <si>
    <t xml:space="preserve">GIUDICI-ORTICONI </t>
  </si>
  <si>
    <t>Marie-Thérèse</t>
  </si>
  <si>
    <t>Observatoire des sciences de l'univers Pytheas</t>
  </si>
  <si>
    <t>OSU PYTHEAS</t>
  </si>
  <si>
    <t>UMS 3470 / UMS_D 240</t>
  </si>
  <si>
    <t>201220900V</t>
  </si>
  <si>
    <t xml:space="preserve">THOUVENY </t>
  </si>
  <si>
    <t>Cultures, représentations, identités, santé et interactions sociales</t>
  </si>
  <si>
    <t>CRISIS</t>
  </si>
  <si>
    <t>FED 4237</t>
  </si>
  <si>
    <t>201220907C</t>
  </si>
  <si>
    <t>LOJKINE</t>
  </si>
  <si>
    <t>Management-sport-cancer</t>
  </si>
  <si>
    <t>MSC</t>
  </si>
  <si>
    <t>UR 4670</t>
  </si>
  <si>
    <t>201223590U</t>
  </si>
  <si>
    <t xml:space="preserve">VIENS </t>
  </si>
  <si>
    <t>Patrice</t>
  </si>
  <si>
    <t>Méditerranean primate research center</t>
  </si>
  <si>
    <t>MPRC</t>
  </si>
  <si>
    <t>UMS 2018</t>
  </si>
  <si>
    <t>201321813H</t>
  </si>
  <si>
    <t>BROCHIER</t>
  </si>
  <si>
    <t>Thomas</t>
  </si>
  <si>
    <t>Institut de mathématiques de Marseille</t>
  </si>
  <si>
    <t xml:space="preserve">I2M </t>
  </si>
  <si>
    <t>UMR 7373</t>
  </si>
  <si>
    <t>201420768T</t>
  </si>
  <si>
    <t xml:space="preserve">HAISSINSKY </t>
  </si>
  <si>
    <t>Peter</t>
  </si>
  <si>
    <t>Openedition center</t>
  </si>
  <si>
    <t>OPENEDITION</t>
  </si>
  <si>
    <t>USR 2004</t>
  </si>
  <si>
    <t>201420921J</t>
  </si>
  <si>
    <t>PELLEN</t>
  </si>
  <si>
    <t>Marie</t>
  </si>
  <si>
    <t>Risques, écosystemes, vulnérabilite, environnement, résilience</t>
  </si>
  <si>
    <t>UMR 1467</t>
  </si>
  <si>
    <t>Institut de biosciences et de biotechnologies d'Aix-Marseille</t>
  </si>
  <si>
    <t>BIAM</t>
  </si>
  <si>
    <t>UMR 7265</t>
  </si>
  <si>
    <t>201622497N</t>
  </si>
  <si>
    <t xml:space="preserve">PIGNOL </t>
  </si>
  <si>
    <t>Perception représentations image son musique</t>
  </si>
  <si>
    <t>PRISM</t>
  </si>
  <si>
    <t>UMR 7061</t>
  </si>
  <si>
    <t>201722348X</t>
  </si>
  <si>
    <t xml:space="preserve">KRONLAND-MARTINET </t>
  </si>
  <si>
    <t>Center for cardiovascular and nutrition research</t>
  </si>
  <si>
    <t>C2VN</t>
  </si>
  <si>
    <t>UMR_S 1263 / UMR_A 1260</t>
  </si>
  <si>
    <t>201822670T</t>
  </si>
  <si>
    <t>ALESSI</t>
  </si>
  <si>
    <t>Marie-Christine</t>
  </si>
  <si>
    <t>Vecteurs – infections tropicales et méditerranéennes</t>
  </si>
  <si>
    <t>VITROME</t>
  </si>
  <si>
    <t>UMR 7278</t>
  </si>
  <si>
    <t>201822675Y</t>
  </si>
  <si>
    <t>PAROLA</t>
  </si>
  <si>
    <t>Laboratoire d'informatique et systèmes</t>
  </si>
  <si>
    <t>LIS</t>
  </si>
  <si>
    <t>UMR 7020</t>
  </si>
  <si>
    <t>201822714R</t>
  </si>
  <si>
    <t xml:space="preserve">BECHET </t>
  </si>
  <si>
    <t>Microbes évolution phylogénie et infections (microbiote et infections transmissibles emergentes)</t>
  </si>
  <si>
    <t>MEPHI</t>
  </si>
  <si>
    <t>UMR</t>
  </si>
  <si>
    <t>201822835X</t>
  </si>
  <si>
    <t xml:space="preserve">LAGIER </t>
  </si>
  <si>
    <t>Jean-Christophe</t>
  </si>
  <si>
    <t>Centre européen de recherche en imagerie médicale</t>
  </si>
  <si>
    <t>CERIMED</t>
  </si>
  <si>
    <t>UMS 2012</t>
  </si>
  <si>
    <t>201922950T</t>
  </si>
  <si>
    <t xml:space="preserve">GUILLET </t>
  </si>
  <si>
    <t>Benjamin</t>
  </si>
  <si>
    <t>Centre d'exploration fonctionnelle scientifique</t>
  </si>
  <si>
    <t>CEFOS</t>
  </si>
  <si>
    <t>UMS 2020</t>
  </si>
  <si>
    <t>202123692R</t>
  </si>
  <si>
    <t>LOPEZ</t>
  </si>
  <si>
    <t>Erica</t>
  </si>
  <si>
    <t>Fédération de nanoscience et nanotechnologie</t>
  </si>
  <si>
    <t>nanoAMU</t>
  </si>
  <si>
    <t>FR</t>
  </si>
  <si>
    <t>NORNSR_001</t>
  </si>
  <si>
    <t>HANBUCKEN</t>
  </si>
  <si>
    <t>Margrit</t>
  </si>
  <si>
    <t>NORNSR_002</t>
  </si>
  <si>
    <t>BERTIN</t>
  </si>
  <si>
    <t>Denis</t>
  </si>
  <si>
    <t>Sport-sante (nom à déterminer)</t>
  </si>
  <si>
    <t>Laboratoire de mathématiques d'Avignon</t>
  </si>
  <si>
    <t>LMA</t>
  </si>
  <si>
    <t>EA 2151</t>
  </si>
  <si>
    <t>199613757A</t>
  </si>
  <si>
    <t>LACAUX</t>
  </si>
  <si>
    <t>Céline</t>
  </si>
  <si>
    <t>Laboratoire biens, normes et contrats</t>
  </si>
  <si>
    <t>LBNC</t>
  </si>
  <si>
    <t>EA 3788</t>
  </si>
  <si>
    <t>200415049V</t>
  </si>
  <si>
    <t>NETTER</t>
  </si>
  <si>
    <t>Emmanuel</t>
  </si>
  <si>
    <t>Laboratoire de informatique d'avignon</t>
  </si>
  <si>
    <t>LIA</t>
  </si>
  <si>
    <t>EA 4128</t>
  </si>
  <si>
    <t>200615372M</t>
  </si>
  <si>
    <t>ESTEVE</t>
  </si>
  <si>
    <t>Yannick</t>
  </si>
  <si>
    <t>Laboratoire identité culturelle, textes et théatrâlités</t>
  </si>
  <si>
    <t>ICTT</t>
  </si>
  <si>
    <t>EA 4277</t>
  </si>
  <si>
    <t>200815514H</t>
  </si>
  <si>
    <t>GONZALEZ</t>
  </si>
  <si>
    <t>Madelena</t>
  </si>
  <si>
    <t>Laboratoire de pharm-ecologie cardiovasculaire</t>
  </si>
  <si>
    <t>LAPEC</t>
  </si>
  <si>
    <t>EA 4278</t>
  </si>
  <si>
    <t>200815515J</t>
  </si>
  <si>
    <t>VINET-JULLIAN</t>
  </si>
  <si>
    <t>Agnes</t>
  </si>
  <si>
    <t>TERSYS</t>
  </si>
  <si>
    <t>SFR 4241</t>
  </si>
  <si>
    <t>201320914F</t>
  </si>
  <si>
    <t>REBOUL</t>
  </si>
  <si>
    <t>Cyril</t>
  </si>
  <si>
    <t>Agorantic cultures, patrimoines et societes numériques</t>
  </si>
  <si>
    <t>Agorantic</t>
  </si>
  <si>
    <t>FR 3621</t>
  </si>
  <si>
    <t>201420876K</t>
  </si>
  <si>
    <t>ELAZOUZI/TRIQUET</t>
  </si>
  <si>
    <t>Rachid/Eric</t>
  </si>
  <si>
    <t>Laboratoire culture et communication</t>
  </si>
  <si>
    <t>LCC</t>
  </si>
  <si>
    <t>EA 7542</t>
  </si>
  <si>
    <t>201923109R</t>
  </si>
  <si>
    <t>SPIES</t>
  </si>
  <si>
    <t>Virginie</t>
  </si>
  <si>
    <t>LEAD</t>
  </si>
  <si>
    <t>CHARRONNAT-POULIN</t>
  </si>
  <si>
    <t>Institut de mathématiques de Bourgogne</t>
  </si>
  <si>
    <t>IMB</t>
  </si>
  <si>
    <t>UMR 5584</t>
  </si>
  <si>
    <t>199512020S</t>
  </si>
  <si>
    <t>JOURANI</t>
  </si>
  <si>
    <t>ABDERRAHIM</t>
  </si>
  <si>
    <t>Département de recherche en ingénierie des véhicules pour l'environnement</t>
  </si>
  <si>
    <t>DRIVE</t>
  </si>
  <si>
    <t>EA 1859 dont ERC IFSTTAR</t>
  </si>
  <si>
    <t>199513612X</t>
  </si>
  <si>
    <t>Lipides, nutrition, cancer</t>
  </si>
  <si>
    <t>LNC</t>
  </si>
  <si>
    <t>UMR 1231;UMR 866</t>
  </si>
  <si>
    <t>200716508T</t>
  </si>
  <si>
    <t>GHIRINGHELLI</t>
  </si>
  <si>
    <t>Centre des sciences du goût et de l'alimentation</t>
  </si>
  <si>
    <t>CSGA</t>
  </si>
  <si>
    <t>UMR 1324 INRA, 6265 CNRS</t>
  </si>
  <si>
    <t>201019359D</t>
  </si>
  <si>
    <t>Biogéosciences</t>
  </si>
  <si>
    <t>BGS</t>
  </si>
  <si>
    <t>UMR 6282</t>
  </si>
  <si>
    <t>201220400B</t>
  </si>
  <si>
    <t>FARA</t>
  </si>
  <si>
    <t>EMMANUEL</t>
  </si>
  <si>
    <t>Laboratoire interdisciplinaire de recherches "sociétés, sensibilités, soin"</t>
  </si>
  <si>
    <t>LIR3S</t>
  </si>
  <si>
    <t>UMR 7366</t>
  </si>
  <si>
    <t>201220415T</t>
  </si>
  <si>
    <t>CHAMBARLHAC</t>
  </si>
  <si>
    <t>VINCENT</t>
  </si>
  <si>
    <t>Archéologie, terre, histoire, société</t>
  </si>
  <si>
    <t>ArTeHiS</t>
  </si>
  <si>
    <t>UMR 6298</t>
  </si>
  <si>
    <t>201220438T</t>
  </si>
  <si>
    <t>LEFEBVRE</t>
  </si>
  <si>
    <t>SABINE</t>
  </si>
  <si>
    <t>Institut de chimie moléculaire de l'universite de Bourgogne</t>
  </si>
  <si>
    <t>ICMUB</t>
  </si>
  <si>
    <t>UMR 6202</t>
  </si>
  <si>
    <t>201220439U</t>
  </si>
  <si>
    <t>DENAT</t>
  </si>
  <si>
    <t>FRANCK</t>
  </si>
  <si>
    <t>Laboratoire interdisciplinaire Carnot de Bourgogne</t>
  </si>
  <si>
    <t>ICB</t>
  </si>
  <si>
    <t>UMR 6303</t>
  </si>
  <si>
    <t>201220440V</t>
  </si>
  <si>
    <t>Laboratoire electronique, informatique et image</t>
  </si>
  <si>
    <t>LE2I</t>
  </si>
  <si>
    <t>UMR 6306</t>
  </si>
  <si>
    <t>201220441W</t>
  </si>
  <si>
    <t>GINHAC</t>
  </si>
  <si>
    <t>DOMINIQUE</t>
  </si>
  <si>
    <t>Laboratoire d'immunologie et imunothérapie des cancers</t>
  </si>
  <si>
    <t>LIIC</t>
  </si>
  <si>
    <t>EA 7269</t>
  </si>
  <si>
    <t>201221515N</t>
  </si>
  <si>
    <t>BETTAÏEB</t>
  </si>
  <si>
    <t>ALI</t>
  </si>
  <si>
    <t>Biochimie du péroxysome, inflammation et métabolisme lipidique</t>
  </si>
  <si>
    <t>Bio-PeroxIL</t>
  </si>
  <si>
    <t>EA 7270</t>
  </si>
  <si>
    <t>201221516P</t>
  </si>
  <si>
    <t>LIZARD</t>
  </si>
  <si>
    <t>GÉRARD</t>
  </si>
  <si>
    <t>Maison des sciences de l'homme de Dijon</t>
  </si>
  <si>
    <t>MSH Dijon</t>
  </si>
  <si>
    <t>UAR 3516</t>
  </si>
  <si>
    <t>201221517R</t>
  </si>
  <si>
    <t>Physiopathologie et epidémiologie cérébro-cardiovasculaire</t>
  </si>
  <si>
    <t>PEC2</t>
  </si>
  <si>
    <t>EA 7460</t>
  </si>
  <si>
    <t>201722761W</t>
  </si>
  <si>
    <t>VANDRIESSE-VERGELY</t>
  </si>
  <si>
    <t>CATHERINE</t>
  </si>
  <si>
    <t>Centre innovation et droit</t>
  </si>
  <si>
    <t>CID</t>
  </si>
  <si>
    <t>EA 7531</t>
  </si>
  <si>
    <t>201922938E</t>
  </si>
  <si>
    <t>GRAYOT DIRX</t>
  </si>
  <si>
    <t>STEPHANIE</t>
  </si>
  <si>
    <t>Imagerie et vision artificielle</t>
  </si>
  <si>
    <t>IMVIA</t>
  </si>
  <si>
    <t>E5 7535</t>
  </si>
  <si>
    <t>201922941H</t>
  </si>
  <si>
    <t>MARZANI</t>
  </si>
  <si>
    <t>Laboratoire d'informatique de Bourgogne</t>
  </si>
  <si>
    <t>LIB</t>
  </si>
  <si>
    <t>EA 7534</t>
  </si>
  <si>
    <t>201922942J</t>
  </si>
  <si>
    <t>TOGNI</t>
  </si>
  <si>
    <t>OLIVIER</t>
  </si>
  <si>
    <t>Sport, management, gouvernance, performance</t>
  </si>
  <si>
    <t xml:space="preserve">SMGP </t>
  </si>
  <si>
    <t>NORNSR_004</t>
  </si>
  <si>
    <t>PAPAXANTHIS</t>
  </si>
  <si>
    <t>CHARALAMBOS</t>
  </si>
  <si>
    <t>Communication, médiations ; organisations, savoirs</t>
  </si>
  <si>
    <t>CIMEOS</t>
  </si>
  <si>
    <t>EA 4177</t>
  </si>
  <si>
    <t>200715417G</t>
  </si>
  <si>
    <t>Centre pluridisciplinaire textes et cultures</t>
  </si>
  <si>
    <t>CPTC</t>
  </si>
  <si>
    <t>EA 4178</t>
  </si>
  <si>
    <t>200715418H</t>
  </si>
  <si>
    <t>Centre de recherche et d'etude en droit et science politique</t>
  </si>
  <si>
    <t>CREDESPO</t>
  </si>
  <si>
    <t>EA 4179</t>
  </si>
  <si>
    <t>200715419J</t>
  </si>
  <si>
    <t>CHARLOT</t>
  </si>
  <si>
    <t xml:space="preserve">PATRICK </t>
  </si>
  <si>
    <t>Centre interlangues : texte, image, langage</t>
  </si>
  <si>
    <t xml:space="preserve">TIL </t>
  </si>
  <si>
    <t>EA 4182</t>
  </si>
  <si>
    <t>200715422M</t>
  </si>
  <si>
    <t>Cognition, action et plasticité sensorimotrice</t>
  </si>
  <si>
    <t>CAPS</t>
  </si>
  <si>
    <t>UMR S 1093</t>
  </si>
  <si>
    <t>201220171C</t>
  </si>
  <si>
    <t>Institut de recherche en économie de l'éducation</t>
  </si>
  <si>
    <t>IREDU</t>
  </si>
  <si>
    <t>EA 7318</t>
  </si>
  <si>
    <t>201220411N</t>
  </si>
  <si>
    <t>GIRET</t>
  </si>
  <si>
    <t>JEAN-FRANÇOIS</t>
  </si>
  <si>
    <t>Centre de recherche en gestion des organisations</t>
  </si>
  <si>
    <t>CREGO</t>
  </si>
  <si>
    <t>EA 7317</t>
  </si>
  <si>
    <t>201320912D</t>
  </si>
  <si>
    <t>Laboratoire d'économie de Dijon</t>
  </si>
  <si>
    <t>LEDi</t>
  </si>
  <si>
    <t>EA 7467</t>
  </si>
  <si>
    <t>201522593X</t>
  </si>
  <si>
    <t>GUILLAIN</t>
  </si>
  <si>
    <t>RACHEL</t>
  </si>
  <si>
    <t>Laboratoire de psychologie : dynamiques relationnelles et processus identitaires</t>
  </si>
  <si>
    <t>PSY-DREPI</t>
  </si>
  <si>
    <t>EA 7458</t>
  </si>
  <si>
    <t>201722601X</t>
  </si>
  <si>
    <t>SALES-WUILLEMIN</t>
  </si>
  <si>
    <t>EDITH</t>
  </si>
  <si>
    <t>Centre de recherche sur le droit international des marchés et des investissements</t>
  </si>
  <si>
    <t>CREDIMI</t>
  </si>
  <si>
    <t>EA 7532</t>
  </si>
  <si>
    <t>201922939F</t>
  </si>
  <si>
    <t>FORTIER</t>
  </si>
  <si>
    <t>CLOTHILDE</t>
  </si>
  <si>
    <t>Sciences pour l'environnement</t>
  </si>
  <si>
    <t>SPE</t>
  </si>
  <si>
    <t>UMR 6134</t>
  </si>
  <si>
    <t>200012203U</t>
  </si>
  <si>
    <t>SANTONI</t>
  </si>
  <si>
    <t>Paul-Antoine</t>
  </si>
  <si>
    <t>Lieux, identités, espaces, activités</t>
  </si>
  <si>
    <t>LISA</t>
  </si>
  <si>
    <t>UMR 6240</t>
  </si>
  <si>
    <t>200812281U</t>
  </si>
  <si>
    <t>GHERARDI</t>
  </si>
  <si>
    <t>Eugène</t>
  </si>
  <si>
    <t>Bioscope Corse méditerranée : dynamique des infections en milieu insulaire</t>
  </si>
  <si>
    <t>BIOSCOPE</t>
  </si>
  <si>
    <t>EA 7310</t>
  </si>
  <si>
    <t>201320595J</t>
  </si>
  <si>
    <t>FALCHI</t>
  </si>
  <si>
    <t>Alessandra</t>
  </si>
  <si>
    <t>Équipe méditerranéenne de recherche juridique</t>
  </si>
  <si>
    <t>EMRJ</t>
  </si>
  <si>
    <t>EA 7311</t>
  </si>
  <si>
    <t>201320597L</t>
  </si>
  <si>
    <t>GIUDICELLI</t>
  </si>
  <si>
    <t>André</t>
  </si>
  <si>
    <t>Laboratoire de recherche en nanosciences</t>
  </si>
  <si>
    <t>ICD</t>
  </si>
  <si>
    <t>UMR 6281</t>
  </si>
  <si>
    <t>201220208T</t>
  </si>
  <si>
    <t>ROYER</t>
  </si>
  <si>
    <t xml:space="preserve">Lumière, nanomatériaux et nanotechnologies </t>
  </si>
  <si>
    <t>L2n</t>
  </si>
  <si>
    <t>ERL 7004
UT UTT003</t>
  </si>
  <si>
    <t>202023509W</t>
  </si>
  <si>
    <t>COUTEAU</t>
  </si>
  <si>
    <t xml:space="preserve">Laboratoire informatique et société numérique </t>
  </si>
  <si>
    <t>LIST3N</t>
  </si>
  <si>
    <t>UTT005</t>
  </si>
  <si>
    <t>202123654Z</t>
  </si>
  <si>
    <t>AMODEO</t>
  </si>
  <si>
    <t>GAMMA3</t>
  </si>
  <si>
    <t>UTT002</t>
  </si>
  <si>
    <t>202123742V</t>
  </si>
  <si>
    <t>BOROUCHAKI</t>
  </si>
  <si>
    <t>Houman</t>
  </si>
  <si>
    <t xml:space="preserve">Laboratoire des systèmes mécaniques et d’ingénierie simultanée </t>
  </si>
  <si>
    <t>LASMIS</t>
  </si>
  <si>
    <t>UTT004</t>
  </si>
  <si>
    <t>202123743W</t>
  </si>
  <si>
    <t>LABERGERE</t>
  </si>
  <si>
    <t>Carl</t>
  </si>
  <si>
    <t>Unité de recherche interdisciplinaire sur les interactions société-technologie-environnement</t>
  </si>
  <si>
    <t>INSYTE</t>
  </si>
  <si>
    <t>UTT006</t>
  </si>
  <si>
    <t>202123744X</t>
  </si>
  <si>
    <t>CHATELET</t>
  </si>
  <si>
    <t>Éric</t>
  </si>
  <si>
    <t>Fuel cell lab : vers des systèmes pile à combustible efficients</t>
  </si>
  <si>
    <t>FCLAB</t>
  </si>
  <si>
    <t>UAR2200</t>
  </si>
  <si>
    <t>201220486V</t>
  </si>
  <si>
    <t>PERA</t>
  </si>
  <si>
    <t>Institut de recherche sur les transports, l'energie et la société</t>
  </si>
  <si>
    <t>IRTES</t>
  </si>
  <si>
    <t>EA7274</t>
  </si>
  <si>
    <t>201221518S</t>
  </si>
  <si>
    <t>CHAUVEAU</t>
  </si>
  <si>
    <t>SOPHIE</t>
  </si>
  <si>
    <t>Connaissance et inteligence artificielle distribuées</t>
  </si>
  <si>
    <t>CIAD</t>
  </si>
  <si>
    <t>EA7533</t>
  </si>
  <si>
    <t>201922940G</t>
  </si>
  <si>
    <t>NICOLLE</t>
  </si>
  <si>
    <t>Nom de l'équipe</t>
  </si>
  <si>
    <t>École(s) doctorale(s) de rattachement de l'équipe</t>
  </si>
  <si>
    <t>Code postal de l'équipe  si unité multi-site</t>
  </si>
  <si>
    <t>Nombre de sites</t>
  </si>
  <si>
    <t>Centre de la méditerranée moderne et contemporaine</t>
  </si>
  <si>
    <t>CMMC</t>
  </si>
  <si>
    <t>UPR 1193</t>
  </si>
  <si>
    <t>199213380H</t>
  </si>
  <si>
    <t>PELLEGRINETTI</t>
  </si>
  <si>
    <t>Équipe de recherche sur les mutations de l'europe et de ses societés</t>
  </si>
  <si>
    <t>ERMES</t>
  </si>
  <si>
    <t>UPR 1198</t>
  </si>
  <si>
    <t>199213382K</t>
  </si>
  <si>
    <t>RUMPALA</t>
  </si>
  <si>
    <t>Centre d'études et de recherche en droit privé</t>
  </si>
  <si>
    <t>CERDP</t>
  </si>
  <si>
    <t>UPR 1201</t>
  </si>
  <si>
    <t>199213383L</t>
  </si>
  <si>
    <t>LERAY</t>
  </si>
  <si>
    <t>Grégoire</t>
  </si>
  <si>
    <t>LIRCES</t>
  </si>
  <si>
    <t>UPR 3159</t>
  </si>
  <si>
    <t>200014458V</t>
  </si>
  <si>
    <t>BERTINI</t>
  </si>
  <si>
    <t xml:space="preserve">Marie-Joseph </t>
  </si>
  <si>
    <t>Centre de recherche sur l'hetero-epitaxie et ses applications</t>
  </si>
  <si>
    <t>CRHEA</t>
  </si>
  <si>
    <t>UPR 10</t>
  </si>
  <si>
    <t>200017509L</t>
  </si>
  <si>
    <t>BOUCAUD</t>
  </si>
  <si>
    <t>Maison des sciences de l'homme et de la société Sud-Est</t>
  </si>
  <si>
    <t>MSHS</t>
  </si>
  <si>
    <t>USR 3566</t>
  </si>
  <si>
    <t>200410829H</t>
  </si>
  <si>
    <t>CHARLIER</t>
  </si>
  <si>
    <t xml:space="preserve">Laboratoire des sciences de l’information et de la communication </t>
  </si>
  <si>
    <t xml:space="preserve">SICLaB </t>
  </si>
  <si>
    <t>UPR 3820</t>
  </si>
  <si>
    <t>200415080D</t>
  </si>
  <si>
    <t xml:space="preserve">PÉLISSIER </t>
  </si>
  <si>
    <t>Ecology and conservation science for sustainable seas</t>
  </si>
  <si>
    <t>ECOSEAS</t>
  </si>
  <si>
    <t>UMR 7035</t>
  </si>
  <si>
    <t>200815465E</t>
  </si>
  <si>
    <t>SABOURAULT</t>
  </si>
  <si>
    <t>Centre de recherche en histoire des idées</t>
  </si>
  <si>
    <t>CRHI</t>
  </si>
  <si>
    <t>UPR 4318</t>
  </si>
  <si>
    <t>200815548V</t>
  </si>
  <si>
    <t>JEAN</t>
  </si>
  <si>
    <t>Grégori</t>
  </si>
  <si>
    <t xml:space="preserve">Transporteurs en imagerie et radiotherapie en oncologie-mécanismes biologique des alterations du tissu osseux
</t>
  </si>
  <si>
    <t>TIRO-MATOs</t>
  </si>
  <si>
    <t>UMR_E4320</t>
  </si>
  <si>
    <t>201019676Y</t>
  </si>
  <si>
    <t>POURCHER</t>
  </si>
  <si>
    <t>Centre méditerranéen de medecine moléculaire</t>
  </si>
  <si>
    <t>C3M</t>
  </si>
  <si>
    <t>UMR S 1065</t>
  </si>
  <si>
    <t>201220149D</t>
  </si>
  <si>
    <t>AUBERGER</t>
  </si>
  <si>
    <t>Patrick</t>
  </si>
  <si>
    <t>Institut de biologie de Valrose</t>
  </si>
  <si>
    <t>IBV</t>
  </si>
  <si>
    <t>UMR 7277</t>
  </si>
  <si>
    <t>201220170B</t>
  </si>
  <si>
    <t>NOSELLI</t>
  </si>
  <si>
    <t>Étude des structures, des processus d'adaptation et des changements de l'espace</t>
  </si>
  <si>
    <t xml:space="preserve">ESPACE </t>
  </si>
  <si>
    <t>UMR 7300</t>
  </si>
  <si>
    <t>201220240C</t>
  </si>
  <si>
    <t xml:space="preserve">JOSSELIN </t>
  </si>
  <si>
    <t>Groupe de recherches en management</t>
  </si>
  <si>
    <t>GRM</t>
  </si>
  <si>
    <t>UPR 4711</t>
  </si>
  <si>
    <t>201220245H</t>
  </si>
  <si>
    <t xml:space="preserve"> MAYRHOFER</t>
  </si>
  <si>
    <t>Ulrike</t>
  </si>
  <si>
    <t xml:space="preserve">Institut de chimie de Nice </t>
  </si>
  <si>
    <t>ICN</t>
  </si>
  <si>
    <t>UMR 7272</t>
  </si>
  <si>
    <t>201220250N</t>
  </si>
  <si>
    <t xml:space="preserve">MEIERHENRICH </t>
  </si>
  <si>
    <t>Uwe</t>
  </si>
  <si>
    <t>Centre transdisciplinaire d'épistémologie de la littérature et des arts vivants</t>
  </si>
  <si>
    <t>CTEL</t>
  </si>
  <si>
    <t>UPR 6307</t>
  </si>
  <si>
    <t>201220285B</t>
  </si>
  <si>
    <t>BONHOMME</t>
  </si>
  <si>
    <t>Béatrice</t>
  </si>
  <si>
    <t>Bases,corpus et langage</t>
  </si>
  <si>
    <t>BCL</t>
  </si>
  <si>
    <t>UMR 7320</t>
  </si>
  <si>
    <t>201220287D</t>
  </si>
  <si>
    <t>MEUNIER</t>
  </si>
  <si>
    <t>Fany</t>
  </si>
  <si>
    <t>Cultures et environnements : Préhistoire, Antiquité, Moyen-Age</t>
  </si>
  <si>
    <t>CEPAM</t>
  </si>
  <si>
    <t>UMR 7264</t>
  </si>
  <si>
    <t>201220314H</t>
  </si>
  <si>
    <t>THERY</t>
  </si>
  <si>
    <t>Laboratoire motricité humaine, expertise, sport, santé</t>
  </si>
  <si>
    <t>LAMHESS</t>
  </si>
  <si>
    <t>UPR 6312</t>
  </si>
  <si>
    <t>201220315J</t>
  </si>
  <si>
    <t>ZORY</t>
  </si>
  <si>
    <t>Raphaël</t>
  </si>
  <si>
    <t>Institut de pharmacologie moleculaire et cellulaire</t>
  </si>
  <si>
    <t>IPMC</t>
  </si>
  <si>
    <t>UMR 7275</t>
  </si>
  <si>
    <t>201220332C</t>
  </si>
  <si>
    <t>NAHON</t>
  </si>
  <si>
    <t>Jean-Louis</t>
  </si>
  <si>
    <t>Groupe de recherche en droit, économie et gestion</t>
  </si>
  <si>
    <t>GREDEG</t>
  </si>
  <si>
    <t>UMR 7321 / USC_A 1365</t>
  </si>
  <si>
    <t>201220333D</t>
  </si>
  <si>
    <t>ALLEGRET</t>
  </si>
  <si>
    <t>Laboratoire de physio-médecine moléculaire</t>
  </si>
  <si>
    <t>LP2M</t>
  </si>
  <si>
    <t>UMR 7370</t>
  </si>
  <si>
    <t>201220337H</t>
  </si>
  <si>
    <t xml:space="preserve">COUNILLON </t>
  </si>
  <si>
    <t xml:space="preserve">Laboratoire d'anthropologie et de psychologie, cliniques, cognitives et sociales </t>
  </si>
  <si>
    <t>LAPCOS</t>
  </si>
  <si>
    <t>UPR 3278</t>
  </si>
  <si>
    <t>201220397Y</t>
  </si>
  <si>
    <t xml:space="preserve">STEINER </t>
  </si>
  <si>
    <t>Dirk</t>
  </si>
  <si>
    <t>Centre d'étude et de recherche sur le droit administratif, constitutionnel, fiscal et financier</t>
  </si>
  <si>
    <t>CERDACFF</t>
  </si>
  <si>
    <t>UPR 7267</t>
  </si>
  <si>
    <t>201220402D</t>
  </si>
  <si>
    <t>VALLAR</t>
  </si>
  <si>
    <t>Cognition behaviour technology</t>
  </si>
  <si>
    <t>CoBTeK</t>
  </si>
  <si>
    <t>UPR 7276</t>
  </si>
  <si>
    <t>201220412P</t>
  </si>
  <si>
    <t>ROBERT</t>
  </si>
  <si>
    <t>Institute for research on cancer and ageing of Nice</t>
  </si>
  <si>
    <t>IRCAN</t>
  </si>
  <si>
    <t>UMR 7284</t>
  </si>
  <si>
    <t>201220417V</t>
  </si>
  <si>
    <t>GILSON</t>
  </si>
  <si>
    <t>Laboratoire Jean-Alexandre Dieudonne</t>
  </si>
  <si>
    <t>LJAD</t>
  </si>
  <si>
    <t>UMR 7351</t>
  </si>
  <si>
    <t>201220430J</t>
  </si>
  <si>
    <t>D'ANGELO</t>
  </si>
  <si>
    <t>Laboratoire d'informatique signaux et systemes de Sophia-Antipolis</t>
  </si>
  <si>
    <t>I3S</t>
  </si>
  <si>
    <t>UMR 7271</t>
  </si>
  <si>
    <t>201220432L</t>
  </si>
  <si>
    <t>MESTE</t>
  </si>
  <si>
    <t>Laboratoire d'electronique, antennes et télécommunications</t>
  </si>
  <si>
    <t>LEAT</t>
  </si>
  <si>
    <t>UMR 7248</t>
  </si>
  <si>
    <t>201220433M</t>
  </si>
  <si>
    <t>STARAJ</t>
  </si>
  <si>
    <t>Robert</t>
  </si>
  <si>
    <t>Polytech'lab</t>
  </si>
  <si>
    <t>POLYTECH'LAB</t>
  </si>
  <si>
    <t>UPR 7498</t>
  </si>
  <si>
    <t>201320649T</t>
  </si>
  <si>
    <t>JACQUEMOD</t>
  </si>
  <si>
    <t>Gilles</t>
  </si>
  <si>
    <t>Microbiologie orale, immunothérapie et santé</t>
  </si>
  <si>
    <t>MICORALIS</t>
  </si>
  <si>
    <t>UPR 7354</t>
  </si>
  <si>
    <t>201521255T</t>
  </si>
  <si>
    <t>DOGLIO</t>
  </si>
  <si>
    <t>Laboratoire de droit international et européen</t>
  </si>
  <si>
    <t>LADIE</t>
  </si>
  <si>
    <t>UPR 7414</t>
  </si>
  <si>
    <t>201621965K</t>
  </si>
  <si>
    <t>MILLET-DEVALLE</t>
  </si>
  <si>
    <t>Transitions numérique médias savoir territoires</t>
  </si>
  <si>
    <t>TRANSITIONS</t>
  </si>
  <si>
    <t>URE</t>
  </si>
  <si>
    <t>201622213E</t>
  </si>
  <si>
    <t xml:space="preserve"> ARASZKIEWIEZ</t>
  </si>
  <si>
    <t xml:space="preserve">Jacques </t>
  </si>
  <si>
    <t>Laboratoire d'innovation et numérique par l'éducation</t>
  </si>
  <si>
    <t>LINE</t>
  </si>
  <si>
    <t>201622216H</t>
  </si>
  <si>
    <t>CHIARUTTINI</t>
  </si>
  <si>
    <t xml:space="preserve">Institut de physique de Nice </t>
  </si>
  <si>
    <t xml:space="preserve">INPHYNI </t>
  </si>
  <si>
    <t>UMR 7010</t>
  </si>
  <si>
    <t>201722398B</t>
  </si>
  <si>
    <t>HUYET</t>
  </si>
  <si>
    <t xml:space="preserve">Unité de pharmacogénétique et radiogénétique des cancers </t>
  </si>
  <si>
    <t xml:space="preserve">UPRC </t>
  </si>
  <si>
    <t>UPR 7497</t>
  </si>
  <si>
    <t>201822719W</t>
  </si>
  <si>
    <t>Risques, épidemiologie, territoires, informations, éducation et santé</t>
  </si>
  <si>
    <t>RETINES</t>
  </si>
  <si>
    <t>201923615R</t>
  </si>
  <si>
    <t>STACCINI</t>
  </si>
  <si>
    <t>Unité de recherche clinique Cote d'Azur</t>
  </si>
  <si>
    <t>UR2CA</t>
  </si>
  <si>
    <t>UPRCA01</t>
  </si>
  <si>
    <t>202023552T</t>
  </si>
  <si>
    <t>Laboratoire interdisciplinaire récits cultures et sociétés</t>
  </si>
  <si>
    <t>Laboratoire de mathématiques de Besançon</t>
  </si>
  <si>
    <t>LMB</t>
  </si>
  <si>
    <t>UMR 6623</t>
  </si>
  <si>
    <t>197712394B</t>
  </si>
  <si>
    <t>DELAUNAY</t>
  </si>
  <si>
    <t>CHRISTOPHE</t>
  </si>
  <si>
    <t>Laboratoire de neurosciences intégratives et cliniques</t>
  </si>
  <si>
    <t>LICN</t>
  </si>
  <si>
    <t>ex EA devenue UR 481</t>
  </si>
  <si>
    <t>199113115Z</t>
  </si>
  <si>
    <t>HAFFEN</t>
  </si>
  <si>
    <t>Centre de recherches interdisciplinaires et transculturelles</t>
  </si>
  <si>
    <t>CRIT</t>
  </si>
  <si>
    <t xml:space="preserve">ex EA devenue UR  3224 </t>
  </si>
  <si>
    <t>199114522D</t>
  </si>
  <si>
    <t>DAHAN-GAIDA</t>
  </si>
  <si>
    <t>LAURENCE</t>
  </si>
  <si>
    <t>Centre de recherches juridiques de l'université de Franche-Comté</t>
  </si>
  <si>
    <t>CRJFC</t>
  </si>
  <si>
    <t>ex EA devenue UR  3225</t>
  </si>
  <si>
    <t>199114523E</t>
  </si>
  <si>
    <t>LAPEROU</t>
  </si>
  <si>
    <t>BEATRICE</t>
  </si>
  <si>
    <t>Laboratoire des sciences historiques - Centre Lucien Febvre</t>
  </si>
  <si>
    <t>CLF</t>
  </si>
  <si>
    <t>ex EA devenue UR 2273</t>
  </si>
  <si>
    <t>199613833H</t>
  </si>
  <si>
    <t>DIETSCHY</t>
  </si>
  <si>
    <t>PAUL</t>
  </si>
  <si>
    <t>Logiques de l'agir</t>
  </si>
  <si>
    <t>LdA</t>
  </si>
  <si>
    <t>ex EA devenue UR  2274</t>
  </si>
  <si>
    <t>199613834J</t>
  </si>
  <si>
    <t>MACE</t>
  </si>
  <si>
    <t>ARNAUD</t>
  </si>
  <si>
    <t>Théoriser et modéliser pour aménager</t>
  </si>
  <si>
    <t>ThéMA</t>
  </si>
  <si>
    <t>UMR 6049</t>
  </si>
  <si>
    <t>200012140A</t>
  </si>
  <si>
    <t>FOLTETE</t>
  </si>
  <si>
    <t>JEAN-CHRISTOPHE</t>
  </si>
  <si>
    <t>Carcinogenèse épithéliale : facteurs prédictifs et pronostiques</t>
  </si>
  <si>
    <t>CEPP</t>
  </si>
  <si>
    <t>ex EA devenue UR 3181</t>
  </si>
  <si>
    <t>200014480U</t>
  </si>
  <si>
    <t>PRETET</t>
  </si>
  <si>
    <t>JEAN-LUC</t>
  </si>
  <si>
    <t>Labratoire de psychologie</t>
  </si>
  <si>
    <t xml:space="preserve">PSYCHO </t>
  </si>
  <si>
    <t>ex EA devenue UR 3188</t>
  </si>
  <si>
    <t>200014487B</t>
  </si>
  <si>
    <t>LHEUREUX</t>
  </si>
  <si>
    <t>FLORENT</t>
  </si>
  <si>
    <t>Laboratoire de sociologie et d'anthropologie</t>
  </si>
  <si>
    <t>LASA-UFC</t>
  </si>
  <si>
    <t>ex EA devenue UR 3189</t>
  </si>
  <si>
    <t>200014488C</t>
  </si>
  <si>
    <t>VINEL</t>
  </si>
  <si>
    <t>VIRGINIE</t>
  </si>
  <si>
    <t>Centre de recherche sur les stratégies économiques</t>
  </si>
  <si>
    <t>CRESE</t>
  </si>
  <si>
    <t>ex EA devenue UR 3190</t>
  </si>
  <si>
    <t>200014489D</t>
  </si>
  <si>
    <t>BEAL</t>
  </si>
  <si>
    <t>SYLVAIN</t>
  </si>
  <si>
    <t>Institut Franche-Comté électronique mécanique thermique optique - sciences et technologies</t>
  </si>
  <si>
    <t>Institut FEMTO-ST</t>
  </si>
  <si>
    <t>UMR 6174</t>
  </si>
  <si>
    <t>200412232H</t>
  </si>
  <si>
    <t>LARGER</t>
  </si>
  <si>
    <t>LAURENT</t>
  </si>
  <si>
    <t>Marqueurs pronostiques et facteurs de régulation des pathologies cardiaques et vasculaires</t>
  </si>
  <si>
    <t>MPFRPV</t>
  </si>
  <si>
    <t>ex EA devenue UR 3920</t>
  </si>
  <si>
    <t>200415179L</t>
  </si>
  <si>
    <t>DAVANI</t>
  </si>
  <si>
    <t>SIAMAK</t>
  </si>
  <si>
    <t>Institut des sciences et techniques de l'antiquité</t>
  </si>
  <si>
    <t>ISTA</t>
  </si>
  <si>
    <t>ex EA devenue UR  4011</t>
  </si>
  <si>
    <t>200515266B</t>
  </si>
  <si>
    <t>GONZALES</t>
  </si>
  <si>
    <t>ANTONIO</t>
  </si>
  <si>
    <t>Institut univers, temps-fréquence, interfaces, nanostructures, atmosphère et environnement, molécules</t>
  </si>
  <si>
    <t>UTINAM</t>
  </si>
  <si>
    <t>UMR 6213</t>
  </si>
  <si>
    <t>200712259Z</t>
  </si>
  <si>
    <t>PICAUD</t>
  </si>
  <si>
    <t>Maison des sciences de l'homme et de l'environnement Claude Nicolas Ledoux</t>
  </si>
  <si>
    <t>MSHE LEDOUX</t>
  </si>
  <si>
    <t>UAR 3124</t>
  </si>
  <si>
    <t>200810879V</t>
  </si>
  <si>
    <t>BARRAL</t>
  </si>
  <si>
    <t>PHILIPPE</t>
  </si>
  <si>
    <t>Chrono-environnement</t>
  </si>
  <si>
    <t>LCE</t>
  </si>
  <si>
    <t>UMR 6249</t>
  </si>
  <si>
    <t>200812285Y</t>
  </si>
  <si>
    <t>BORNETTE</t>
  </si>
  <si>
    <t>GUDRUN</t>
  </si>
  <si>
    <t>Épigénétique des infections virales et des maladies inflammatoires</t>
  </si>
  <si>
    <t>EPILAB</t>
  </si>
  <si>
    <t>ex EA devenue UR 4266</t>
  </si>
  <si>
    <t>200815503W</t>
  </si>
  <si>
    <t>HERBEIN</t>
  </si>
  <si>
    <t>GEORGES</t>
  </si>
  <si>
    <t>Fonctions et dysfonctions épitheliales - pathologies et épithéliums : prévention, innovation, traitements, évaluation</t>
  </si>
  <si>
    <t>PEPITE</t>
  </si>
  <si>
    <t>ex EA devenue UR 4267</t>
  </si>
  <si>
    <t>200815504X</t>
  </si>
  <si>
    <t>DEMOUGEOT</t>
  </si>
  <si>
    <t>CELINE</t>
  </si>
  <si>
    <t>Observatoire des sciences de l’univers terre homme environnement temps astronomie Franche-Comté-Bourgogne</t>
  </si>
  <si>
    <t>OSU THETA</t>
  </si>
  <si>
    <t>UAR 3245</t>
  </si>
  <si>
    <t>201120530X</t>
  </si>
  <si>
    <t>ROUSSELOT</t>
  </si>
  <si>
    <t>Culture, sport, santé, société</t>
  </si>
  <si>
    <t>C3S</t>
  </si>
  <si>
    <t>ex EA devenue UR 4660</t>
  </si>
  <si>
    <t>201220062J</t>
  </si>
  <si>
    <t>VIVIER</t>
  </si>
  <si>
    <t>CHRISTIAN</t>
  </si>
  <si>
    <t>Édition, langages, littératures, informatique, arts, didactique, discours</t>
  </si>
  <si>
    <t>ELLIADD</t>
  </si>
  <si>
    <t>ex EA devenue UR  4661</t>
  </si>
  <si>
    <t>201220083G</t>
  </si>
  <si>
    <t>ROXIN</t>
  </si>
  <si>
    <t>IOAN</t>
  </si>
  <si>
    <t>Laboratoire de nanomédecine, imagerie, thérapeutique.</t>
  </si>
  <si>
    <t>NIT</t>
  </si>
  <si>
    <t>ex EA devenue UR 4662</t>
  </si>
  <si>
    <t>201220085J</t>
  </si>
  <si>
    <t xml:space="preserve">AUBER </t>
  </si>
  <si>
    <t>FREDERIC</t>
  </si>
  <si>
    <t xml:space="preserve">Interaction hôte-greffon-tumeur-ingénierie cellulaire et génique </t>
  </si>
  <si>
    <t>RIGHT</t>
  </si>
  <si>
    <t>UMR_S 1098</t>
  </si>
  <si>
    <t>201220177J</t>
  </si>
  <si>
    <t>SAAS</t>
  </si>
  <si>
    <t xml:space="preserve">Fuel cell lab </t>
  </si>
  <si>
    <t>FC LAB</t>
  </si>
  <si>
    <t>UAR 2200</t>
  </si>
  <si>
    <t>MARIE-CECILE</t>
  </si>
  <si>
    <t>Structure fédérative de recherche en éducation Provence</t>
  </si>
  <si>
    <t>SFERE-Provence</t>
  </si>
  <si>
    <t>FED 4238</t>
  </si>
  <si>
    <t>201220909E</t>
  </si>
  <si>
    <t>BELLIARD</t>
  </si>
  <si>
    <t>JEAN-ROBERT</t>
  </si>
  <si>
    <t>Fédération de recherche en éducation</t>
  </si>
  <si>
    <t>FR-EDUC</t>
  </si>
  <si>
    <t xml:space="preserve"> - </t>
  </si>
  <si>
    <t>201421798M</t>
  </si>
  <si>
    <t>PASCO</t>
  </si>
  <si>
    <t>DENIS</t>
  </si>
  <si>
    <t>Laboratoire gestion des risques et environnement</t>
  </si>
  <si>
    <t>LGRE</t>
  </si>
  <si>
    <t>UR 2334</t>
  </si>
  <si>
    <t>199713885K</t>
  </si>
  <si>
    <t>BRILHAC</t>
  </si>
  <si>
    <t>Jean-François</t>
  </si>
  <si>
    <t>Centre de recherche sur les économies, les sociétés, les arts et les techniques</t>
  </si>
  <si>
    <t>CRESAT</t>
  </si>
  <si>
    <t>UR 3436</t>
  </si>
  <si>
    <t>200114712S</t>
  </si>
  <si>
    <t>BRAUN</t>
  </si>
  <si>
    <t>Guido</t>
  </si>
  <si>
    <t>Laboratoire vigne, biotechnologies et environnement</t>
  </si>
  <si>
    <t>LVBE</t>
  </si>
  <si>
    <t>UR 3991</t>
  </si>
  <si>
    <t>200515247F</t>
  </si>
  <si>
    <t>BERTSCH</t>
  </si>
  <si>
    <t>Centre européen de recherche sur le risque, le droit des accidents collectifs et des catastrophes</t>
  </si>
  <si>
    <t>CERDACC</t>
  </si>
  <si>
    <t>UR 3992</t>
  </si>
  <si>
    <t>200515248G</t>
  </si>
  <si>
    <t>ROLLAND</t>
  </si>
  <si>
    <t>Blandine</t>
  </si>
  <si>
    <t>Laboratoire de physique et mécanique textiles</t>
  </si>
  <si>
    <t>LPMT</t>
  </si>
  <si>
    <t>UR 4365</t>
  </si>
  <si>
    <t>200918489M</t>
  </si>
  <si>
    <t>BUENO</t>
  </si>
  <si>
    <t>Marie-Ange</t>
  </si>
  <si>
    <t>Institut de recherche en langues et littératures européennes</t>
  </si>
  <si>
    <t>ILLE</t>
  </si>
  <si>
    <t>UR 4363</t>
  </si>
  <si>
    <t>200918521X</t>
  </si>
  <si>
    <t>BATTISTON</t>
  </si>
  <si>
    <t>Régine</t>
  </si>
  <si>
    <t>Laboratoire de photochimie et d'ingénierie macromoléculaires</t>
  </si>
  <si>
    <t>LPIM</t>
  </si>
  <si>
    <t>UR 4567</t>
  </si>
  <si>
    <t>201119493V</t>
  </si>
  <si>
    <t>ALLONAS</t>
  </si>
  <si>
    <t>Institut de science des matériaux de Mulhouse</t>
  </si>
  <si>
    <t>IS2M</t>
  </si>
  <si>
    <t>UMR 7361</t>
  </si>
  <si>
    <t>201320577P</t>
  </si>
  <si>
    <t>ROUCOULES</t>
  </si>
  <si>
    <t>Institut de recherche en informatique, mathématiques, automatique et signal</t>
  </si>
  <si>
    <t>IRIMAS</t>
  </si>
  <si>
    <t>UR 7499</t>
  </si>
  <si>
    <t>201822676Z</t>
  </si>
  <si>
    <t>IDOUMGHAR</t>
  </si>
  <si>
    <t>Lhassane</t>
  </si>
  <si>
    <t>Biomolécules et biotechnologies végétales</t>
  </si>
  <si>
    <t>BBV</t>
  </si>
  <si>
    <t>EA 2106</t>
  </si>
  <si>
    <t>199613725R</t>
  </si>
  <si>
    <t>GUIVARC'H</t>
  </si>
  <si>
    <t>Psychologie des âges de la vie et adaptation</t>
  </si>
  <si>
    <t>PAVeA</t>
  </si>
  <si>
    <t>EA 2114</t>
  </si>
  <si>
    <t>199613732Y</t>
  </si>
  <si>
    <t>PENNEQUIN</t>
  </si>
  <si>
    <t>Fédération de recherche en infectiologie</t>
  </si>
  <si>
    <t>FéRI</t>
  </si>
  <si>
    <t>FED 4225</t>
  </si>
  <si>
    <t>200419829R</t>
  </si>
  <si>
    <t>BRAND</t>
  </si>
  <si>
    <t>Denys</t>
  </si>
  <si>
    <t xml:space="preserve">Transplantation immunologie et inflamation </t>
  </si>
  <si>
    <t>T2I</t>
  </si>
  <si>
    <t>EA 4245</t>
  </si>
  <si>
    <t>200815482Y</t>
  </si>
  <si>
    <t>ROGER</t>
  </si>
  <si>
    <t>Morphogénèse et antigénicité du vih et des virus des hépatites</t>
  </si>
  <si>
    <t>MAVIVH</t>
  </si>
  <si>
    <t>U 1259</t>
  </si>
  <si>
    <t>200919266G</t>
  </si>
  <si>
    <t>ROINGEARD</t>
  </si>
  <si>
    <t>Nutrition, croissance et cancer</t>
  </si>
  <si>
    <t>N2C</t>
  </si>
  <si>
    <t>U 1069</t>
  </si>
  <si>
    <t>201220153H</t>
  </si>
  <si>
    <t>VANDIER</t>
  </si>
  <si>
    <t>Centre d'études des pathologies respiratoires</t>
  </si>
  <si>
    <t xml:space="preserve">CEPR </t>
  </si>
  <si>
    <t>U 1100</t>
  </si>
  <si>
    <t>201220178K</t>
  </si>
  <si>
    <t>SI-TAHAR</t>
  </si>
  <si>
    <t>Mustapha</t>
  </si>
  <si>
    <t>Institut de recherche sur la biologie de l'insecte</t>
  </si>
  <si>
    <t>IRBI</t>
  </si>
  <si>
    <t>UMR 7261</t>
  </si>
  <si>
    <t>201220219E</t>
  </si>
  <si>
    <t>GIRON</t>
  </si>
  <si>
    <t>Interactions, transferts, ruptures artistiques et culturels</t>
  </si>
  <si>
    <t>InTRU</t>
  </si>
  <si>
    <t>EA 6301</t>
  </si>
  <si>
    <t>201220222H</t>
  </si>
  <si>
    <t>MORIN</t>
  </si>
  <si>
    <t>Laboratoire de mathématiques et physique théorique</t>
  </si>
  <si>
    <t>LMPT</t>
  </si>
  <si>
    <t>UMR 7350</t>
  </si>
  <si>
    <t>201220229R</t>
  </si>
  <si>
    <t>EL SOUFI (MOLINET)</t>
  </si>
  <si>
    <t>Ahmad (Luc)</t>
  </si>
  <si>
    <t>Imagerie et cerveau</t>
  </si>
  <si>
    <t>IBRAIN</t>
  </si>
  <si>
    <t>U 1253</t>
  </si>
  <si>
    <t>201220230S</t>
  </si>
  <si>
    <t>BELZUNG</t>
  </si>
  <si>
    <t>Centre d'études supérieures de la Renaissance</t>
  </si>
  <si>
    <t>CESR</t>
  </si>
  <si>
    <t>UMR  7323</t>
  </si>
  <si>
    <t>201220231T</t>
  </si>
  <si>
    <t>PIERRE</t>
  </si>
  <si>
    <t>Benoist</t>
  </si>
  <si>
    <t>Interactions culturelles et discursives</t>
  </si>
  <si>
    <t>EA 6297</t>
  </si>
  <si>
    <t>201220232U</t>
  </si>
  <si>
    <t>GAVOILLE</t>
  </si>
  <si>
    <t>Elisabeth</t>
  </si>
  <si>
    <t>Cités, territoires, environnement et sociétés</t>
  </si>
  <si>
    <t>CITERES</t>
  </si>
  <si>
    <t>UMR 7324</t>
  </si>
  <si>
    <t>201220233V</t>
  </si>
  <si>
    <t>SEMMOUD</t>
  </si>
  <si>
    <t>Nora</t>
  </si>
  <si>
    <t>Centre Tourangeau d'histoire et étude des sources</t>
  </si>
  <si>
    <t>CeTHIS</t>
  </si>
  <si>
    <t>EA 6298</t>
  </si>
  <si>
    <t>201220234W</t>
  </si>
  <si>
    <t>LUBTCHANSKY</t>
  </si>
  <si>
    <t>Natacha</t>
  </si>
  <si>
    <t>Nanomédicaments et nanosondes</t>
  </si>
  <si>
    <t>NMNS</t>
  </si>
  <si>
    <t>EA 6295</t>
  </si>
  <si>
    <t>201220237Z</t>
  </si>
  <si>
    <t>CHOURPA</t>
  </si>
  <si>
    <t>Igor</t>
  </si>
  <si>
    <t>Physico-chimie des matériaux et des électrolytes pour l'énergie</t>
  </si>
  <si>
    <t>PCM2E</t>
  </si>
  <si>
    <t>EA 6299</t>
  </si>
  <si>
    <t>201220241D</t>
  </si>
  <si>
    <t>TRAN VAN</t>
  </si>
  <si>
    <t>Matériaux, microélectronique, acoustique, nanotechnologies</t>
  </si>
  <si>
    <t>GREMAN</t>
  </si>
  <si>
    <t>UMR 7347</t>
  </si>
  <si>
    <t>201220242E</t>
  </si>
  <si>
    <t>LAFFEZ</t>
  </si>
  <si>
    <t>Génétique, immunothérapie, chimie et cancer</t>
  </si>
  <si>
    <t>GICC</t>
  </si>
  <si>
    <t>EA 7501 - ERL 7001</t>
  </si>
  <si>
    <t>201220248L</t>
  </si>
  <si>
    <t>THIBAULT</t>
  </si>
  <si>
    <t>Géo-hydrosystèmes continentaux</t>
  </si>
  <si>
    <t>GeHCO</t>
  </si>
  <si>
    <t>EA 6293</t>
  </si>
  <si>
    <t>201220253S</t>
  </si>
  <si>
    <t>GROSBOIS</t>
  </si>
  <si>
    <t>Laboratoire d'informatique fondamentale et appliquée de Tours</t>
  </si>
  <si>
    <t>LIFAT</t>
  </si>
  <si>
    <t>EA 6300 - ERL 7002</t>
  </si>
  <si>
    <t>201220254T</t>
  </si>
  <si>
    <t>CARDOT</t>
  </si>
  <si>
    <t>Hubert</t>
  </si>
  <si>
    <t>Val de Loire recherche en management</t>
  </si>
  <si>
    <t>VALLOREM</t>
  </si>
  <si>
    <t>EA 6296</t>
  </si>
  <si>
    <t>201220256V</t>
  </si>
  <si>
    <t>COUTELLE (RENAULT)</t>
  </si>
  <si>
    <t>Patricia (Sophie)</t>
  </si>
  <si>
    <t>Fédération des études supérieures du Moyen-Age et de la Renaissance</t>
  </si>
  <si>
    <t>FESMAR</t>
  </si>
  <si>
    <t>FED 4281</t>
  </si>
  <si>
    <t>201220464W</t>
  </si>
  <si>
    <t>FERRARA</t>
  </si>
  <si>
    <t>Sabrina</t>
  </si>
  <si>
    <t>Neuroimagerie fonctionnelle</t>
  </si>
  <si>
    <t>FED 4226</t>
  </si>
  <si>
    <t>201220782S</t>
  </si>
  <si>
    <t>TILLET</t>
  </si>
  <si>
    <t>Maison des sciences de l'homme Val-de-Loire</t>
  </si>
  <si>
    <t>MSH</t>
  </si>
  <si>
    <t>USR 3501</t>
  </si>
  <si>
    <t>201320553N</t>
  </si>
  <si>
    <t>RODIER</t>
  </si>
  <si>
    <t>Dynamiques et enjeux de la diversité linguistique et culturelle</t>
  </si>
  <si>
    <t>DYNADIV</t>
  </si>
  <si>
    <t>EA 4428</t>
  </si>
  <si>
    <t>201822625U</t>
  </si>
  <si>
    <t>PIEROZAK</t>
  </si>
  <si>
    <t>Pratiques et ressources de l'information et des médiations</t>
  </si>
  <si>
    <t>PRIM</t>
  </si>
  <si>
    <t>EA 7503</t>
  </si>
  <si>
    <t>201822668R</t>
  </si>
  <si>
    <t>DOUYERE</t>
  </si>
  <si>
    <t>Éducation, éthique, santé</t>
  </si>
  <si>
    <t>EES</t>
  </si>
  <si>
    <t>EA 7505</t>
  </si>
  <si>
    <t>201822669S</t>
  </si>
  <si>
    <t>RUSCH</t>
  </si>
  <si>
    <t>Synthèse et isolement de molécules bioactives</t>
  </si>
  <si>
    <t>SIMBA</t>
  </si>
  <si>
    <t>EA 7502</t>
  </si>
  <si>
    <t>201822671U </t>
  </si>
  <si>
    <t>THIBONNET</t>
  </si>
  <si>
    <t xml:space="preserve">Institut de recherche juridique interdisciplinaire François-Rabelais </t>
  </si>
  <si>
    <t>IRJI</t>
  </si>
  <si>
    <t>EA 7496</t>
  </si>
  <si>
    <t>201822674X</t>
  </si>
  <si>
    <t>MONJAL</t>
  </si>
  <si>
    <t>Pierre-Yves</t>
  </si>
  <si>
    <t>Qualité de vie et santé psychologique</t>
  </si>
  <si>
    <t>QUALIPSY</t>
  </si>
  <si>
    <t>EE 1901</t>
  </si>
  <si>
    <t>201923473L</t>
  </si>
  <si>
    <t>FOUQUEREAU</t>
  </si>
  <si>
    <t>Institut des mathématiques de Toulon</t>
  </si>
  <si>
    <t>IMATH</t>
  </si>
  <si>
    <t>EA 2134</t>
  </si>
  <si>
    <t>199613747P</t>
  </si>
  <si>
    <t>LANGEVIN</t>
  </si>
  <si>
    <t>Laboratoire Babel</t>
  </si>
  <si>
    <t>BABEL</t>
  </si>
  <si>
    <t>EA 2649</t>
  </si>
  <si>
    <t>199814163H</t>
  </si>
  <si>
    <t>LEYDIER</t>
  </si>
  <si>
    <t>Laboratoire d'économie appliquée au développement</t>
  </si>
  <si>
    <t>EA 3163</t>
  </si>
  <si>
    <t>200014462Z</t>
  </si>
  <si>
    <t>SCHAFFAR</t>
  </si>
  <si>
    <t>Centre d'études et de recherche sur les contentieux</t>
  </si>
  <si>
    <t>CERC</t>
  </si>
  <si>
    <t>EA 3164</t>
  </si>
  <si>
    <t>200014463A</t>
  </si>
  <si>
    <t>OUDOT</t>
  </si>
  <si>
    <t>Institut méditerranéen des sciences de l'information et de la communication</t>
  </si>
  <si>
    <t>IMSIC</t>
  </si>
  <si>
    <t>EA 4262 + eq tln EA 3820</t>
  </si>
  <si>
    <t>200815499S</t>
  </si>
  <si>
    <t>DURAMPART</t>
  </si>
  <si>
    <t>Matériaux polymères interfaces environnements marins</t>
  </si>
  <si>
    <t>MAPIEM</t>
  </si>
  <si>
    <t>EA 4323</t>
  </si>
  <si>
    <t>200815553A</t>
  </si>
  <si>
    <t>BRISSET</t>
  </si>
  <si>
    <t>Hugues</t>
  </si>
  <si>
    <t>Laboratoire conception de systèmes mécaniques et robotiques</t>
  </si>
  <si>
    <t>COSMER</t>
  </si>
  <si>
    <t>EA 7398</t>
  </si>
  <si>
    <t>201522018X</t>
  </si>
  <si>
    <t>HUGEL</t>
  </si>
  <si>
    <t>Impact de l'activité physique sur la santé</t>
  </si>
  <si>
    <t>IAPS</t>
  </si>
  <si>
    <t>UR 201723207F</t>
  </si>
  <si>
    <t>201723207F</t>
  </si>
  <si>
    <t>DUCHÉ</t>
  </si>
  <si>
    <t>Pascale</t>
  </si>
  <si>
    <t>Laboratoire d'hydrologie et de géochimie de Strasbourg</t>
  </si>
  <si>
    <t>LHyGeS</t>
  </si>
  <si>
    <t>UMR 7517</t>
  </si>
  <si>
    <t>198812582H</t>
  </si>
  <si>
    <t>CHABAUX</t>
  </si>
  <si>
    <t>Institut de recherche mathématique avancée</t>
  </si>
  <si>
    <t>IRMA</t>
  </si>
  <si>
    <t>UMR 7501</t>
  </si>
  <si>
    <t>199212569B</t>
  </si>
  <si>
    <t>HELLUY</t>
  </si>
  <si>
    <t>Configurations littéraires</t>
  </si>
  <si>
    <t>CL</t>
  </si>
  <si>
    <t>UR 1337</t>
  </si>
  <si>
    <t>199213418Z</t>
  </si>
  <si>
    <t>MANGEON</t>
  </si>
  <si>
    <t>Anthony</t>
  </si>
  <si>
    <t>LilPa</t>
  </si>
  <si>
    <t>UR 1339</t>
  </si>
  <si>
    <t>SOCK</t>
  </si>
  <si>
    <t>Groupe d'études orientales, slaves et néo-helléniques</t>
  </si>
  <si>
    <t>GEO</t>
  </si>
  <si>
    <t>UR 1340</t>
  </si>
  <si>
    <t>199213420B</t>
  </si>
  <si>
    <t>TSAMADOU-JACOBERGER</t>
  </si>
  <si>
    <t>Irène</t>
  </si>
  <si>
    <t>Études germaniques : mémoires et frontières</t>
  </si>
  <si>
    <t>EG</t>
  </si>
  <si>
    <t>UR 1341</t>
  </si>
  <si>
    <t>199213421C</t>
  </si>
  <si>
    <t>MOHNIKE</t>
  </si>
  <si>
    <t>Sport et sciences sociales</t>
  </si>
  <si>
    <t>E3S</t>
  </si>
  <si>
    <t>UR 1342</t>
  </si>
  <si>
    <t>199213422D</t>
  </si>
  <si>
    <t>VIEILLE-MARCHISET</t>
  </si>
  <si>
    <t>Centre de droit privé fondamental</t>
  </si>
  <si>
    <t>CDPF</t>
  </si>
  <si>
    <t>UR 1351</t>
  </si>
  <si>
    <t>199213428K</t>
  </si>
  <si>
    <t>D'AMBRA</t>
  </si>
  <si>
    <t>Institut Charles Sadron</t>
  </si>
  <si>
    <t>Chimie</t>
  </si>
  <si>
    <t>UPR 022</t>
  </si>
  <si>
    <t>199217356E</t>
  </si>
  <si>
    <t>GAUTHIER</t>
  </si>
  <si>
    <t>Immunologie, immunopathologie et chimie thérapeutique</t>
  </si>
  <si>
    <t>I2CT</t>
  </si>
  <si>
    <t>UPR 3572</t>
  </si>
  <si>
    <t>199317359D</t>
  </si>
  <si>
    <t>ROMBY</t>
  </si>
  <si>
    <t>Architecture et réactivité de l'ARN</t>
  </si>
  <si>
    <t>ARN</t>
  </si>
  <si>
    <t>UPR 9002</t>
  </si>
  <si>
    <t>199317388K</t>
  </si>
  <si>
    <t>École et observatoire des sciences de la terre</t>
  </si>
  <si>
    <t>EOST</t>
  </si>
  <si>
    <t>UMS 830</t>
  </si>
  <si>
    <t>199320515J</t>
  </si>
  <si>
    <t>Institut de physique et chimie des matériaux de Strasbourg</t>
  </si>
  <si>
    <t>IPCMS</t>
  </si>
  <si>
    <t>UMR 7504</t>
  </si>
  <si>
    <t>199712572H</t>
  </si>
  <si>
    <t>RABU</t>
  </si>
  <si>
    <t>Institut de chimie et procédés pour l'énergie, l'environnement et la santé</t>
  </si>
  <si>
    <t>ICPEES</t>
  </si>
  <si>
    <t>UMR 7515</t>
  </si>
  <si>
    <t>199712580S</t>
  </si>
  <si>
    <t>SCHLATTER</t>
  </si>
  <si>
    <t>Guy</t>
  </si>
  <si>
    <t>Institut de physique du globe de Strasbourg</t>
  </si>
  <si>
    <t>IPGS</t>
  </si>
  <si>
    <t>UMR 7516</t>
  </si>
  <si>
    <t>199712581T</t>
  </si>
  <si>
    <t>ACHAUER</t>
  </si>
  <si>
    <t>Ulrich</t>
  </si>
  <si>
    <t>Bureau d'économie théorique et appliquée</t>
  </si>
  <si>
    <t>BETA</t>
  </si>
  <si>
    <t>UMR 7522</t>
  </si>
  <si>
    <t>199712586Y</t>
  </si>
  <si>
    <t>PENIN</t>
  </si>
  <si>
    <t>Julien</t>
  </si>
  <si>
    <t>Observatoire astronomique</t>
  </si>
  <si>
    <t>ObAs</t>
  </si>
  <si>
    <t>UMR 7550</t>
  </si>
  <si>
    <t>199712602R</t>
  </si>
  <si>
    <t>DUC</t>
  </si>
  <si>
    <t>Alain-Pierre</t>
  </si>
  <si>
    <t>Laboratoire interuniversitaire des sciences de l'éducation et de la communication</t>
  </si>
  <si>
    <t>LISEC</t>
  </si>
  <si>
    <t>UR 2310</t>
  </si>
  <si>
    <t>199713862K</t>
  </si>
  <si>
    <t>Savoirs dans l'espace anglophone : représentations, cultures, histoire</t>
  </si>
  <si>
    <t>SEARCH</t>
  </si>
  <si>
    <t>UR 2325</t>
  </si>
  <si>
    <t>199713876A</t>
  </si>
  <si>
    <t>MANOLESCU</t>
  </si>
  <si>
    <t>Monica</t>
  </si>
  <si>
    <t>Centre de recherches en philosophie allemande et contemporaine : histoire, problématiques, enjeux</t>
  </si>
  <si>
    <t>CREΦAC</t>
  </si>
  <si>
    <t>UR 2326</t>
  </si>
  <si>
    <t>199713877B</t>
  </si>
  <si>
    <t>MERKER</t>
  </si>
  <si>
    <t>Laboratoire de recherche en gestion et économie</t>
  </si>
  <si>
    <t>LARGE</t>
  </si>
  <si>
    <t>UR 2364</t>
  </si>
  <si>
    <t>199713911N</t>
  </si>
  <si>
    <t>WEILL</t>
  </si>
  <si>
    <t>Centre d'analyse des rhétoriques religieuses de l'Antiquité</t>
  </si>
  <si>
    <t>CARRA</t>
  </si>
  <si>
    <t>UR 3094</t>
  </si>
  <si>
    <t>199714407C</t>
  </si>
  <si>
    <t>VIX</t>
  </si>
  <si>
    <t>Modèles insectes d'immunité innée</t>
  </si>
  <si>
    <t>M3I</t>
  </si>
  <si>
    <t>UPR 9022</t>
  </si>
  <si>
    <t>199717594S</t>
  </si>
  <si>
    <t>IMLER</t>
  </si>
  <si>
    <t>Institut de biologie moléculaire et cellulaire</t>
  </si>
  <si>
    <t>IBMC</t>
  </si>
  <si>
    <t>FRC 1589</t>
  </si>
  <si>
    <t>199819872N</t>
  </si>
  <si>
    <t>Subjectivité, lien social et modernité</t>
  </si>
  <si>
    <t>SuLiSoM</t>
  </si>
  <si>
    <t>UR 3071</t>
  </si>
  <si>
    <t>199914385V</t>
  </si>
  <si>
    <t>BACQUE</t>
  </si>
  <si>
    <t>Marie-Frédérique</t>
  </si>
  <si>
    <t>Mitochondrie, stress oxydant et protection musculaire</t>
  </si>
  <si>
    <t>MSP</t>
  </si>
  <si>
    <t>UR 3072</t>
  </si>
  <si>
    <t>199914386W</t>
  </si>
  <si>
    <t>GENY</t>
  </si>
  <si>
    <t>Bernard</t>
  </si>
  <si>
    <t>Institut de science et d'ingénierie supramoléculaires</t>
  </si>
  <si>
    <t>ISIS</t>
  </si>
  <si>
    <t>UMR 7006</t>
  </si>
  <si>
    <t>200112415V</t>
  </si>
  <si>
    <t>SAMORI</t>
  </si>
  <si>
    <t>Paolo</t>
  </si>
  <si>
    <t>Archéologie et histoire ancienne : méditerranée - Europe</t>
  </si>
  <si>
    <t>ArchiMedE</t>
  </si>
  <si>
    <t>UMR 7044</t>
  </si>
  <si>
    <t>200112444B</t>
  </si>
  <si>
    <t>HUMM</t>
  </si>
  <si>
    <t>Institut de génétique et de biologie moléculaire et cellulaire</t>
  </si>
  <si>
    <t>IGBMC</t>
  </si>
  <si>
    <t>UMR 7104 / UMR_S 964</t>
  </si>
  <si>
    <t>200112491C</t>
  </si>
  <si>
    <t>DARDEL</t>
  </si>
  <si>
    <t>Arts, civilisation et histoire de l'Europe</t>
  </si>
  <si>
    <t>ARCHE</t>
  </si>
  <si>
    <t>UR 3400</t>
  </si>
  <si>
    <t>200114208U</t>
  </si>
  <si>
    <t>MAURER</t>
  </si>
  <si>
    <t>Institut de recherches Carré de Malberg</t>
  </si>
  <si>
    <t>IRCM</t>
  </si>
  <si>
    <t>UR 3399</t>
  </si>
  <si>
    <t>200114676C</t>
  </si>
  <si>
    <t>ECKERT</t>
  </si>
  <si>
    <t>Gabriel</t>
  </si>
  <si>
    <t>Approches contemporaines de la création et de la réflexion artistique</t>
  </si>
  <si>
    <t>ACCRA</t>
  </si>
  <si>
    <t>UR 3402</t>
  </si>
  <si>
    <t>200114678E</t>
  </si>
  <si>
    <t>JOLLY</t>
  </si>
  <si>
    <t>Geneviève</t>
  </si>
  <si>
    <t>Institut de biologie moléculaire des plantes</t>
  </si>
  <si>
    <t>IBMP</t>
  </si>
  <si>
    <t>UPR 2357</t>
  </si>
  <si>
    <t>200117244U</t>
  </si>
  <si>
    <t>DROUARD</t>
  </si>
  <si>
    <t>Laurence</t>
  </si>
  <si>
    <t>Chimie de la matière complexe</t>
  </si>
  <si>
    <t>CMC</t>
  </si>
  <si>
    <t>UMR 7140</t>
  </si>
  <si>
    <t>200312525F</t>
  </si>
  <si>
    <t>HELLWIG</t>
  </si>
  <si>
    <t>Petra</t>
  </si>
  <si>
    <t>Génétique moléculaire, génomique, microbiologie</t>
  </si>
  <si>
    <t>GMGM</t>
  </si>
  <si>
    <t>UMR 7156</t>
  </si>
  <si>
    <t>200512540N</t>
  </si>
  <si>
    <t>TARASSOV</t>
  </si>
  <si>
    <t>Ivan</t>
  </si>
  <si>
    <t>Institut de chimie de Strasbourg</t>
  </si>
  <si>
    <t>ICS</t>
  </si>
  <si>
    <t>UMR 7177</t>
  </si>
  <si>
    <t>200512556F</t>
  </si>
  <si>
    <t>WEISS</t>
  </si>
  <si>
    <t>Laboratoire de génétique médicale</t>
  </si>
  <si>
    <t>LGM</t>
  </si>
  <si>
    <t>UMR_S 1112</t>
  </si>
  <si>
    <t>200515207M</t>
  </si>
  <si>
    <t>DOLLFUS</t>
  </si>
  <si>
    <t>Neuropsychologie cognitive et physiopathologie de la schizophrénie</t>
  </si>
  <si>
    <t>NCPS</t>
  </si>
  <si>
    <t>UMR_S 1114</t>
  </si>
  <si>
    <t>200516355K</t>
  </si>
  <si>
    <t>GIERSCH</t>
  </si>
  <si>
    <t>Mécanismes centraux et périphériques de la neurodégénérescence</t>
  </si>
  <si>
    <t>MCPN</t>
  </si>
  <si>
    <t>UMR_S 1118</t>
  </si>
  <si>
    <t>200516377J</t>
  </si>
  <si>
    <t>DUPUIS</t>
  </si>
  <si>
    <t>Luc</t>
  </si>
  <si>
    <t>Institut pluridisciplinaire Hubert Curien</t>
  </si>
  <si>
    <t>IPHC</t>
  </si>
  <si>
    <t>UMR 7178</t>
  </si>
  <si>
    <t>200612557C</t>
  </si>
  <si>
    <t>COURTIN</t>
  </si>
  <si>
    <t>Sandrine</t>
  </si>
  <si>
    <t>Institut de recherche sur la maladies virales et hépatiques</t>
  </si>
  <si>
    <t>IVH</t>
  </si>
  <si>
    <t>UMR_S 1110</t>
  </si>
  <si>
    <t>200615803F</t>
  </si>
  <si>
    <t>BAUMERT</t>
  </si>
  <si>
    <t>Laboratoire d'innovation thérapeutique</t>
  </si>
  <si>
    <t>LIT</t>
  </si>
  <si>
    <t>UMR 7200</t>
  </si>
  <si>
    <t>200918467N</t>
  </si>
  <si>
    <t>ROGNAN</t>
  </si>
  <si>
    <t>Laboratoire de biophotonique et pharmacologie</t>
  </si>
  <si>
    <t>LBP</t>
  </si>
  <si>
    <t>UMR 7021</t>
  </si>
  <si>
    <t>200918469R</t>
  </si>
  <si>
    <t>MELY</t>
  </si>
  <si>
    <t>Théologie catholique et sciences religieuses</t>
  </si>
  <si>
    <t>TCSR</t>
  </si>
  <si>
    <t>UR 4377</t>
  </si>
  <si>
    <t>200918472U</t>
  </si>
  <si>
    <t>CUTINO</t>
  </si>
  <si>
    <t>Michele</t>
  </si>
  <si>
    <t>Laboratoire de conception et application de molécules bioactives</t>
  </si>
  <si>
    <t>CAMB</t>
  </si>
  <si>
    <t>UMR 7199</t>
  </si>
  <si>
    <t>200918483F</t>
  </si>
  <si>
    <t>REMY</t>
  </si>
  <si>
    <t>Jean-Serge</t>
  </si>
  <si>
    <t>Institut des neurosciences cellulaires et intégratives</t>
  </si>
  <si>
    <t>INCI</t>
  </si>
  <si>
    <t>UPR 3212</t>
  </si>
  <si>
    <t>200918500Z</t>
  </si>
  <si>
    <t>BARROT</t>
  </si>
  <si>
    <t>Culture et histoire dans l'espace roman</t>
  </si>
  <si>
    <t>CHER</t>
  </si>
  <si>
    <t>UR 4376</t>
  </si>
  <si>
    <t>200918511L</t>
  </si>
  <si>
    <t>EGGER</t>
  </si>
  <si>
    <t>Carole</t>
  </si>
  <si>
    <t>TP</t>
  </si>
  <si>
    <t>UR 4378</t>
  </si>
  <si>
    <t>200918515R</t>
  </si>
  <si>
    <t>VIAL</t>
  </si>
  <si>
    <t>Biologie et pharmacologie des plaquettes sanguines : hémostases, thrombose, transfusion</t>
  </si>
  <si>
    <t>BPPS</t>
  </si>
  <si>
    <t>UMR_S 1255</t>
  </si>
  <si>
    <t>200918523Z</t>
  </si>
  <si>
    <t>GACHET</t>
  </si>
  <si>
    <t>Laboratoire de recherche du CEIPI - centre d'études internationales de la propriété intellectuelle</t>
  </si>
  <si>
    <t>LR_CEIPI</t>
  </si>
  <si>
    <t>UR 4375</t>
  </si>
  <si>
    <t>200918561R</t>
  </si>
  <si>
    <t>MACREZ</t>
  </si>
  <si>
    <t>Franck</t>
  </si>
  <si>
    <t>UR 4440</t>
  </si>
  <si>
    <t>200919236Z</t>
  </si>
  <si>
    <t>DEMONT</t>
  </si>
  <si>
    <t>Maison interuniversitaire des sciences de l'homme-Alsace</t>
  </si>
  <si>
    <t>MISHA</t>
  </si>
  <si>
    <t>USR 3227</t>
  </si>
  <si>
    <t>200919794F</t>
  </si>
  <si>
    <t>BRETON</t>
  </si>
  <si>
    <t>L'Europe en mutation : histoire, droit, économie et identités culturelles</t>
  </si>
  <si>
    <t>FRU 6703</t>
  </si>
  <si>
    <t>200919860C</t>
  </si>
  <si>
    <t>CASTELLARIN</t>
  </si>
  <si>
    <t>Biotechnologie et signalisation cellulaire : intégrité du génome, biologie tumorale, récepteurs, outils thérapeutiques</t>
  </si>
  <si>
    <t>BSC</t>
  </si>
  <si>
    <t>UMR 7242</t>
  </si>
  <si>
    <t>201119723V</t>
  </si>
  <si>
    <t>GALZI</t>
  </si>
  <si>
    <t>Nanomatériaux pour systèmes sous sollicitations extrêmes</t>
  </si>
  <si>
    <t>NS3E</t>
  </si>
  <si>
    <t>UMR 3208</t>
  </si>
  <si>
    <t>201119729B</t>
  </si>
  <si>
    <t>SPITZER</t>
  </si>
  <si>
    <t>Chronobiotron</t>
  </si>
  <si>
    <t>CHRONOBIOTRON</t>
  </si>
  <si>
    <t>UMS 3415</t>
  </si>
  <si>
    <t>201220891K</t>
  </si>
  <si>
    <t>REIBEL-FOISSET</t>
  </si>
  <si>
    <t>Laboratoire des sciences de l'ingénieur, de l'informatique et de l'imagerie</t>
  </si>
  <si>
    <t>ICUBE</t>
  </si>
  <si>
    <t>UMR 7357</t>
  </si>
  <si>
    <t>201320497C</t>
  </si>
  <si>
    <t>DE MATHELIN DE PAPIGNY</t>
  </si>
  <si>
    <t>Diabète et thérapie cellulaire</t>
  </si>
  <si>
    <t>DIATHEC</t>
  </si>
  <si>
    <t>UR 7294</t>
  </si>
  <si>
    <t>201320498D</t>
  </si>
  <si>
    <t>BOUZAKRI</t>
  </si>
  <si>
    <t>Karim</t>
  </si>
  <si>
    <t xml:space="preserve">Laboratoire de pharmacologie et toxicologie neurocardiovasculaire </t>
  </si>
  <si>
    <t>LPTNC</t>
  </si>
  <si>
    <t>UR 7296</t>
  </si>
  <si>
    <t>201320499E</t>
  </si>
  <si>
    <t>MONASSIER</t>
  </si>
  <si>
    <t>Droit, religion, entreprise et société</t>
  </si>
  <si>
    <t>DRES</t>
  </si>
  <si>
    <t>UMR 7354</t>
  </si>
  <si>
    <t>201320501G</t>
  </si>
  <si>
    <t>Vincente</t>
  </si>
  <si>
    <t>Immunorhumatologie moléculaire</t>
  </si>
  <si>
    <t>IRM</t>
  </si>
  <si>
    <t>UMR_S 1109</t>
  </si>
  <si>
    <t>201320503J</t>
  </si>
  <si>
    <t>BAHRAM</t>
  </si>
  <si>
    <t>Seiamak</t>
  </si>
  <si>
    <t>Virulence bactérienne précoce : fonctions cellulaires et contrôle de l'infection aigüe et subaigüe</t>
  </si>
  <si>
    <t>VBP</t>
  </si>
  <si>
    <t>UR 7290</t>
  </si>
  <si>
    <t>201320504K</t>
  </si>
  <si>
    <t>PREVOST</t>
  </si>
  <si>
    <t>Sociétés, acteurs, gouvernements en Europe</t>
  </si>
  <si>
    <t>SAGE</t>
  </si>
  <si>
    <t>UMR 7363</t>
  </si>
  <si>
    <t>201320506M</t>
  </si>
  <si>
    <t>DE LASSALLE</t>
  </si>
  <si>
    <t>Marine</t>
  </si>
  <si>
    <t>Laboratoire de neurosciences cognitives et adaptatives</t>
  </si>
  <si>
    <t>LNCA</t>
  </si>
  <si>
    <t>UMR 7364</t>
  </si>
  <si>
    <t>201320508P</t>
  </si>
  <si>
    <t>CASSEL</t>
  </si>
  <si>
    <t>Laboratoire image, ville et environnement</t>
  </si>
  <si>
    <t>LIVE</t>
  </si>
  <si>
    <t>UMR 7362</t>
  </si>
  <si>
    <t>201320509R</t>
  </si>
  <si>
    <t>BADARIOTTI</t>
  </si>
  <si>
    <t>Dynamique des interactions hôte pathogène</t>
  </si>
  <si>
    <t>DIHP</t>
  </si>
  <si>
    <t>UR 7292</t>
  </si>
  <si>
    <t>201320510S</t>
  </si>
  <si>
    <t>ROHR</t>
  </si>
  <si>
    <t>Interface recherche fondamentale et appliquée en cancérologie</t>
  </si>
  <si>
    <t>IRFAC</t>
  </si>
  <si>
    <t>UMR_S 1113</t>
  </si>
  <si>
    <t>201320589C</t>
  </si>
  <si>
    <t>FREUND</t>
  </si>
  <si>
    <t>Jean-Noël</t>
  </si>
  <si>
    <t>Centre d'études internationales et européennes</t>
  </si>
  <si>
    <t>CEIE</t>
  </si>
  <si>
    <t>UR 7307</t>
  </si>
  <si>
    <t>201320591E</t>
  </si>
  <si>
    <t>Hommes et management en société</t>
  </si>
  <si>
    <t>HuManiS</t>
  </si>
  <si>
    <t>UR 7308</t>
  </si>
  <si>
    <t>201320744W</t>
  </si>
  <si>
    <t>POINT</t>
  </si>
  <si>
    <t>Biopathologie de la myéline, neuroprotection et stratégies thérapeutiques</t>
  </si>
  <si>
    <t>BMNST</t>
  </si>
  <si>
    <t>UMR_S 1119</t>
  </si>
  <si>
    <t>201320869G</t>
  </si>
  <si>
    <t>MENSAH</t>
  </si>
  <si>
    <t>Aykoe Guy</t>
  </si>
  <si>
    <t>Biomatériaux et bioingéniérie</t>
  </si>
  <si>
    <t>BioMat</t>
  </si>
  <si>
    <t>UMR_S 1121</t>
  </si>
  <si>
    <t>201321264L</t>
  </si>
  <si>
    <t>SCHAAF</t>
  </si>
  <si>
    <t>Pôle des neurosciences de Strasbourg</t>
  </si>
  <si>
    <t>NEUROPÔLE</t>
  </si>
  <si>
    <t>FRU 6701</t>
  </si>
  <si>
    <t>201322771Z</t>
  </si>
  <si>
    <t>SIMONNEAUX</t>
  </si>
  <si>
    <t>Dynamiques européennes</t>
  </si>
  <si>
    <t>DynamE</t>
  </si>
  <si>
    <t>UMR 7367</t>
  </si>
  <si>
    <t>201420748W</t>
  </si>
  <si>
    <t>CARREZ</t>
  </si>
  <si>
    <t>Maurice</t>
  </si>
  <si>
    <t>Plateforme de chimie biologique intégrative de Strasbourg</t>
  </si>
  <si>
    <t>PCBIS</t>
  </si>
  <si>
    <t>UMS 3286</t>
  </si>
  <si>
    <t>201420842Y</t>
  </si>
  <si>
    <t>VILLA</t>
  </si>
  <si>
    <t>Matériaux et nanosciences Grand-Est</t>
  </si>
  <si>
    <t>MNGE</t>
  </si>
  <si>
    <t>FR 3627</t>
  </si>
  <si>
    <t>201420878M</t>
  </si>
  <si>
    <t>GUISEPPONE</t>
  </si>
  <si>
    <t>Laboratoire d'innovation moléculaire et applications</t>
  </si>
  <si>
    <t>LIMA</t>
  </si>
  <si>
    <t>UMR 7042</t>
  </si>
  <si>
    <t>201822682F</t>
  </si>
  <si>
    <t>LEROUX</t>
  </si>
  <si>
    <t>Nanomédecine régénérative</t>
  </si>
  <si>
    <t>NANOREGMED</t>
  </si>
  <si>
    <t>UMR_S 1260</t>
  </si>
  <si>
    <t>201822694U</t>
  </si>
  <si>
    <t>JESSEL</t>
  </si>
  <si>
    <t>Nadia</t>
  </si>
  <si>
    <t>Fédération de chimie Le Bel</t>
  </si>
  <si>
    <t>LE BEL</t>
  </si>
  <si>
    <t>FR 2010</t>
  </si>
  <si>
    <t>201822736P</t>
  </si>
  <si>
    <t>LEPOITTEVIN</t>
  </si>
  <si>
    <t>Jean-Pierre</t>
  </si>
  <si>
    <t>Centre de recherche en biomédecine de Strasbourg</t>
  </si>
  <si>
    <t>CRBS</t>
  </si>
  <si>
    <t>UMS 38</t>
  </si>
  <si>
    <t>201923108P</t>
  </si>
  <si>
    <t>Institut terre environnement de Strasbourg</t>
  </si>
  <si>
    <t>ITES</t>
  </si>
  <si>
    <t>UMR 7063</t>
  </si>
  <si>
    <t>202123702B</t>
  </si>
  <si>
    <t>TOUSSAINT</t>
  </si>
  <si>
    <t>SARA</t>
  </si>
  <si>
    <t>Fractionnement des agro-ressources et environnement</t>
  </si>
  <si>
    <t>FARE</t>
  </si>
  <si>
    <t>UMR_A 614</t>
  </si>
  <si>
    <t>199417885W</t>
  </si>
  <si>
    <t>Habiter</t>
  </si>
  <si>
    <t>HABITER</t>
  </si>
  <si>
    <t>EA 2076</t>
  </si>
  <si>
    <t>199613702R</t>
  </si>
  <si>
    <t>Centre d'études et de recherche en histoire culturelle</t>
  </si>
  <si>
    <t xml:space="preserve">CERHiC </t>
  </si>
  <si>
    <t>EA 2616</t>
  </si>
  <si>
    <t>199614140S</t>
  </si>
  <si>
    <t>Centre de recherche interdisciplinaire sur les modeles esthétiques et littéraires</t>
  </si>
  <si>
    <t>CRIMEL</t>
  </si>
  <si>
    <t>EA 3311</t>
  </si>
  <si>
    <t>200014608H</t>
  </si>
  <si>
    <t>HAQUETTE</t>
  </si>
  <si>
    <t>Centre de recherches droit et territoire(s)</t>
  </si>
  <si>
    <t>CRDT</t>
  </si>
  <si>
    <t>EA 3312</t>
  </si>
  <si>
    <t>200014609J</t>
  </si>
  <si>
    <t>PUGEAULT (DUPERON)</t>
  </si>
  <si>
    <t>Épidémiosurveillance et circulation des parasites dans les environnements</t>
  </si>
  <si>
    <t>ESCAPE</t>
  </si>
  <si>
    <t>EA 7510</t>
  </si>
  <si>
    <t>200414212K</t>
  </si>
  <si>
    <t xml:space="preserve">Groupe d'étude des géomatériaux et environnements naturels, anthropiques et archéologiques </t>
  </si>
  <si>
    <t>GEGENAA</t>
  </si>
  <si>
    <t>EA 3795</t>
  </si>
  <si>
    <t>200415056C</t>
  </si>
  <si>
    <t>Vieillissement, fragilité</t>
  </si>
  <si>
    <t>VieFra</t>
  </si>
  <si>
    <t>EA 3797</t>
  </si>
  <si>
    <t>200415058E</t>
  </si>
  <si>
    <t>Damien</t>
  </si>
  <si>
    <t>Hémostase et remodelage vasculaire post-ischémie</t>
  </si>
  <si>
    <t>HERVI</t>
  </si>
  <si>
    <t>EA 3801</t>
  </si>
  <si>
    <t>200415061H</t>
  </si>
  <si>
    <t>Centre de recherche en STIC</t>
  </si>
  <si>
    <t>CRESTIC</t>
  </si>
  <si>
    <t>EA 3804</t>
  </si>
  <si>
    <t>200415064L</t>
  </si>
  <si>
    <t>Centre interdisciplinaire de recherches sur les langues et la pensée</t>
  </si>
  <si>
    <t>CIRLEP</t>
  </si>
  <si>
    <t>EA 4299</t>
  </si>
  <si>
    <t>200815535F</t>
  </si>
  <si>
    <t>Pathologies pulmonaires et plasticité cellulaire</t>
  </si>
  <si>
    <t>P3Cell</t>
  </si>
  <si>
    <t>UMR-S 1250</t>
  </si>
  <si>
    <t>200816533R</t>
  </si>
  <si>
    <t>POLETTE</t>
  </si>
  <si>
    <t>Myriam</t>
  </si>
  <si>
    <t>Laboratoire de mathématiques de reims</t>
  </si>
  <si>
    <t>LMR</t>
  </si>
  <si>
    <t>UMR 9008</t>
  </si>
  <si>
    <t>201019023N</t>
  </si>
  <si>
    <t>Infections cardiovasculaires virales et inflammation en pathologie humaine</t>
  </si>
  <si>
    <t>CARDIOVIR</t>
  </si>
  <si>
    <t>EA 4684</t>
  </si>
  <si>
    <t>201220201K</t>
  </si>
  <si>
    <t>Résistance induite et bio-protection des plantes</t>
  </si>
  <si>
    <t>RIBP</t>
  </si>
  <si>
    <t>EA 4707</t>
  </si>
  <si>
    <t>201220203M</t>
  </si>
  <si>
    <t>Groupe de spectroscopie moléculaire et atmosphérique</t>
  </si>
  <si>
    <t>GSMA</t>
  </si>
  <si>
    <t>UMR 7331</t>
  </si>
  <si>
    <t>201220207S</t>
  </si>
  <si>
    <t>ROTGER</t>
  </si>
  <si>
    <t>Maud</t>
  </si>
  <si>
    <t>LRN</t>
  </si>
  <si>
    <t>EA 4682</t>
  </si>
  <si>
    <t>Institut de chimie moléculaire de reims</t>
  </si>
  <si>
    <t>ICMR</t>
  </si>
  <si>
    <t>UMR 7312</t>
  </si>
  <si>
    <t>201220209U</t>
  </si>
  <si>
    <t>Groupe de recherche en sciences pour l'ingénieur</t>
  </si>
  <si>
    <t>GRESPI</t>
  </si>
  <si>
    <t>EA 4694</t>
  </si>
  <si>
    <t>201220210V</t>
  </si>
  <si>
    <t>POLIDORI</t>
  </si>
  <si>
    <t xml:space="preserve">Matrice extracellulaire et dynamique cellulaire </t>
  </si>
  <si>
    <t>MEDYC</t>
  </si>
  <si>
    <t>UMR 7369</t>
  </si>
  <si>
    <t>201220212X</t>
  </si>
  <si>
    <t>Centre d'études juridiques sur l'efficacité des systèmes continentaux</t>
  </si>
  <si>
    <t>CEJESCO</t>
  </si>
  <si>
    <t>EA 4693</t>
  </si>
  <si>
    <t>201220215A</t>
  </si>
  <si>
    <t>Centre d'étude et de recherche sur les emplois et la professionnalisation</t>
  </si>
  <si>
    <t>CEREP</t>
  </si>
  <si>
    <t>EA 4692</t>
  </si>
  <si>
    <t>201220216B</t>
  </si>
  <si>
    <t>FRISCH</t>
  </si>
  <si>
    <t xml:space="preserve">Muriel </t>
  </si>
  <si>
    <t>Laboratoire d'ingénierie et sciences des matériaux</t>
  </si>
  <si>
    <t>LISM</t>
  </si>
  <si>
    <t>EA 4695</t>
  </si>
  <si>
    <t>201220343P</t>
  </si>
  <si>
    <t>HADJADJ (CHOPART)</t>
  </si>
  <si>
    <t>Aomar (Jean-Paul)</t>
  </si>
  <si>
    <t>Biomatériaux et inflammation en site osseux</t>
  </si>
  <si>
    <t>BIOS</t>
  </si>
  <si>
    <t>EA 4691</t>
  </si>
  <si>
    <t>201220348V</t>
  </si>
  <si>
    <t>GANGLOFF</t>
  </si>
  <si>
    <t>recherches en économie gestion agroressources
durabilité santé</t>
  </si>
  <si>
    <t>REGARDS</t>
  </si>
  <si>
    <t>EA 6292</t>
  </si>
  <si>
    <t>201220367R</t>
  </si>
  <si>
    <t>Cognition, santé, société</t>
  </si>
  <si>
    <t>C2S</t>
  </si>
  <si>
    <t>EA 6291</t>
  </si>
  <si>
    <t>201220368S</t>
  </si>
  <si>
    <t>Agro-sciences, environnement et développement durable</t>
  </si>
  <si>
    <t>CONDORCET</t>
  </si>
  <si>
    <t>FR 3417</t>
  </si>
  <si>
    <t>201220476J</t>
  </si>
  <si>
    <t>HAUDRECHY</t>
  </si>
  <si>
    <t>Arnaud</t>
  </si>
  <si>
    <t>Cap santé</t>
  </si>
  <si>
    <t>CAP SANTE</t>
  </si>
  <si>
    <t>FED 4231</t>
  </si>
  <si>
    <t>201221324F</t>
  </si>
  <si>
    <t>Immuno-régulation des maladies auto-immunes inflammatoires et cancer</t>
  </si>
  <si>
    <t>IRMAIC</t>
  </si>
  <si>
    <t>EA 7509</t>
  </si>
  <si>
    <t>201420817W</t>
  </si>
  <si>
    <t>LE NAOUR</t>
  </si>
  <si>
    <t>Stress environnementaux et biosurveillance des milieux aquatiques</t>
  </si>
  <si>
    <t>SEBIO</t>
  </si>
  <si>
    <t>UMR_I 02</t>
  </si>
  <si>
    <t>201420894E</t>
  </si>
  <si>
    <t>COSIO</t>
  </si>
  <si>
    <t>Claudia</t>
  </si>
  <si>
    <t>Performance, santé, métrologie, société</t>
  </si>
  <si>
    <t>PSMS</t>
  </si>
  <si>
    <t>EA 7507</t>
  </si>
  <si>
    <t>201822664L</t>
  </si>
  <si>
    <t>Biospectroscopie translationnelle</t>
  </si>
  <si>
    <t>BioSpect</t>
  </si>
  <si>
    <t>EA 7506</t>
  </si>
  <si>
    <t>201822667P</t>
  </si>
  <si>
    <t>Institut de thermique, mécanique, matériaux</t>
  </si>
  <si>
    <t>ITheMM</t>
  </si>
  <si>
    <t>EA 7548</t>
  </si>
  <si>
    <t>201922985F</t>
  </si>
  <si>
    <t>Matériaux et ingénierie mécanique </t>
  </si>
  <si>
    <t>MATIM</t>
  </si>
  <si>
    <t>202123689M</t>
  </si>
  <si>
    <t>Laboratoire d'informatique en calcul intensif et image pour la simulation</t>
  </si>
  <si>
    <t>LICIIS</t>
  </si>
  <si>
    <t>202123690N</t>
  </si>
  <si>
    <t>LUCAS</t>
  </si>
  <si>
    <t>Observatoire géodésique de Tahiti</t>
  </si>
  <si>
    <t>OGT</t>
  </si>
  <si>
    <t>BARRIOT</t>
  </si>
  <si>
    <t>Centre international de recherche archéologique sur la Polynésie</t>
  </si>
  <si>
    <t>CIRAP</t>
  </si>
  <si>
    <t>CONTE</t>
  </si>
  <si>
    <t>Géométrie algébrique et applications à la théorie de l'information</t>
  </si>
  <si>
    <t>GAATI</t>
  </si>
  <si>
    <t>200415153H</t>
  </si>
  <si>
    <t>OYONO</t>
  </si>
  <si>
    <t>Geopôle du Pacifique Sud</t>
  </si>
  <si>
    <t>GEPASUD</t>
  </si>
  <si>
    <t>200815475R</t>
  </si>
  <si>
    <t>Gouvernance et développement insulaire</t>
  </si>
  <si>
    <t>GDI</t>
  </si>
  <si>
    <t>200815477T</t>
  </si>
  <si>
    <t>AL WARDI</t>
  </si>
  <si>
    <t>Sociétés traditionnelles et contemporaines en Océanie</t>
  </si>
  <si>
    <t>EASTCO</t>
  </si>
  <si>
    <t>200815478U</t>
  </si>
  <si>
    <t>AILINCAI</t>
  </si>
  <si>
    <t>Écosystémes insulaires océaniens</t>
  </si>
  <si>
    <t>EIO</t>
  </si>
  <si>
    <t>UMR  n°241</t>
  </si>
  <si>
    <t>201220897S</t>
  </si>
  <si>
    <t>GAERTNER</t>
  </si>
  <si>
    <t>Maison des sciences de l'homme et du Pacifique</t>
  </si>
  <si>
    <t>MSH-P</t>
  </si>
  <si>
    <t>USR n°2003</t>
  </si>
  <si>
    <t>201722452K</t>
  </si>
  <si>
    <t>EA n°3893</t>
  </si>
  <si>
    <t>EA n°4238</t>
  </si>
  <si>
    <t>EA n°4240</t>
  </si>
  <si>
    <t>EA n°4241</t>
  </si>
  <si>
    <t>Centre de biophysique moléculaire</t>
  </si>
  <si>
    <t>CBM</t>
  </si>
  <si>
    <t>UPR 4301</t>
  </si>
  <si>
    <t>196717612S</t>
  </si>
  <si>
    <t>JAKAB TOTH (BOUDVILLAIN)</t>
  </si>
  <si>
    <t>Eva (Marc)</t>
  </si>
  <si>
    <t>Laboratoire de biologie des ligneux et des grandes cultures</t>
  </si>
  <si>
    <t>LBLGC</t>
  </si>
  <si>
    <t>EA 1207 / USC_A 1328</t>
  </si>
  <si>
    <t>199213387R</t>
  </si>
  <si>
    <t>THANY</t>
  </si>
  <si>
    <t>Steeve</t>
  </si>
  <si>
    <t>Centre d'études sur le développement des territoires et l'environnement </t>
  </si>
  <si>
    <t>CEDETE</t>
  </si>
  <si>
    <t>EA 1210</t>
  </si>
  <si>
    <t>199213388S</t>
  </si>
  <si>
    <t>Genevieve</t>
  </si>
  <si>
    <t>Centre de recherche juridique Pothier</t>
  </si>
  <si>
    <t>CRJP</t>
  </si>
  <si>
    <t>EA 1212</t>
  </si>
  <si>
    <t>199213389T</t>
  </si>
  <si>
    <t>BLANCO (GOFFAUX)</t>
  </si>
  <si>
    <t>Florent (Géraldine)</t>
  </si>
  <si>
    <t>Conditions extrêmes et matériaux : haute température et irradiation </t>
  </si>
  <si>
    <t>CEMHTI</t>
  </si>
  <si>
    <t>UPR 3079</t>
  </si>
  <si>
    <t>200017654U</t>
  </si>
  <si>
    <t>BESSADA</t>
  </si>
  <si>
    <t>Laboratoire d'informatique fondamentale d'Orléans</t>
  </si>
  <si>
    <t>LIFO</t>
  </si>
  <si>
    <t>EA 4022</t>
  </si>
  <si>
    <t>200615274F</t>
  </si>
  <si>
    <t>NGUYEN (OLLINGER)</t>
  </si>
  <si>
    <t>Benjamin (Nicolas)</t>
  </si>
  <si>
    <t>TGIR-RMN très haut champs</t>
  </si>
  <si>
    <t>IR RMN THC</t>
  </si>
  <si>
    <t>FR 3050</t>
  </si>
  <si>
    <t>200719855F</t>
  </si>
  <si>
    <t>SIMORRE</t>
  </si>
  <si>
    <t>Physique et chimie du vivant </t>
  </si>
  <si>
    <t>PCV</t>
  </si>
  <si>
    <t>FR 2708</t>
  </si>
  <si>
    <t>200810679C</t>
  </si>
  <si>
    <t>DELMAS</t>
  </si>
  <si>
    <t>Agnès</t>
  </si>
  <si>
    <t>Observatoire des sciences de l'univers en région Centre</t>
  </si>
  <si>
    <t>OSUC</t>
  </si>
  <si>
    <t>UMS 3116</t>
  </si>
  <si>
    <t>200810873N</t>
  </si>
  <si>
    <t xml:space="preserve">MOREIRA </t>
  </si>
  <si>
    <t>Manuel</t>
  </si>
  <si>
    <t>Laboratoire plurisdisciplinaire en ingénierie des systèmes et mécanique énergétique</t>
  </si>
  <si>
    <t>PRISME</t>
  </si>
  <si>
    <t>EA 4229</t>
  </si>
  <si>
    <t>200815466F</t>
  </si>
  <si>
    <t>KOURTA</t>
  </si>
  <si>
    <t>Azeddine</t>
  </si>
  <si>
    <t>Institut de combustion, aérothermique, réactivité et environnement</t>
  </si>
  <si>
    <t>ICARE</t>
  </si>
  <si>
    <t>UPR 3021</t>
  </si>
  <si>
    <t>200817616T</t>
  </si>
  <si>
    <t>DAGAUT</t>
  </si>
  <si>
    <t>Pouvoirs, lettres, normes</t>
  </si>
  <si>
    <t>POLEN</t>
  </si>
  <si>
    <t>EA 4710</t>
  </si>
  <si>
    <t>201220193B</t>
  </si>
  <si>
    <t>DERUELLE (VERONESE)</t>
  </si>
  <si>
    <t>Aude (Julien)</t>
  </si>
  <si>
    <t>Institut de chimie organique et analytique</t>
  </si>
  <si>
    <t>ICOA</t>
  </si>
  <si>
    <t>UMR 7311</t>
  </si>
  <si>
    <t>201220206R</t>
  </si>
  <si>
    <t>ROUTIER</t>
  </si>
  <si>
    <t>Sylvain</t>
  </si>
  <si>
    <t>Institut des sciences de la terre d'Orléans</t>
  </si>
  <si>
    <t>ISTO</t>
  </si>
  <si>
    <t>UMR 7327</t>
  </si>
  <si>
    <t>201220213Y</t>
  </si>
  <si>
    <t>MERCURY</t>
  </si>
  <si>
    <t>Laboratoire de physique et chimie de l'environnement et de l'espace </t>
  </si>
  <si>
    <t>LPC2E</t>
  </si>
  <si>
    <t>UMR 7328</t>
  </si>
  <si>
    <t>201220223J</t>
  </si>
  <si>
    <t>DELCOURT</t>
  </si>
  <si>
    <t>Immunologie et neurogénétique expérimentales et moléculaires </t>
  </si>
  <si>
    <t>INEM</t>
  </si>
  <si>
    <t>UMR 7355</t>
  </si>
  <si>
    <t>201220224K</t>
  </si>
  <si>
    <t>QUESNIAUX</t>
  </si>
  <si>
    <t>Laboratoire d'économie d'Orleans</t>
  </si>
  <si>
    <t>LEO</t>
  </si>
  <si>
    <t>FRE 2014</t>
  </si>
  <si>
    <t>201220225L</t>
  </si>
  <si>
    <t>HURLIN (DIRER)</t>
  </si>
  <si>
    <t>Christophe (Alexis)</t>
  </si>
  <si>
    <t>Imagerie multimodale multiéchelle et modélisation du tissu osseux et articulaire</t>
  </si>
  <si>
    <t>I3MTO</t>
  </si>
  <si>
    <t>EA 4708</t>
  </si>
  <si>
    <t>201220226M</t>
  </si>
  <si>
    <t>LESPESSAILLES</t>
  </si>
  <si>
    <t>Groupe de recherches sur l'énergétique des milieux ionisés</t>
  </si>
  <si>
    <t>GREMI</t>
  </si>
  <si>
    <t>UMR 7344</t>
  </si>
  <si>
    <t>201220227N</t>
  </si>
  <si>
    <t>THOMANN</t>
  </si>
  <si>
    <t>Anne-Lise</t>
  </si>
  <si>
    <t>Laboratoire de mathématiques, analyse, probabilités, modélisation d'Orléans</t>
  </si>
  <si>
    <t>MAPMO</t>
  </si>
  <si>
    <t>UMR 7349</t>
  </si>
  <si>
    <t>201220243F</t>
  </si>
  <si>
    <t>ABRAHAM</t>
  </si>
  <si>
    <t>Romain</t>
  </si>
  <si>
    <t>Laboratoire ligérien de linguistique</t>
  </si>
  <si>
    <t>LLL</t>
  </si>
  <si>
    <t>UMR 7270</t>
  </si>
  <si>
    <t>201220244G</t>
  </si>
  <si>
    <t>BERGOUNIOUX</t>
  </si>
  <si>
    <t>Réception et médiation de littératures et de cultures étrangères et comparées </t>
  </si>
  <si>
    <t>RÉMÉLICE</t>
  </si>
  <si>
    <t>EA 4709</t>
  </si>
  <si>
    <t>201220251P</t>
  </si>
  <si>
    <t>WALLART (PELAGE)</t>
  </si>
  <si>
    <t>Kerry Jane (Catherine)</t>
  </si>
  <si>
    <t>Matériaux Val de Loire - Limousin</t>
  </si>
  <si>
    <t>MATV2L</t>
  </si>
  <si>
    <t>FR 3469</t>
  </si>
  <si>
    <t>201220482R</t>
  </si>
  <si>
    <t>CHENU</t>
  </si>
  <si>
    <t>Interfaces confinement matériaux et nanostructures </t>
  </si>
  <si>
    <t>ICMN</t>
  </si>
  <si>
    <t>UMR 7374</t>
  </si>
  <si>
    <t>201521263B</t>
  </si>
  <si>
    <t>SINTUREL (ANDREAZZA, MATHIEU)</t>
  </si>
  <si>
    <t>Christophe (Pascal, Nathalie)</t>
  </si>
  <si>
    <t>Informatique Centre Val de Loire</t>
  </si>
  <si>
    <t>ICVL</t>
  </si>
  <si>
    <t>201822696W</t>
  </si>
  <si>
    <t>Jean-Yves, (Guillaume)</t>
  </si>
  <si>
    <t>Équipe de recherche sur les contextes et acteurs de l'éducation</t>
  </si>
  <si>
    <t>ERCAE</t>
  </si>
  <si>
    <t>EA 7493</t>
  </si>
  <si>
    <t>201822697X</t>
  </si>
  <si>
    <t>BOURDIER</t>
  </si>
  <si>
    <t>Laboratoire de mécanique Gabriel Lamé</t>
  </si>
  <si>
    <t>LAMÉ</t>
  </si>
  <si>
    <t>EA 7494</t>
  </si>
  <si>
    <t>201822707H</t>
  </si>
  <si>
    <t>MEO (HOXHA)</t>
  </si>
  <si>
    <t>Stéphane (Dashnor)</t>
  </si>
  <si>
    <t>Institut Denis Poisson</t>
  </si>
  <si>
    <t>IDP</t>
  </si>
  <si>
    <t>UMR 7013</t>
  </si>
  <si>
    <t>201822709K</t>
  </si>
  <si>
    <t>MOLINET ( HILLAIRET)</t>
  </si>
  <si>
    <t>Luc (Luc)</t>
  </si>
  <si>
    <t>Calcul scientifique et modélisation Orléans-Tours</t>
  </si>
  <si>
    <t>CaSciModOT</t>
  </si>
  <si>
    <t>NORNSR_003</t>
  </si>
  <si>
    <t>ROUET (YVINEC)</t>
  </si>
  <si>
    <t>Jean-Louis (Romain)</t>
  </si>
  <si>
    <t>Laboratoire de recherches juridiques et économiques</t>
  </si>
  <si>
    <t>LARJE</t>
  </si>
  <si>
    <t>EA 3379</t>
  </si>
  <si>
    <t>201020040U</t>
  </si>
  <si>
    <t xml:space="preserve">ADRIAN </t>
  </si>
  <si>
    <t>JEANNE (interim)</t>
  </si>
  <si>
    <t xml:space="preserve">Institut de sciences exactes et appliquées </t>
  </si>
  <si>
    <t>ISEA</t>
  </si>
  <si>
    <t>EA 7484</t>
  </si>
  <si>
    <t>201722485W</t>
  </si>
  <si>
    <t>GUNKEL-GRILLON</t>
  </si>
  <si>
    <t>PEGGY</t>
  </si>
  <si>
    <t>Laboratoire interdisciplinaire de recherche en éducation (équipe en émergence)</t>
  </si>
  <si>
    <t>LIRE</t>
  </si>
  <si>
    <t>EA 7483</t>
  </si>
  <si>
    <t>201722486X</t>
  </si>
  <si>
    <t>GALY</t>
  </si>
  <si>
    <t xml:space="preserve">Trajectoires d'Océanie </t>
  </si>
  <si>
    <t>TROCA</t>
  </si>
  <si>
    <t>201723602K</t>
  </si>
  <si>
    <t>BEVANT</t>
  </si>
  <si>
    <t>YANN</t>
  </si>
  <si>
    <t>Mobilités, création, langues et idéologies en Océanie</t>
  </si>
  <si>
    <t>ERALO</t>
  </si>
  <si>
    <t>201923400G</t>
  </si>
  <si>
    <t>DOTTE</t>
  </si>
  <si>
    <t>ANNE-LAURE</t>
  </si>
  <si>
    <t>A1</t>
  </si>
  <si>
    <t>A2</t>
  </si>
  <si>
    <t>A3</t>
  </si>
  <si>
    <t>A4</t>
  </si>
  <si>
    <t>A5</t>
  </si>
  <si>
    <t>A6</t>
  </si>
  <si>
    <t>A7</t>
  </si>
  <si>
    <t>A8</t>
  </si>
  <si>
    <t>A9</t>
  </si>
  <si>
    <t>A10</t>
  </si>
  <si>
    <t>A11</t>
  </si>
  <si>
    <t>A12</t>
  </si>
  <si>
    <t>A13</t>
  </si>
  <si>
    <t>A14</t>
  </si>
  <si>
    <t>A15</t>
  </si>
  <si>
    <t>A16</t>
  </si>
  <si>
    <t>A17</t>
  </si>
  <si>
    <t>A19</t>
  </si>
  <si>
    <t>A22</t>
  </si>
  <si>
    <t>A23</t>
  </si>
  <si>
    <t>A24</t>
  </si>
  <si>
    <t>A25</t>
  </si>
  <si>
    <t>A26</t>
  </si>
  <si>
    <t>A27</t>
  </si>
  <si>
    <t>A28</t>
  </si>
  <si>
    <t>A29</t>
  </si>
  <si>
    <t>A30</t>
  </si>
  <si>
    <t>A31</t>
  </si>
  <si>
    <t>OL1</t>
  </si>
  <si>
    <t>OL2</t>
  </si>
  <si>
    <t>OL3</t>
  </si>
  <si>
    <t>OL4</t>
  </si>
  <si>
    <t>OL5</t>
  </si>
  <si>
    <t>OL6</t>
  </si>
  <si>
    <t>OL7</t>
  </si>
  <si>
    <t>OL8</t>
  </si>
  <si>
    <t>OL9</t>
  </si>
  <si>
    <t>nombre d'équipes</t>
  </si>
  <si>
    <t>Nombre d'écoles doctorales rattachées à l'unité</t>
  </si>
  <si>
    <t>Adaptation, mesure et évaluation en santé. approches interdisciplinaires</t>
  </si>
  <si>
    <t>Analyse et traitement informatique de la langue française</t>
  </si>
  <si>
    <t>Archives Henri Poincaré - Philosophie et recherches sur les sciences et les technologies</t>
  </si>
  <si>
    <t>Centre de recherche en automatique de Nancy</t>
  </si>
  <si>
    <t>Centre de recherche en géographie</t>
  </si>
  <si>
    <t>Centre de recherche sur les cultures et littératures européennes : France, Europe Centrale, Europe Orientale</t>
  </si>
  <si>
    <t>Centre de recherche sur les médiations</t>
  </si>
  <si>
    <t>Centre de recherche universitaire lorrain d'histoire</t>
  </si>
  <si>
    <t>Centre de recherches pétrographiques et géochimiques</t>
  </si>
  <si>
    <t>Centre d'études germaniques interculturelles de Lorraine</t>
  </si>
  <si>
    <t>Centre européen de recherche en économie financière et gestion des entreprises</t>
  </si>
  <si>
    <t>Centre lorrain de recherches interdisciplinaires dans les domaines des littératures, des cultures et de la théologie</t>
  </si>
  <si>
    <t>Cibles thérapeutiques, formulation et expertise pré-clinique du médicament</t>
  </si>
  <si>
    <t>Composée alimentaires : biofonctionnalités et risques neurotoxiques</t>
  </si>
  <si>
    <t>Cristallographie, résonance magnétique et modélisations</t>
  </si>
  <si>
    <t>Défaillance cardiovasculaire aigüe et chronique</t>
  </si>
  <si>
    <t>Développement, adaptation et handicap. régulations cardio-respiratoires et de la motricité</t>
  </si>
  <si>
    <t>Dynamique des génomes et adaptation microbienne</t>
  </si>
  <si>
    <t>Écosystèmes forestiers, agroressources, bioprocédés et alimentation</t>
  </si>
  <si>
    <t>Équipe de recherche sur les processus innovatifs</t>
  </si>
  <si>
    <t>Fédération Charles Hermite</t>
  </si>
  <si>
    <t>Fédération de recherche Jacques Villermaux pour la mécanique, l'énergie, les procédés</t>
  </si>
  <si>
    <t>Géoressources</t>
  </si>
  <si>
    <t>Groupe de recherche en énergie électrique de Nancy</t>
  </si>
  <si>
    <t>Histoire et cultures de l'Antiquité et du Moyen-Age</t>
  </si>
  <si>
    <t>Imagerie adaptative diagnostique et interventionnelle</t>
  </si>
  <si>
    <t>Ingénierie moléculaire et physiopathologie articulaire</t>
  </si>
  <si>
    <t>Ingénierie-biologie-santé en Lorraine</t>
  </si>
  <si>
    <t>Institut de recherches sur l'évolution de la nation et de l'État</t>
  </si>
  <si>
    <t>Institut Élie Cartan de Lorraine</t>
  </si>
  <si>
    <t>Institut François Gény</t>
  </si>
  <si>
    <t>Institut Jean Barriol</t>
  </si>
  <si>
    <t>Institut Jean Lamour</t>
  </si>
  <si>
    <t>Interactions arbres/micro-organismes</t>
  </si>
  <si>
    <t>Interactions gène-environnement en physiopathologie cardio-vasculaire</t>
  </si>
  <si>
    <t xml:space="preserve">Laboratoire agronomie et environnement </t>
  </si>
  <si>
    <t>Laboratoire de chimie et physique - Approche multi-échelle des milieux complexes</t>
  </si>
  <si>
    <t>Laboratoire de chimie physique et microbiologie pour l'environnement</t>
  </si>
  <si>
    <t>Laboratoire de chimie physique macromoléculaire</t>
  </si>
  <si>
    <t xml:space="preserve">Laboratoire de conception, optimisation et modélisation des systèmes </t>
  </si>
  <si>
    <t>Laboratoire de génie informatique, de production et de maintenance</t>
  </si>
  <si>
    <t>Laboratoire de physique et chimie théoriques</t>
  </si>
  <si>
    <t>Laboratoire de psychologie de l'interaction et des relations intersubjectives</t>
  </si>
  <si>
    <t>Laboratoire d'energétique et de mécanique théorique et appliquée</t>
  </si>
  <si>
    <t>Laboratoire d'étude des microstructures et de mécanique des matériaux</t>
  </si>
  <si>
    <t>Laboratoire d'étude et de recherche sur le matériau bois</t>
  </si>
  <si>
    <t>Laboratoire d'ingénierie des biomolécules</t>
  </si>
  <si>
    <t>Laboratoire interdisciplinaire des environnements continentaux</t>
  </si>
  <si>
    <t>Laboratoire lorrain de chimie moléculaire</t>
  </si>
  <si>
    <t>Laboratoire lorrain de psychologie et neurosciences de la dynamique des comportements</t>
  </si>
  <si>
    <t>Laboratoire lorrain de recherche en informatique et ses applications</t>
  </si>
  <si>
    <t>Laboratoire lorrain de sciences sociales</t>
  </si>
  <si>
    <t>Laboratoire matériaux optiques, photonique et systèmes</t>
  </si>
  <si>
    <t>Laboratoire réactions et génie des procédés</t>
  </si>
  <si>
    <t>Laboratoire sols et environnement</t>
  </si>
  <si>
    <t>Littératures, imaginaire, sociétés</t>
  </si>
  <si>
    <t>Maison des sciences de l'homme Lorraine</t>
  </si>
  <si>
    <t>Nutrition-génétique et exposition aux risques environnementaux</t>
  </si>
  <si>
    <t>Observatoire terre et environnement de Lorraine</t>
  </si>
  <si>
    <t>Silva</t>
  </si>
  <si>
    <t>Stress, immunité, pathogènes</t>
  </si>
  <si>
    <t>Théories et pratiques de l'interdisciplinarité dans les études anglophones</t>
  </si>
  <si>
    <t>Unité de recherches animal et fonctionnalités des produits animaux</t>
  </si>
  <si>
    <t>APEMAC</t>
  </si>
  <si>
    <t>UR 4360</t>
  </si>
  <si>
    <t>200918432A</t>
  </si>
  <si>
    <t>GUILLEMIN</t>
  </si>
  <si>
    <t xml:space="preserve">Francis </t>
  </si>
  <si>
    <t>ATILF</t>
  </si>
  <si>
    <t>UMR 7118</t>
  </si>
  <si>
    <t>200112505T</t>
  </si>
  <si>
    <t>BOULTON</t>
  </si>
  <si>
    <t>Alex</t>
  </si>
  <si>
    <t>AHP-PReST</t>
  </si>
  <si>
    <t>UMR 7117</t>
  </si>
  <si>
    <t>201822752G</t>
  </si>
  <si>
    <t xml:space="preserve">NABONNAND </t>
  </si>
  <si>
    <t>CRAN</t>
  </si>
  <si>
    <t>UMR 7039</t>
  </si>
  <si>
    <t>200112440X</t>
  </si>
  <si>
    <t>WOLF</t>
  </si>
  <si>
    <t>LOTERR</t>
  </si>
  <si>
    <t>UR 7304</t>
  </si>
  <si>
    <t>201320867E</t>
  </si>
  <si>
    <t>HAMEZ</t>
  </si>
  <si>
    <t>Grégory</t>
  </si>
  <si>
    <t>CERCLE</t>
  </si>
  <si>
    <t>UR 4372</t>
  </si>
  <si>
    <t>200918465L</t>
  </si>
  <si>
    <t>NIVIERE</t>
  </si>
  <si>
    <t>Antoine</t>
  </si>
  <si>
    <t>CREM</t>
  </si>
  <si>
    <t>UR 3476</t>
  </si>
  <si>
    <t>200114752K</t>
  </si>
  <si>
    <t>WALTER</t>
  </si>
  <si>
    <t>CRULH</t>
  </si>
  <si>
    <t>UR 3945</t>
  </si>
  <si>
    <t>200515203H</t>
  </si>
  <si>
    <t>BRIAN</t>
  </si>
  <si>
    <t>CRPG</t>
  </si>
  <si>
    <t>UMR 7358</t>
  </si>
  <si>
    <t>201320574L</t>
  </si>
  <si>
    <t>FORD</t>
  </si>
  <si>
    <t>Mary</t>
  </si>
  <si>
    <t>CEGIL</t>
  </si>
  <si>
    <t>UR 3944</t>
  </si>
  <si>
    <t>200515202G</t>
  </si>
  <si>
    <t>LARTILLOT</t>
  </si>
  <si>
    <t>Françoise</t>
  </si>
  <si>
    <t>CEREFIGE</t>
  </si>
  <si>
    <t>UR 3942</t>
  </si>
  <si>
    <t>200515200E</t>
  </si>
  <si>
    <t>HERRMANN</t>
  </si>
  <si>
    <t xml:space="preserve">Jean-Luc </t>
  </si>
  <si>
    <t>ECRITURES</t>
  </si>
  <si>
    <t>UR 3943</t>
  </si>
  <si>
    <t>200515201F</t>
  </si>
  <si>
    <t>DI PEDE</t>
  </si>
  <si>
    <t>Elena</t>
  </si>
  <si>
    <t>CITHEFOR</t>
  </si>
  <si>
    <t>UR 3452</t>
  </si>
  <si>
    <t>200114728J</t>
  </si>
  <si>
    <t>BOUDIER</t>
  </si>
  <si>
    <t>Ariane</t>
  </si>
  <si>
    <t>CALBINOTOX</t>
  </si>
  <si>
    <t>UR 7488</t>
  </si>
  <si>
    <t>201822732K</t>
  </si>
  <si>
    <t>CRM2</t>
  </si>
  <si>
    <t>UMR 7036</t>
  </si>
  <si>
    <t>200112437U</t>
  </si>
  <si>
    <t>SCHANIEL</t>
  </si>
  <si>
    <t xml:space="preserve">Dominik </t>
  </si>
  <si>
    <t>DCAC</t>
  </si>
  <si>
    <t>UMR_S 1116</t>
  </si>
  <si>
    <t>200919207T</t>
  </si>
  <si>
    <t>LACOLLEY</t>
  </si>
  <si>
    <t xml:space="preserve">Patrick </t>
  </si>
  <si>
    <t>DevAH</t>
  </si>
  <si>
    <t>UR 3450</t>
  </si>
  <si>
    <t>200114726G</t>
  </si>
  <si>
    <t>PERRIN</t>
  </si>
  <si>
    <t>DynAMic</t>
  </si>
  <si>
    <t>UMR_A 1128</t>
  </si>
  <si>
    <t>200117305K</t>
  </si>
  <si>
    <t>AIGLE</t>
  </si>
  <si>
    <t>Bertrand</t>
  </si>
  <si>
    <t>EFABA</t>
  </si>
  <si>
    <t>SFR 4242</t>
  </si>
  <si>
    <t>200919821K</t>
  </si>
  <si>
    <t>HEHN</t>
  </si>
  <si>
    <t>ERPI</t>
  </si>
  <si>
    <t>UR 3767</t>
  </si>
  <si>
    <t>200315030D</t>
  </si>
  <si>
    <t>CAMARGO</t>
  </si>
  <si>
    <t>Mauricio</t>
  </si>
  <si>
    <t>FCH</t>
  </si>
  <si>
    <t>FR 3198</t>
  </si>
  <si>
    <t>200919857Z</t>
  </si>
  <si>
    <t>DEACONU</t>
  </si>
  <si>
    <t>Madalina</t>
  </si>
  <si>
    <t>FJV</t>
  </si>
  <si>
    <t>FR 2863</t>
  </si>
  <si>
    <t>200419853S</t>
  </si>
  <si>
    <t>DUFOUR</t>
  </si>
  <si>
    <t>GeoRessources</t>
  </si>
  <si>
    <t>UMR 7359</t>
  </si>
  <si>
    <t>201320575M</t>
  </si>
  <si>
    <t xml:space="preserve">ANDRE-MAYER </t>
  </si>
  <si>
    <t xml:space="preserve">Anne-Sylvie </t>
  </si>
  <si>
    <t>GREEN</t>
  </si>
  <si>
    <t>UR 4366</t>
  </si>
  <si>
    <t>200918457C</t>
  </si>
  <si>
    <t>TAKORABET</t>
  </si>
  <si>
    <t>Noureddine</t>
  </si>
  <si>
    <t>HISCANT-MA</t>
  </si>
  <si>
    <t>UR 1132</t>
  </si>
  <si>
    <t>199213354E</t>
  </si>
  <si>
    <t>FEYEL</t>
  </si>
  <si>
    <t>IADI</t>
  </si>
  <si>
    <t>UMR_S 1254</t>
  </si>
  <si>
    <t>200918508H</t>
  </si>
  <si>
    <t>FELBLINGER</t>
  </si>
  <si>
    <t>IMoPA</t>
  </si>
  <si>
    <t>UMR 7365</t>
  </si>
  <si>
    <t>201320578R</t>
  </si>
  <si>
    <t>JOUZEAU</t>
  </si>
  <si>
    <t xml:space="preserve">Jean-Yves </t>
  </si>
  <si>
    <t>IBSLor</t>
  </si>
  <si>
    <t>UMS 2008</t>
  </si>
  <si>
    <t>201822733L</t>
  </si>
  <si>
    <t>MOTORINE</t>
  </si>
  <si>
    <t>Youri</t>
  </si>
  <si>
    <t>IRENEE</t>
  </si>
  <si>
    <t>UR 7303</t>
  </si>
  <si>
    <t>201320868F</t>
  </si>
  <si>
    <t>FARDET</t>
  </si>
  <si>
    <t>IECL</t>
  </si>
  <si>
    <t>UMR 7502</t>
  </si>
  <si>
    <t>199712570F</t>
  </si>
  <si>
    <t>GEGOUT-PETIT</t>
  </si>
  <si>
    <t>IFG</t>
  </si>
  <si>
    <t>UR 7301</t>
  </si>
  <si>
    <t>201320862Z</t>
  </si>
  <si>
    <t>LAPOINTE</t>
  </si>
  <si>
    <t>IJB</t>
  </si>
  <si>
    <t>FR 2843</t>
  </si>
  <si>
    <t>200519852L</t>
  </si>
  <si>
    <t>BLIN</t>
  </si>
  <si>
    <t>IJL</t>
  </si>
  <si>
    <t>UMR 7198</t>
  </si>
  <si>
    <t>200918462H</t>
  </si>
  <si>
    <t>BELMONTE</t>
  </si>
  <si>
    <t>IAM</t>
  </si>
  <si>
    <t>UMR_A 1136</t>
  </si>
  <si>
    <t>200117307M</t>
  </si>
  <si>
    <t>DUPLESSIS</t>
  </si>
  <si>
    <t>IGE-PCV</t>
  </si>
  <si>
    <t>UMR_S 1122</t>
  </si>
  <si>
    <t>201320745X</t>
  </si>
  <si>
    <t>SIEST</t>
  </si>
  <si>
    <t xml:space="preserve">Sophie </t>
  </si>
  <si>
    <t>LAE</t>
  </si>
  <si>
    <t>UMR_A 1121</t>
  </si>
  <si>
    <t>200116904Z</t>
  </si>
  <si>
    <t xml:space="preserve">ROBIN </t>
  </si>
  <si>
    <t>LCP-A2MC</t>
  </si>
  <si>
    <t>UR 4632</t>
  </si>
  <si>
    <t>201019679B</t>
  </si>
  <si>
    <t>PAGES</t>
  </si>
  <si>
    <t xml:space="preserve">Olivier </t>
  </si>
  <si>
    <t>LCPME</t>
  </si>
  <si>
    <t>UMR 7564</t>
  </si>
  <si>
    <t>199412610M</t>
  </si>
  <si>
    <t>GANTZER</t>
  </si>
  <si>
    <t>LCPM</t>
  </si>
  <si>
    <t>UMR 7375</t>
  </si>
  <si>
    <t>201521689P</t>
  </si>
  <si>
    <t xml:space="preserve">DURAND </t>
  </si>
  <si>
    <t xml:space="preserve">Alain </t>
  </si>
  <si>
    <t>LCOMS</t>
  </si>
  <si>
    <t>UR 7306</t>
  </si>
  <si>
    <t>201320864B</t>
  </si>
  <si>
    <t>KACEM</t>
  </si>
  <si>
    <t xml:space="preserve">Imed </t>
  </si>
  <si>
    <t>LGIPM</t>
  </si>
  <si>
    <t>UR 3096</t>
  </si>
  <si>
    <t>199914409W</t>
  </si>
  <si>
    <t>REZG</t>
  </si>
  <si>
    <t xml:space="preserve">Nidhal </t>
  </si>
  <si>
    <t>LPCT</t>
  </si>
  <si>
    <t>UMR 7019</t>
  </si>
  <si>
    <t>201822731J</t>
  </si>
  <si>
    <t>KAREVSKI</t>
  </si>
  <si>
    <t>Dragi</t>
  </si>
  <si>
    <t>INTERPSY</t>
  </si>
  <si>
    <t>UR 4432</t>
  </si>
  <si>
    <t>200919245J</t>
  </si>
  <si>
    <t>RABEYRON</t>
  </si>
  <si>
    <t>LEMTA</t>
  </si>
  <si>
    <t xml:space="preserve">UMR 7563 </t>
  </si>
  <si>
    <t>197612609P</t>
  </si>
  <si>
    <t>BOULET</t>
  </si>
  <si>
    <t>LEM3</t>
  </si>
  <si>
    <t>UMR 7239</t>
  </si>
  <si>
    <t>201119725X</t>
  </si>
  <si>
    <t>DAYA</t>
  </si>
  <si>
    <t>El Mostapha</t>
  </si>
  <si>
    <t>LERMAB</t>
  </si>
  <si>
    <t>UR 4370</t>
  </si>
  <si>
    <t>200918491P</t>
  </si>
  <si>
    <t>GERARDIN</t>
  </si>
  <si>
    <t xml:space="preserve">Philippe </t>
  </si>
  <si>
    <t>LIBio</t>
  </si>
  <si>
    <t>UR 4367</t>
  </si>
  <si>
    <t>200918459E</t>
  </si>
  <si>
    <t>REVOL-JUNELLES</t>
  </si>
  <si>
    <t xml:space="preserve"> Anne-Marie</t>
  </si>
  <si>
    <t>LIEC</t>
  </si>
  <si>
    <t>UMR 7360</t>
  </si>
  <si>
    <t>201320576N</t>
  </si>
  <si>
    <t>GIAMBERINI</t>
  </si>
  <si>
    <t xml:space="preserve">Laure </t>
  </si>
  <si>
    <t>L2CM</t>
  </si>
  <si>
    <t>UMR 7053</t>
  </si>
  <si>
    <t>201822730H</t>
  </si>
  <si>
    <t>GROS</t>
  </si>
  <si>
    <t>2LPN</t>
  </si>
  <si>
    <t>UR 7489</t>
  </si>
  <si>
    <t>201822753H</t>
  </si>
  <si>
    <t>DINET</t>
  </si>
  <si>
    <t>LORIA</t>
  </si>
  <si>
    <t>UMR 7503</t>
  </si>
  <si>
    <t>198912571S</t>
  </si>
  <si>
    <t>MARION</t>
  </si>
  <si>
    <t>2L2S</t>
  </si>
  <si>
    <t>UR 3478</t>
  </si>
  <si>
    <t>200114754M</t>
  </si>
  <si>
    <t>JACQUOT</t>
  </si>
  <si>
    <t xml:space="preserve">Lionel </t>
  </si>
  <si>
    <t>LMOPS</t>
  </si>
  <si>
    <t>UR 4423</t>
  </si>
  <si>
    <t>200919011E</t>
  </si>
  <si>
    <t>FRESSENGEAS</t>
  </si>
  <si>
    <t>LRGP</t>
  </si>
  <si>
    <t>UMR 7274</t>
  </si>
  <si>
    <t>201320573K</t>
  </si>
  <si>
    <t>FALK</t>
  </si>
  <si>
    <t xml:space="preserve">Laurent </t>
  </si>
  <si>
    <t>LSE</t>
  </si>
  <si>
    <t>UMR_A 1120</t>
  </si>
  <si>
    <t>200117465J</t>
  </si>
  <si>
    <t>SCHWARTZ</t>
  </si>
  <si>
    <t>UR 7305</t>
  </si>
  <si>
    <t>201320866D</t>
  </si>
  <si>
    <t xml:space="preserve">CHELEBOURG </t>
  </si>
  <si>
    <t xml:space="preserve">Christian </t>
  </si>
  <si>
    <t>MSHL</t>
  </si>
  <si>
    <t>USR 3261</t>
  </si>
  <si>
    <t>200919798K</t>
  </si>
  <si>
    <t>FEREY</t>
  </si>
  <si>
    <t>Samuel</t>
  </si>
  <si>
    <t>NGERE</t>
  </si>
  <si>
    <t>UMR_S 1256</t>
  </si>
  <si>
    <t>200919208U</t>
  </si>
  <si>
    <t>GUEANT</t>
  </si>
  <si>
    <t xml:space="preserve">Jean-Louis </t>
  </si>
  <si>
    <t>OTELo</t>
  </si>
  <si>
    <t>UMS 3562</t>
  </si>
  <si>
    <t>201320582V</t>
  </si>
  <si>
    <t>PIK</t>
  </si>
  <si>
    <t>UR 7312</t>
  </si>
  <si>
    <t>ABDELLAOUI</t>
  </si>
  <si>
    <t>Sid</t>
  </si>
  <si>
    <t>SILVA</t>
  </si>
  <si>
    <t>UMR_A 1434</t>
  </si>
  <si>
    <t>201822750E</t>
  </si>
  <si>
    <t>BONAL</t>
  </si>
  <si>
    <t>SIMPA</t>
  </si>
  <si>
    <t>UR 7300</t>
  </si>
  <si>
    <t>201320858V</t>
  </si>
  <si>
    <t>FRIPPIAT</t>
  </si>
  <si>
    <t>Jean-Pôl</t>
  </si>
  <si>
    <t>IDEA</t>
  </si>
  <si>
    <t>UR 2338</t>
  </si>
  <si>
    <t>199713889P</t>
  </si>
  <si>
    <t>GAUDY-CAMPBELL</t>
  </si>
  <si>
    <t>URAFPA</t>
  </si>
  <si>
    <t>UR 3998</t>
  </si>
  <si>
    <t>200515254N</t>
  </si>
  <si>
    <t>FONTAINE</t>
  </si>
  <si>
    <t xml:space="preserve">Pascal  </t>
  </si>
  <si>
    <t>U LILLE</t>
  </si>
  <si>
    <t>0597065J</t>
  </si>
  <si>
    <t>UNIVERSITE DE LILLE</t>
  </si>
  <si>
    <t>ÉCOLE NATIONALE D'INGÉNIEURS DE SAINT-ETIENNE (ENISE)</t>
  </si>
  <si>
    <t>Jean-Claude</t>
  </si>
  <si>
    <t>Roger</t>
  </si>
  <si>
    <t>Sémir</t>
  </si>
  <si>
    <t>Rodica</t>
  </si>
  <si>
    <t>PAES (REMOND) (LASHERMES)</t>
  </si>
  <si>
    <t>Gabriel (Caroline)(Gwenaëlle)</t>
  </si>
  <si>
    <t>François(Sandra)</t>
  </si>
  <si>
    <t>BOST (MALLET)</t>
  </si>
  <si>
    <t>HEULLANT-DONAT(POUTRIN)</t>
  </si>
  <si>
    <t>Isabelle(Isabelle)</t>
  </si>
  <si>
    <t>VILLENA(DEPAQUIT)</t>
  </si>
  <si>
    <t>Isabelle(Jérôme)</t>
  </si>
  <si>
    <t>Serge (Olivier)</t>
  </si>
  <si>
    <t>Fréderic</t>
  </si>
  <si>
    <t>Véronique</t>
  </si>
  <si>
    <t>FILSER RENAUD</t>
  </si>
  <si>
    <t>MARC ANGELE</t>
  </si>
  <si>
    <t>PÉNICAUD BRIAND</t>
  </si>
  <si>
    <t>CRIQUAND GAUTIER</t>
  </si>
  <si>
    <t xml:space="preserve">LAIGNEAU-FONTAINE BRIDET
</t>
  </si>
  <si>
    <t>CARO GALIBERT</t>
  </si>
  <si>
    <t>FONTAINE SENOUCI</t>
  </si>
  <si>
    <t>DEREUX GUERIN</t>
  </si>
  <si>
    <t>AUBERT VIGREUX</t>
  </si>
  <si>
    <t>DELLAMONICA SEITZ</t>
  </si>
  <si>
    <t>ANTOINE (CLEUZIOU)</t>
  </si>
  <si>
    <t>PIOT (THIEFIN)</t>
  </si>
  <si>
    <t>RIERA (PASSAT)</t>
  </si>
  <si>
    <t>ROSA (AIT AHMED)</t>
  </si>
  <si>
    <t>NICKLAS (SUKIC)</t>
  </si>
  <si>
    <t>CAILLIES (BERJOT)</t>
  </si>
  <si>
    <t>FRONTEAU (MARIN)</t>
  </si>
  <si>
    <t>NGUYEN (PEROT)</t>
  </si>
  <si>
    <t>ANDREOLETTI (BERRI)</t>
  </si>
  <si>
    <t>RENAULT (GUILLON)</t>
  </si>
  <si>
    <t>DUVAUT (ALLAOUI)</t>
  </si>
  <si>
    <t>PEVZNER (DI MENZA)</t>
  </si>
  <si>
    <t>NABIEV (GIRAUDET)</t>
  </si>
  <si>
    <t>ABBES (GILLIOT)</t>
  </si>
  <si>
    <t>MARTINY (GILLERY)</t>
  </si>
  <si>
    <t>ROSNET 
(BERTUCCI)</t>
  </si>
  <si>
    <t>ROUX (VIVIEN)</t>
  </si>
  <si>
    <t>JACQUARD(FONTAINE)</t>
  </si>
  <si>
    <t>BOUVERESSE RITLENG</t>
  </si>
  <si>
    <t>CHALMEL AUDRAN</t>
  </si>
  <si>
    <t>LUC LOIC</t>
  </si>
  <si>
    <t>SYLVIE LAURENT</t>
  </si>
  <si>
    <t>SYLVIE GUILLAUME</t>
  </si>
  <si>
    <t>STEPHANE OLIVIER</t>
  </si>
  <si>
    <t>STÉPHANE SIDI MOHAMMED</t>
  </si>
  <si>
    <t>ALAIN STEPHANE</t>
  </si>
  <si>
    <t>LAURENT FRANCOIS</t>
  </si>
  <si>
    <t>FRANCIS JEAN</t>
  </si>
  <si>
    <t>Jean Barbara</t>
  </si>
  <si>
    <t>Olivier (Gérard)</t>
  </si>
  <si>
    <t>Bernard (Nicolas)</t>
  </si>
  <si>
    <t>Fabrice (Faroudja)</t>
  </si>
  <si>
    <t>Thomas (Christine)</t>
  </si>
  <si>
    <t>Stéphanie (Sophie)</t>
  </si>
  <si>
    <t>Gilles (Béatrice)</t>
  </si>
  <si>
    <t>Philippe (Laurent)</t>
  </si>
  <si>
    <t>Laurent (Fatma)</t>
  </si>
  <si>
    <t>Jean-Hugues  (Emmanuel)</t>
  </si>
  <si>
    <t>Thierry (Samir)</t>
  </si>
  <si>
    <t>Michael (Laurent)</t>
  </si>
  <si>
    <t>Igor (Louis)</t>
  </si>
  <si>
    <t>Boussad (Michael)</t>
  </si>
  <si>
    <t>Laurent (Philippe)</t>
  </si>
  <si>
    <t>Elisabeth (William)</t>
  </si>
  <si>
    <t>Dominique (Frank-Dominique)</t>
  </si>
  <si>
    <t>Cédric (Florence)</t>
  </si>
  <si>
    <t>Aude Dominique</t>
  </si>
  <si>
    <t>Loïc Jacques</t>
  </si>
  <si>
    <t>Génération automatique de maillage et méthodes avancées</t>
  </si>
  <si>
    <t>OCAZ</t>
  </si>
  <si>
    <t>AIX_MARSEILLE_UNIVERSITE_AMU</t>
  </si>
  <si>
    <t>MCFEM</t>
  </si>
  <si>
    <t>Maître de conférences émérites</t>
  </si>
  <si>
    <t>AGROSUP_DIJON</t>
  </si>
  <si>
    <t>Paul</t>
  </si>
  <si>
    <t>ENSA_MARSEILLE</t>
  </si>
  <si>
    <t>ENSA_NANCY</t>
  </si>
  <si>
    <t>ENSA_STRASBOURG</t>
  </si>
  <si>
    <t>ESC_DIJON</t>
  </si>
  <si>
    <t>IEP_AIX</t>
  </si>
  <si>
    <t>OBSERVATOIRE_COTE_D_AZUR_OCA</t>
  </si>
  <si>
    <t>Laboratoire Géoazur</t>
  </si>
  <si>
    <t>AVIGNON_UNIVERSITE_AU</t>
  </si>
  <si>
    <t>UNIVERSITE_DE_FRANCHE_COMTE</t>
  </si>
  <si>
    <t>UNIVERSITE_DE_CORSE</t>
  </si>
  <si>
    <t>UNIVERSITE_DE_BOURGOGNE_UB</t>
  </si>
  <si>
    <t>UNIVERSITE_DE_CORSE_PASQUALE_PAOLI</t>
  </si>
  <si>
    <t>UNIVERSITE_DE_LA_COTE_D_AZUR</t>
  </si>
  <si>
    <t>UNIVERSITE_DE_HAUTE_ALSACE_UHA</t>
  </si>
  <si>
    <t>UNIVERSITE_DE_LORRAINE</t>
  </si>
  <si>
    <t>UNIVERSITE_DE_LA_NOUVELLE_CALEDONIE_UNC</t>
  </si>
  <si>
    <t>UNIVERSITE_D_ORLEANS</t>
  </si>
  <si>
    <t>UNIVERSITE_DE_LA_POLYNESIE_FRANCAISE_UPF</t>
  </si>
  <si>
    <t>UNIVERSITE_DE_REIMS_CHAMPAGNE_ARDENNES_URCA</t>
  </si>
  <si>
    <t>UNIVERSITE_DE_STRASBOURG_UNISTRA</t>
  </si>
  <si>
    <t>UNIVERSITE_DE_TOULON</t>
  </si>
  <si>
    <t>UNIVERSITE_FRANCOIS_RABELAIS_DE_TOURS</t>
  </si>
  <si>
    <t>UNIVERSITE_TECHNOLOGIQUE_DE_BELFORT_MONTBELIARD_UTBM</t>
  </si>
  <si>
    <t>UNIVERSITE_TECHNOLOGIQUE_DE_TROYES_UTT</t>
  </si>
  <si>
    <t>Partielle</t>
  </si>
  <si>
    <t>Totale</t>
  </si>
  <si>
    <t>RFDF-E1</t>
  </si>
  <si>
    <t>RFDE-E1</t>
  </si>
  <si>
    <t>RFDMS-E1</t>
  </si>
  <si>
    <t>RFDA-E1</t>
  </si>
  <si>
    <t>RFDF-E2</t>
  </si>
  <si>
    <t>RFDE-E2</t>
  </si>
  <si>
    <t>RFDMS-E2</t>
  </si>
  <si>
    <t>RFDA-E2</t>
  </si>
  <si>
    <t>RFDF-E3</t>
  </si>
  <si>
    <t>RFDE-E3</t>
  </si>
  <si>
    <t>RFDMS-E3</t>
  </si>
  <si>
    <t>RFDA-E3</t>
  </si>
  <si>
    <t>RFDF-E4</t>
  </si>
  <si>
    <t>RFDE-E4</t>
  </si>
  <si>
    <t>RFDMS-E4</t>
  </si>
  <si>
    <t>RFDA-E4</t>
  </si>
  <si>
    <t>RFDF-E5</t>
  </si>
  <si>
    <t>RFDE-E5</t>
  </si>
  <si>
    <t>RFDMS-E5</t>
  </si>
  <si>
    <t>RFDA-E5</t>
  </si>
  <si>
    <t>RFDF-E6</t>
  </si>
  <si>
    <t>RFDE-E6</t>
  </si>
  <si>
    <t>RFDMS-E6</t>
  </si>
  <si>
    <t>RFDA-E6</t>
  </si>
  <si>
    <t>RFRPR</t>
  </si>
  <si>
    <t>RFRPN</t>
  </si>
  <si>
    <t>RFRPI</t>
  </si>
  <si>
    <t>RFRPV</t>
  </si>
  <si>
    <t>RFTD</t>
  </si>
  <si>
    <t>RFTRP</t>
  </si>
  <si>
    <r>
      <t>(3) Sélectionner dans le menu déroulant. Pour les personnels EC et C, choisir un panel disciplinaire : 7 SHS de SHS1 à SHS7, 6 ST de ST1 à ST6 et 7 SVE de SVE1 à SVE7</t>
    </r>
    <r>
      <rPr>
        <b/>
        <sz val="10"/>
        <color rgb="FFFF0000"/>
        <rFont val="Century Gothic"/>
        <family val="2"/>
      </rPr>
      <t>.</t>
    </r>
  </si>
  <si>
    <t>(2) Pour les personnels d'appui à la recherche, choisir une BAP :  A à J.</t>
  </si>
  <si>
    <t>Nombre d'écoles doctorales de l'équipe</t>
  </si>
  <si>
    <r>
      <t xml:space="preserve">Utilisez le </t>
    </r>
    <r>
      <rPr>
        <i/>
        <u/>
        <sz val="12"/>
        <rFont val="Century Gothic"/>
        <family val="2"/>
      </rPr>
      <t>point-virgule</t>
    </r>
    <r>
      <rPr>
        <i/>
        <sz val="12"/>
        <rFont val="Century Gothic"/>
        <family val="2"/>
      </rPr>
      <t xml:space="preserve"> : '</t>
    </r>
    <r>
      <rPr>
        <b/>
        <i/>
        <sz val="12"/>
        <color rgb="FF00B0F0"/>
        <rFont val="Century Gothic"/>
        <family val="2"/>
      </rPr>
      <t xml:space="preserve"> ;</t>
    </r>
    <r>
      <rPr>
        <b/>
        <i/>
        <sz val="12"/>
        <rFont val="Century Gothic"/>
        <family val="2"/>
      </rPr>
      <t xml:space="preserve"> </t>
    </r>
    <r>
      <rPr>
        <i/>
        <sz val="12"/>
        <rFont val="Century Gothic"/>
        <family val="2"/>
      </rPr>
      <t>' comme séparateur entre deux domaines applicatifs</t>
    </r>
  </si>
  <si>
    <t>Sélectionnez en premier l'établissement déposant le dossier d'autoévaluation</t>
  </si>
  <si>
    <t>puis sélectionnez l'unité dans le menu déroulant</t>
  </si>
  <si>
    <t>Sélectionnez l'établissement concerné dans le menu déroulant</t>
  </si>
  <si>
    <t>Si necessaire, sélectionnez un second établissement concerné dans le menu déroulant</t>
  </si>
  <si>
    <t>Si necessaire, sélectionnez un autre établissement concerné dans le menu déroulant</t>
  </si>
  <si>
    <t>Si necessaire, sélectionnez un organisme concerné dans le menu déroulant</t>
  </si>
  <si>
    <t>Si necessaire, sélectionnez un second organisme concerné dans le menu déroulant</t>
  </si>
  <si>
    <t>Si necessaire, sélectionnez un autre organisme concerné dans le menu déroulant</t>
  </si>
  <si>
    <t>Si nécéssaire, sélectionnez un établissement dans le menu déroulant</t>
  </si>
  <si>
    <r>
      <t xml:space="preserve">Préciser l'établissement ou l'organisme </t>
    </r>
    <r>
      <rPr>
        <b/>
        <u/>
        <sz val="11"/>
        <rFont val="Century Gothic"/>
        <family val="2"/>
      </rPr>
      <t>responsable du dépôt du dossier</t>
    </r>
    <r>
      <rPr>
        <b/>
        <sz val="11"/>
        <rFont val="Century Gothic"/>
        <family val="2"/>
      </rPr>
      <t xml:space="preserve"> (tutelle déposante)</t>
    </r>
  </si>
  <si>
    <t>Equipe</t>
  </si>
  <si>
    <t>RFRPR-E</t>
  </si>
  <si>
    <t>RFRPN-E</t>
  </si>
  <si>
    <t>RFRPI-E</t>
  </si>
  <si>
    <t>RFRPV-E</t>
  </si>
  <si>
    <t>RFRP-E</t>
  </si>
  <si>
    <t>Pour les unités relevant de plusieurs domaines, on les indiquera par ordre d'importance</t>
  </si>
  <si>
    <t>Périmètre scientifique de l'unité - Domaine(s) scientifique(s) 1</t>
  </si>
  <si>
    <t>Périmètre scientifique de l'unité - Domaine(s) scientifique(s) 2</t>
  </si>
  <si>
    <t>Périmètre scientifique de l'unité - Domaine(s) scientifique(s) 3</t>
  </si>
  <si>
    <t>Code Hcéres
(Ne pas modifier)</t>
  </si>
  <si>
    <t>RHP1-1</t>
  </si>
  <si>
    <t>RHP1-2</t>
  </si>
  <si>
    <t>RHP1-3</t>
  </si>
  <si>
    <t>RHP1-4</t>
  </si>
  <si>
    <t>RHP1-5</t>
  </si>
  <si>
    <t>RHP1-6</t>
  </si>
  <si>
    <t>RHP1-7</t>
  </si>
  <si>
    <t>RHP1-8</t>
  </si>
  <si>
    <t>RHP1-9</t>
  </si>
  <si>
    <t>RHP1-10</t>
  </si>
  <si>
    <t>RHP1-11</t>
  </si>
  <si>
    <t>RHP1-12</t>
  </si>
  <si>
    <t>RHP1-13</t>
  </si>
  <si>
    <t>RHP1-14</t>
  </si>
  <si>
    <t>RHP1-15</t>
  </si>
  <si>
    <t>RHP1-16</t>
  </si>
  <si>
    <t>RHP1-17</t>
  </si>
  <si>
    <t>RHP1-18</t>
  </si>
  <si>
    <t>RHP1-19</t>
  </si>
  <si>
    <t>RHP1-20</t>
  </si>
  <si>
    <t>RHP1-21</t>
  </si>
  <si>
    <t>RHP1-22</t>
  </si>
  <si>
    <t>RHP1-23</t>
  </si>
  <si>
    <t>RHP1-24</t>
  </si>
  <si>
    <t>RHP1-25</t>
  </si>
  <si>
    <t>RHP1-26</t>
  </si>
  <si>
    <t>RHP1-27</t>
  </si>
  <si>
    <t>RHP1-28</t>
  </si>
  <si>
    <t>RHP1-29</t>
  </si>
  <si>
    <t>RHP1-30</t>
  </si>
  <si>
    <t>RHP1-31</t>
  </si>
  <si>
    <t>RHP1-32</t>
  </si>
  <si>
    <t>RHP1-33</t>
  </si>
  <si>
    <t>RHP1-34</t>
  </si>
  <si>
    <t>RHP1-35</t>
  </si>
  <si>
    <t>RHP1-36</t>
  </si>
  <si>
    <t>RHP1-37</t>
  </si>
  <si>
    <t>RHP1-38</t>
  </si>
  <si>
    <t>RHP1-39</t>
  </si>
  <si>
    <t>RHP1-40</t>
  </si>
  <si>
    <t>RHP1-41</t>
  </si>
  <si>
    <t>RHP1-42</t>
  </si>
  <si>
    <t>RHP1-43</t>
  </si>
  <si>
    <t>RHP1-44</t>
  </si>
  <si>
    <t>RHP1-45</t>
  </si>
  <si>
    <t>RHP1-46</t>
  </si>
  <si>
    <t>RHP1-47</t>
  </si>
  <si>
    <t>RHP1-48</t>
  </si>
  <si>
    <t>RHP1-49</t>
  </si>
  <si>
    <t>RHP1-50</t>
  </si>
  <si>
    <t>RHP1-51</t>
  </si>
  <si>
    <t>RHP1-52</t>
  </si>
  <si>
    <t>RHP1-53</t>
  </si>
  <si>
    <t>RHP1-54</t>
  </si>
  <si>
    <t>RHP1-55</t>
  </si>
  <si>
    <t>RHP1-56</t>
  </si>
  <si>
    <t>RHP1-57</t>
  </si>
  <si>
    <t>RHP1-58</t>
  </si>
  <si>
    <t>RHP1-59</t>
  </si>
  <si>
    <t>RHP1-60</t>
  </si>
  <si>
    <t>RHP1-61</t>
  </si>
  <si>
    <t>RHP1-62</t>
  </si>
  <si>
    <t>RHP1-63</t>
  </si>
  <si>
    <t>RHP1-64</t>
  </si>
  <si>
    <t>RHP1-65</t>
  </si>
  <si>
    <t>RHP1-66</t>
  </si>
  <si>
    <t>RHP1-67</t>
  </si>
  <si>
    <t>RHP1-68</t>
  </si>
  <si>
    <t>RHP1-69</t>
  </si>
  <si>
    <t>RHP1-70</t>
  </si>
  <si>
    <t>RHP1-71</t>
  </si>
  <si>
    <t>RHP1-72</t>
  </si>
  <si>
    <t>RHP1-73</t>
  </si>
  <si>
    <t>RHP1-74</t>
  </si>
  <si>
    <t>RHP1-75</t>
  </si>
  <si>
    <t>RHP1-76</t>
  </si>
  <si>
    <t>RHP1-77</t>
  </si>
  <si>
    <t>RHP1-78</t>
  </si>
  <si>
    <t>RHP1-79</t>
  </si>
  <si>
    <t>RHP1-80</t>
  </si>
  <si>
    <t>RHP1-81</t>
  </si>
  <si>
    <t>RHP1-82</t>
  </si>
  <si>
    <t>RHP1-83</t>
  </si>
  <si>
    <t>RHP1-84</t>
  </si>
  <si>
    <t>RHP1-85</t>
  </si>
  <si>
    <t>RHP1-86</t>
  </si>
  <si>
    <t>RHP1-87</t>
  </si>
  <si>
    <t>RHP1-88</t>
  </si>
  <si>
    <t>RHP1-89</t>
  </si>
  <si>
    <t>RHP1-90</t>
  </si>
  <si>
    <t>RHP1-91</t>
  </si>
  <si>
    <t>RHP1-92</t>
  </si>
  <si>
    <t>RHP1-93</t>
  </si>
  <si>
    <t>RHP1-94</t>
  </si>
  <si>
    <t>RHP1-95</t>
  </si>
  <si>
    <t>RHP1-96</t>
  </si>
  <si>
    <t>RHP1-97</t>
  </si>
  <si>
    <t>RHP1-98</t>
  </si>
  <si>
    <t>RHP1-99</t>
  </si>
  <si>
    <t>RHP1-100</t>
  </si>
  <si>
    <t>RHP1-101</t>
  </si>
  <si>
    <t>RHP1-102</t>
  </si>
  <si>
    <t>RHP1-103</t>
  </si>
  <si>
    <t>RHP1-104</t>
  </si>
  <si>
    <t>RHP1-105</t>
  </si>
  <si>
    <t>RHP1-106</t>
  </si>
  <si>
    <t>RHP1-107</t>
  </si>
  <si>
    <t>RHP1-108</t>
  </si>
  <si>
    <t>RHP1-109</t>
  </si>
  <si>
    <t>RHP1-110</t>
  </si>
  <si>
    <t>RHP1-111</t>
  </si>
  <si>
    <t>RHP1-112</t>
  </si>
  <si>
    <t>RHP1-113</t>
  </si>
  <si>
    <t>RHP1-114</t>
  </si>
  <si>
    <t>RHP1-115</t>
  </si>
  <si>
    <t>RHP1-116</t>
  </si>
  <si>
    <t>RHP1-117</t>
  </si>
  <si>
    <t>RHP1-118</t>
  </si>
  <si>
    <t>RHP1-119</t>
  </si>
  <si>
    <t>RHP1-120</t>
  </si>
  <si>
    <t>RHP1-121</t>
  </si>
  <si>
    <t>RHP1-122</t>
  </si>
  <si>
    <t>RHP1-123</t>
  </si>
  <si>
    <t>RHP1-124</t>
  </si>
  <si>
    <t>RHP1-125</t>
  </si>
  <si>
    <t>RHP1-126</t>
  </si>
  <si>
    <t>RHP1-127</t>
  </si>
  <si>
    <t>RHP1-128</t>
  </si>
  <si>
    <t>RHP1-129</t>
  </si>
  <si>
    <t>RHP1-130</t>
  </si>
  <si>
    <t>RHP1-131</t>
  </si>
  <si>
    <t>RHP1-132</t>
  </si>
  <si>
    <t>RHP1-133</t>
  </si>
  <si>
    <t>RHP1-134</t>
  </si>
  <si>
    <t>RHP1-135</t>
  </si>
  <si>
    <t>RHP1-136</t>
  </si>
  <si>
    <t>RHP1-137</t>
  </si>
  <si>
    <t>RHP1-138</t>
  </si>
  <si>
    <t>RHP1-139</t>
  </si>
  <si>
    <t>RHP1-140</t>
  </si>
  <si>
    <t>RHP1-141</t>
  </si>
  <si>
    <t>RHP1-142</t>
  </si>
  <si>
    <t>RHP1-143</t>
  </si>
  <si>
    <t>RHP1-144</t>
  </si>
  <si>
    <t>RHP1-145</t>
  </si>
  <si>
    <t>RHP1-146</t>
  </si>
  <si>
    <t>RHP1-147</t>
  </si>
  <si>
    <t>RHP1-148</t>
  </si>
  <si>
    <t>RHP1-149</t>
  </si>
  <si>
    <t>RHP1-150</t>
  </si>
  <si>
    <t>RHP1-151</t>
  </si>
  <si>
    <t>RHP1-152</t>
  </si>
  <si>
    <t>RHP1-153</t>
  </si>
  <si>
    <t>RHP1-154</t>
  </si>
  <si>
    <t>RHP1-155</t>
  </si>
  <si>
    <t>RHP1-156</t>
  </si>
  <si>
    <t>RHP1-157</t>
  </si>
  <si>
    <t>RHP1-158</t>
  </si>
  <si>
    <t>RHP1-159</t>
  </si>
  <si>
    <t>RHP1-160</t>
  </si>
  <si>
    <t>RHP1-161</t>
  </si>
  <si>
    <t>RHP1-162</t>
  </si>
  <si>
    <t>RHP1-163</t>
  </si>
  <si>
    <t>RHP1-164</t>
  </si>
  <si>
    <t>RHP1-165</t>
  </si>
  <si>
    <t>RHP1-166</t>
  </si>
  <si>
    <t>RHP1-167</t>
  </si>
  <si>
    <t>RHP1-168</t>
  </si>
  <si>
    <t>RHP1-169</t>
  </si>
  <si>
    <t>RHP1-170</t>
  </si>
  <si>
    <t>RHP1-171</t>
  </si>
  <si>
    <t>RHP1-172</t>
  </si>
  <si>
    <t>RHP1-173</t>
  </si>
  <si>
    <t>RHP1-174</t>
  </si>
  <si>
    <t>RHP1-175</t>
  </si>
  <si>
    <t>RHP1-176</t>
  </si>
  <si>
    <t>RHP1-177</t>
  </si>
  <si>
    <t>RHP1-178</t>
  </si>
  <si>
    <t>RHP1-179</t>
  </si>
  <si>
    <t>RHP1-180</t>
  </si>
  <si>
    <t>RHP1-181</t>
  </si>
  <si>
    <t>RHP1-182</t>
  </si>
  <si>
    <t>RHP1-183</t>
  </si>
  <si>
    <t>RHP1-184</t>
  </si>
  <si>
    <t>RHP1-185</t>
  </si>
  <si>
    <t>RHP1-186</t>
  </si>
  <si>
    <t>RHP1-187</t>
  </si>
  <si>
    <t>RHP1-188</t>
  </si>
  <si>
    <t>RHP1-189</t>
  </si>
  <si>
    <t>RHP1-190</t>
  </si>
  <si>
    <t>RHP1-191</t>
  </si>
  <si>
    <t>RHP1-192</t>
  </si>
  <si>
    <t>RHP1-193</t>
  </si>
  <si>
    <t>RHP1-194</t>
  </si>
  <si>
    <t>RHP1-195</t>
  </si>
  <si>
    <t>RHP1-196</t>
  </si>
  <si>
    <t>RHP1-197</t>
  </si>
  <si>
    <t>RHP1-198</t>
  </si>
  <si>
    <t>RHP1-199</t>
  </si>
  <si>
    <t>RHP1-200</t>
  </si>
  <si>
    <t>RHP1-201</t>
  </si>
  <si>
    <t>RHP1-202</t>
  </si>
  <si>
    <t>RHP1-203</t>
  </si>
  <si>
    <t>RHP1-204</t>
  </si>
  <si>
    <t>RHP1-205</t>
  </si>
  <si>
    <t>RHP1-206</t>
  </si>
  <si>
    <t>RHP1-207</t>
  </si>
  <si>
    <t>RHP1-208</t>
  </si>
  <si>
    <t>RHP1-209</t>
  </si>
  <si>
    <t>RHP1-210</t>
  </si>
  <si>
    <t>RHP1-211</t>
  </si>
  <si>
    <t>RHP1-212</t>
  </si>
  <si>
    <t>RHP1-213</t>
  </si>
  <si>
    <t>RHP1-214</t>
  </si>
  <si>
    <t>RHP1-215</t>
  </si>
  <si>
    <t>RHP1-216</t>
  </si>
  <si>
    <t>RHP1-217</t>
  </si>
  <si>
    <t>RHP1-218</t>
  </si>
  <si>
    <t>RHP1-219</t>
  </si>
  <si>
    <t>RHP1-220</t>
  </si>
  <si>
    <t>RHP1-221</t>
  </si>
  <si>
    <t>RHP1-222</t>
  </si>
  <si>
    <t>RHP1-223</t>
  </si>
  <si>
    <t>RHP1-224</t>
  </si>
  <si>
    <t>RHP1-225</t>
  </si>
  <si>
    <t>RHP1-226</t>
  </si>
  <si>
    <t>RHP1-227</t>
  </si>
  <si>
    <t>RHP1-228</t>
  </si>
  <si>
    <t>RHP1-229</t>
  </si>
  <si>
    <t>RHP1-230</t>
  </si>
  <si>
    <t>RHP1-231</t>
  </si>
  <si>
    <t>RHP1-232</t>
  </si>
  <si>
    <t>RHP1-233</t>
  </si>
  <si>
    <t>RHP1-234</t>
  </si>
  <si>
    <t>RHP1-235</t>
  </si>
  <si>
    <t>RHP1-236</t>
  </si>
  <si>
    <t>RHP1-237</t>
  </si>
  <si>
    <t>RHP1-238</t>
  </si>
  <si>
    <t>RHP1-239</t>
  </si>
  <si>
    <t>RHP1-240</t>
  </si>
  <si>
    <t>RHP1-241</t>
  </si>
  <si>
    <t>RHP1-242</t>
  </si>
  <si>
    <t>RHP1-243</t>
  </si>
  <si>
    <t>RHP1-244</t>
  </si>
  <si>
    <t>RHP1-245</t>
  </si>
  <si>
    <t>RHP1-246</t>
  </si>
  <si>
    <t>RHP1-247</t>
  </si>
  <si>
    <t>RHP1-248</t>
  </si>
  <si>
    <t>RHP1-249</t>
  </si>
  <si>
    <t>RHP1-250</t>
  </si>
  <si>
    <t>RHP1-251</t>
  </si>
  <si>
    <t>RHP1-252</t>
  </si>
  <si>
    <t>RHP1-253</t>
  </si>
  <si>
    <t>RHP1-254</t>
  </si>
  <si>
    <t>RHP1-255</t>
  </si>
  <si>
    <t>RHP1-256</t>
  </si>
  <si>
    <t>RHP1-257</t>
  </si>
  <si>
    <t>RHP1-258</t>
  </si>
  <si>
    <t>RHP1-259</t>
  </si>
  <si>
    <t>RHP1-260</t>
  </si>
  <si>
    <t>RHP1-261</t>
  </si>
  <si>
    <t>RHP1-262</t>
  </si>
  <si>
    <t>RHP1-263</t>
  </si>
  <si>
    <t>RHP1-264</t>
  </si>
  <si>
    <t>RHP1-265</t>
  </si>
  <si>
    <t>RHP1-266</t>
  </si>
  <si>
    <t>RHP1-267</t>
  </si>
  <si>
    <t>RHP1-268</t>
  </si>
  <si>
    <t>RHP1-269</t>
  </si>
  <si>
    <t>RHP1-270</t>
  </si>
  <si>
    <t>RHP1-271</t>
  </si>
  <si>
    <t>RHP1-272</t>
  </si>
  <si>
    <t>RHP1-273</t>
  </si>
  <si>
    <t>RHP1-274</t>
  </si>
  <si>
    <t>RHP1-275</t>
  </si>
  <si>
    <t>RHP1-276</t>
  </si>
  <si>
    <t>RHP1-277</t>
  </si>
  <si>
    <t>RHP1-278</t>
  </si>
  <si>
    <t>RHP1-279</t>
  </si>
  <si>
    <t>RHP1-280</t>
  </si>
  <si>
    <t>RHP1-281</t>
  </si>
  <si>
    <t>RHP1-282</t>
  </si>
  <si>
    <t>RHP1-283</t>
  </si>
  <si>
    <t>RHP1-284</t>
  </si>
  <si>
    <t>RHP1-285</t>
  </si>
  <si>
    <t>RHP1-286</t>
  </si>
  <si>
    <t>RHP1-287</t>
  </si>
  <si>
    <t>RHP1-288</t>
  </si>
  <si>
    <t>RHP1-289</t>
  </si>
  <si>
    <t>RHP1-290</t>
  </si>
  <si>
    <t>RHP1-291</t>
  </si>
  <si>
    <t>RHP1-292</t>
  </si>
  <si>
    <t>RHP1-293</t>
  </si>
  <si>
    <t>RHP1-294</t>
  </si>
  <si>
    <t>RHP1-295</t>
  </si>
  <si>
    <t>RHP1-296</t>
  </si>
  <si>
    <t>RHP1-297</t>
  </si>
  <si>
    <t>RHP1-298</t>
  </si>
  <si>
    <t>RHP1-299</t>
  </si>
  <si>
    <t>RHP1-300</t>
  </si>
  <si>
    <t>RHP1-301</t>
  </si>
  <si>
    <t>RHP1-302</t>
  </si>
  <si>
    <t>RHP1-303</t>
  </si>
  <si>
    <t>RHP1-304</t>
  </si>
  <si>
    <t>RHP1-305</t>
  </si>
  <si>
    <t>RHP1-306</t>
  </si>
  <si>
    <t>RHP1-307</t>
  </si>
  <si>
    <t>RHP1-308</t>
  </si>
  <si>
    <t>RHP1-309</t>
  </si>
  <si>
    <t>RHP1-310</t>
  </si>
  <si>
    <t>RHP1-311</t>
  </si>
  <si>
    <t>RHP1-312</t>
  </si>
  <si>
    <t>RHP1-313</t>
  </si>
  <si>
    <t>RHP1-314</t>
  </si>
  <si>
    <t>RHP1-315</t>
  </si>
  <si>
    <t>RHP1-316</t>
  </si>
  <si>
    <t>RHP1-317</t>
  </si>
  <si>
    <t>RHP1-318</t>
  </si>
  <si>
    <t>RHP1-319</t>
  </si>
  <si>
    <t>RHP1-320</t>
  </si>
  <si>
    <t>RHP1-321</t>
  </si>
  <si>
    <t>RHP1-322</t>
  </si>
  <si>
    <t>RHP1-323</t>
  </si>
  <si>
    <t>RHP1-324</t>
  </si>
  <si>
    <t>RHP1-325</t>
  </si>
  <si>
    <t>RHP1-326</t>
  </si>
  <si>
    <t>RHP1-327</t>
  </si>
  <si>
    <t>RHP1-328</t>
  </si>
  <si>
    <t>RHP1-329</t>
  </si>
  <si>
    <t>RHP1-330</t>
  </si>
  <si>
    <t>RHP1-331</t>
  </si>
  <si>
    <t>RHP1-332</t>
  </si>
  <si>
    <t>RHP1-333</t>
  </si>
  <si>
    <t>RHP1-334</t>
  </si>
  <si>
    <t>RHP1-335</t>
  </si>
  <si>
    <t>RHP1-336</t>
  </si>
  <si>
    <t>RHP1-337</t>
  </si>
  <si>
    <t>RHP1-338</t>
  </si>
  <si>
    <t>RHP1-339</t>
  </si>
  <si>
    <t>RHP1-340</t>
  </si>
  <si>
    <t>RHP1-341</t>
  </si>
  <si>
    <t>RHP1-342</t>
  </si>
  <si>
    <t>RHP1-343</t>
  </si>
  <si>
    <t>RHP1-344</t>
  </si>
  <si>
    <t>RHP1-345</t>
  </si>
  <si>
    <t>RHP1-346</t>
  </si>
  <si>
    <t>RHP1-347</t>
  </si>
  <si>
    <t>RHP1-348</t>
  </si>
  <si>
    <t>RHP1-349</t>
  </si>
  <si>
    <t>RHP1-350</t>
  </si>
  <si>
    <t>RHP1-351</t>
  </si>
  <si>
    <t>RHP1-352</t>
  </si>
  <si>
    <t>RHP1-353</t>
  </si>
  <si>
    <t>RHP1-354</t>
  </si>
  <si>
    <t>RHP1-355</t>
  </si>
  <si>
    <t>RHP1-356</t>
  </si>
  <si>
    <t>RHP1-357</t>
  </si>
  <si>
    <t>RHP1-358</t>
  </si>
  <si>
    <t>RHP1-359</t>
  </si>
  <si>
    <t>RHP1-360</t>
  </si>
  <si>
    <t>RHP1-361</t>
  </si>
  <si>
    <t>RHP1-362</t>
  </si>
  <si>
    <t>RHP1-363</t>
  </si>
  <si>
    <t>RHP1-364</t>
  </si>
  <si>
    <t>RHP1-365</t>
  </si>
  <si>
    <t>RHP1-366</t>
  </si>
  <si>
    <t>RHP1-367</t>
  </si>
  <si>
    <t>RHP1-368</t>
  </si>
  <si>
    <t>RHP1-369</t>
  </si>
  <si>
    <t>RHP1-370</t>
  </si>
  <si>
    <t>RHP1-371</t>
  </si>
  <si>
    <t>RHP1-372</t>
  </si>
  <si>
    <t>RHP1-373</t>
  </si>
  <si>
    <t>RHP1-374</t>
  </si>
  <si>
    <t>RHP1-375</t>
  </si>
  <si>
    <t>RHP1-376</t>
  </si>
  <si>
    <t>RHP1-377</t>
  </si>
  <si>
    <t>RHP1-378</t>
  </si>
  <si>
    <t>RHP1-379</t>
  </si>
  <si>
    <t>RHP1-380</t>
  </si>
  <si>
    <t>RHP1-381</t>
  </si>
  <si>
    <t>RHP1-382</t>
  </si>
  <si>
    <t>RHP1-383</t>
  </si>
  <si>
    <t>RHP1-384</t>
  </si>
  <si>
    <t>RHP1-385</t>
  </si>
  <si>
    <t>RHP1-386</t>
  </si>
  <si>
    <t>RHP1-387</t>
  </si>
  <si>
    <t>RHP1-388</t>
  </si>
  <si>
    <t>RHP1-389</t>
  </si>
  <si>
    <t>RHP1-390</t>
  </si>
  <si>
    <t>RHP1-391</t>
  </si>
  <si>
    <t>RHP1-392</t>
  </si>
  <si>
    <t>RHP1-393</t>
  </si>
  <si>
    <t>RHP1-394</t>
  </si>
  <si>
    <t>RHP1-395</t>
  </si>
  <si>
    <t>RHP1-396</t>
  </si>
  <si>
    <t>RHP1-397</t>
  </si>
  <si>
    <t>RHP1-398</t>
  </si>
  <si>
    <t>RHP1-399</t>
  </si>
  <si>
    <t>RHP1-400</t>
  </si>
  <si>
    <t>RHP1-401</t>
  </si>
  <si>
    <t>RHP1-402</t>
  </si>
  <si>
    <t>RHP1-403</t>
  </si>
  <si>
    <t>RHP1-404</t>
  </si>
  <si>
    <t>RHP1-405</t>
  </si>
  <si>
    <t>RHP1-406</t>
  </si>
  <si>
    <t>RHP1-407</t>
  </si>
  <si>
    <t>RHP1-408</t>
  </si>
  <si>
    <t>RHP1-409</t>
  </si>
  <si>
    <t>RHP1-410</t>
  </si>
  <si>
    <t>RHP1-411</t>
  </si>
  <si>
    <t>RHP1-412</t>
  </si>
  <si>
    <t>RHP1-413</t>
  </si>
  <si>
    <t>RHP1-414</t>
  </si>
  <si>
    <t>RHP1-415</t>
  </si>
  <si>
    <t>RHP1-416</t>
  </si>
  <si>
    <t>RHP1-417</t>
  </si>
  <si>
    <t>RHP1-418</t>
  </si>
  <si>
    <t>RHP1-419</t>
  </si>
  <si>
    <t>RHP1-420</t>
  </si>
  <si>
    <t>RHP1-421</t>
  </si>
  <si>
    <t>RHP1-422</t>
  </si>
  <si>
    <t>RHP1-423</t>
  </si>
  <si>
    <t>RHP1-424</t>
  </si>
  <si>
    <t>RHP1-425</t>
  </si>
  <si>
    <t>RHP1-426</t>
  </si>
  <si>
    <t>RHP1-427</t>
  </si>
  <si>
    <t>RHP1-428</t>
  </si>
  <si>
    <t>RHP1-429</t>
  </si>
  <si>
    <t>RHP1-430</t>
  </si>
  <si>
    <t>RHP1-431</t>
  </si>
  <si>
    <t>RHP1-432</t>
  </si>
  <si>
    <t>RHP1-433</t>
  </si>
  <si>
    <t>RHP1-434</t>
  </si>
  <si>
    <t>RHP1-435</t>
  </si>
  <si>
    <t>RHP1-436</t>
  </si>
  <si>
    <t>RHP1-437</t>
  </si>
  <si>
    <t>RHP1-438</t>
  </si>
  <si>
    <t>RHP1-439</t>
  </si>
  <si>
    <t>RHP1-440</t>
  </si>
  <si>
    <t>RHP1-441</t>
  </si>
  <si>
    <t>RHP1-442</t>
  </si>
  <si>
    <t>RHP1-443</t>
  </si>
  <si>
    <t>RHP1-444</t>
  </si>
  <si>
    <t>RHP1-445</t>
  </si>
  <si>
    <t>RHP1-446</t>
  </si>
  <si>
    <t>RHP1-447</t>
  </si>
  <si>
    <t>RHP1-448</t>
  </si>
  <si>
    <t>RHP1-449</t>
  </si>
  <si>
    <t>RHP1-450</t>
  </si>
  <si>
    <t>RHP1-451</t>
  </si>
  <si>
    <t>RHP1-452</t>
  </si>
  <si>
    <t>RHP1-453</t>
  </si>
  <si>
    <t>RHP1-454</t>
  </si>
  <si>
    <t>RHP1-455</t>
  </si>
  <si>
    <t>RHP1-456</t>
  </si>
  <si>
    <t>RHP1-457</t>
  </si>
  <si>
    <t>RHP1-458</t>
  </si>
  <si>
    <t>RHP1-459</t>
  </si>
  <si>
    <t>RHP1-460</t>
  </si>
  <si>
    <t>RHP1-461</t>
  </si>
  <si>
    <t>RHP1-462</t>
  </si>
  <si>
    <t>RHP1-463</t>
  </si>
  <si>
    <t>RHP1-464</t>
  </si>
  <si>
    <t>RHP1-465</t>
  </si>
  <si>
    <t>RHP1-466</t>
  </si>
  <si>
    <t>RHP1-467</t>
  </si>
  <si>
    <t>RHP1-468</t>
  </si>
  <si>
    <t>RHP1-469</t>
  </si>
  <si>
    <t>RHP1-470</t>
  </si>
  <si>
    <t>RHP1-471</t>
  </si>
  <si>
    <t>RHP1-472</t>
  </si>
  <si>
    <t>RHP1-473</t>
  </si>
  <si>
    <t>RHP1-474</t>
  </si>
  <si>
    <t>RHP1-475</t>
  </si>
  <si>
    <t>RHP1-476</t>
  </si>
  <si>
    <t>RHP1-477</t>
  </si>
  <si>
    <t>RHP1-478</t>
  </si>
  <si>
    <t>RHP1-479</t>
  </si>
  <si>
    <t>RHP1-480</t>
  </si>
  <si>
    <t>RHP1-481</t>
  </si>
  <si>
    <t>RHP1-482</t>
  </si>
  <si>
    <t>RHP1-483</t>
  </si>
  <si>
    <t>RHP1-484</t>
  </si>
  <si>
    <t>RHP1-485</t>
  </si>
  <si>
    <t>RHP1-486</t>
  </si>
  <si>
    <t>RHP1-487</t>
  </si>
  <si>
    <t>RHP1-488</t>
  </si>
  <si>
    <t>RHP1-489</t>
  </si>
  <si>
    <t>RHP1-490</t>
  </si>
  <si>
    <t>RHP1-491</t>
  </si>
  <si>
    <t>RHP1-492</t>
  </si>
  <si>
    <t>RHP1-493</t>
  </si>
  <si>
    <t>RHP1-494</t>
  </si>
  <si>
    <t>RHP1-495</t>
  </si>
  <si>
    <t>RHP1-496</t>
  </si>
  <si>
    <t>RHP1-497</t>
  </si>
  <si>
    <t>RHP1-498</t>
  </si>
  <si>
    <t>RHP1-499</t>
  </si>
  <si>
    <t>RHP1-500</t>
  </si>
  <si>
    <t>RHP1-501</t>
  </si>
  <si>
    <t>RHP1-502</t>
  </si>
  <si>
    <t>RHP1-503</t>
  </si>
  <si>
    <t>RHP1-504</t>
  </si>
  <si>
    <t>RHP1-505</t>
  </si>
  <si>
    <t>RHP1-506</t>
  </si>
  <si>
    <t>RHP1-507</t>
  </si>
  <si>
    <t>RHP1-508</t>
  </si>
  <si>
    <t>RHP1-509</t>
  </si>
  <si>
    <t>RHP1-510</t>
  </si>
  <si>
    <t>RHP1-511</t>
  </si>
  <si>
    <t>RHP1-512</t>
  </si>
  <si>
    <t>RHP1-513</t>
  </si>
  <si>
    <t>RHP1-514</t>
  </si>
  <si>
    <t>RHP1-515</t>
  </si>
  <si>
    <t>RHP1-516</t>
  </si>
  <si>
    <t>RHP1-517</t>
  </si>
  <si>
    <t>RHP1-518</t>
  </si>
  <si>
    <t>RHP1-519</t>
  </si>
  <si>
    <t>RHP1-520</t>
  </si>
  <si>
    <t>RHP1-521</t>
  </si>
  <si>
    <t>RHP1-522</t>
  </si>
  <si>
    <t>RHP1-523</t>
  </si>
  <si>
    <t>RHP1-524</t>
  </si>
  <si>
    <t>RHP1-525</t>
  </si>
  <si>
    <t>RHP1-526</t>
  </si>
  <si>
    <t>RHP1-527</t>
  </si>
  <si>
    <t>RHP1-528</t>
  </si>
  <si>
    <t>RHP1-529</t>
  </si>
  <si>
    <t>RHP1-530</t>
  </si>
  <si>
    <t>RHP1-531</t>
  </si>
  <si>
    <t>RHP1-532</t>
  </si>
  <si>
    <t>RHP1-533</t>
  </si>
  <si>
    <t>RHP1-534</t>
  </si>
  <si>
    <t>RHP1-535</t>
  </si>
  <si>
    <t>RHP1-536</t>
  </si>
  <si>
    <t>RHP1-537</t>
  </si>
  <si>
    <t>RHP1-538</t>
  </si>
  <si>
    <t>RHP1-539</t>
  </si>
  <si>
    <t>RHP1-540</t>
  </si>
  <si>
    <t>RHP1-541</t>
  </si>
  <si>
    <t>RHP1-542</t>
  </si>
  <si>
    <t>RHP1-543</t>
  </si>
  <si>
    <t>RHP1-544</t>
  </si>
  <si>
    <t>RHP1-545</t>
  </si>
  <si>
    <t>RHP1-546</t>
  </si>
  <si>
    <t>RHP1-547</t>
  </si>
  <si>
    <t>RHP1-548</t>
  </si>
  <si>
    <t>RHP1-549</t>
  </si>
  <si>
    <t>RHP1-550</t>
  </si>
  <si>
    <t>RHP1-551</t>
  </si>
  <si>
    <t>RHP1-552</t>
  </si>
  <si>
    <t>RHP1-553</t>
  </si>
  <si>
    <t>RHP1-554</t>
  </si>
  <si>
    <t>RHP1-555</t>
  </si>
  <si>
    <t>RHP1-556</t>
  </si>
  <si>
    <t>RHP1-557</t>
  </si>
  <si>
    <t>RHP1-558</t>
  </si>
  <si>
    <t>RHP1-559</t>
  </si>
  <si>
    <t>RHP1-560</t>
  </si>
  <si>
    <t>RHP1-561</t>
  </si>
  <si>
    <t>RHP1-562</t>
  </si>
  <si>
    <t>RHP1-563</t>
  </si>
  <si>
    <t>RHP1-564</t>
  </si>
  <si>
    <t>RHP1-565</t>
  </si>
  <si>
    <t>RHP1-566</t>
  </si>
  <si>
    <t>RHP1-567</t>
  </si>
  <si>
    <t>RHP1-568</t>
  </si>
  <si>
    <t>RHP1-569</t>
  </si>
  <si>
    <t>RHP1-570</t>
  </si>
  <si>
    <t>RHP1-571</t>
  </si>
  <si>
    <t>RHP1-572</t>
  </si>
  <si>
    <t>RHP1-573</t>
  </si>
  <si>
    <t>RHP1-574</t>
  </si>
  <si>
    <t>RHP1-575</t>
  </si>
  <si>
    <t>RHP1-576</t>
  </si>
  <si>
    <t>RHP1-577</t>
  </si>
  <si>
    <t>RHP1-578</t>
  </si>
  <si>
    <t>RHP1-579</t>
  </si>
  <si>
    <t>RHP1-580</t>
  </si>
  <si>
    <t>RHP1-581</t>
  </si>
  <si>
    <t>RHP1-582</t>
  </si>
  <si>
    <t>RHP1-583</t>
  </si>
  <si>
    <t>RHP1-584</t>
  </si>
  <si>
    <t>RHP1-585</t>
  </si>
  <si>
    <t>RHP1-586</t>
  </si>
  <si>
    <t>RHP1-587</t>
  </si>
  <si>
    <t>RHP1-588</t>
  </si>
  <si>
    <t>RHP1-589</t>
  </si>
  <si>
    <t>RHP1-590</t>
  </si>
  <si>
    <t>RHP1-591</t>
  </si>
  <si>
    <t>RHP1-592</t>
  </si>
  <si>
    <t>RHP1-593</t>
  </si>
  <si>
    <t>RHP1-594</t>
  </si>
  <si>
    <t>RHP1-595</t>
  </si>
  <si>
    <t>RHP1-596</t>
  </si>
  <si>
    <t>RHP1-597</t>
  </si>
  <si>
    <t>RHP1-598</t>
  </si>
  <si>
    <t>RHP1-599</t>
  </si>
  <si>
    <t>RHP1-600</t>
  </si>
  <si>
    <t>RHP1-601</t>
  </si>
  <si>
    <t>RHP1-602</t>
  </si>
  <si>
    <t>RHP1-603</t>
  </si>
  <si>
    <t>RHP1-604</t>
  </si>
  <si>
    <t>RHP1-605</t>
  </si>
  <si>
    <t>RHP1-606</t>
  </si>
  <si>
    <t>RHP1-607</t>
  </si>
  <si>
    <t>RHP1-608</t>
  </si>
  <si>
    <t>RHP1-609</t>
  </si>
  <si>
    <t>RHP1-610</t>
  </si>
  <si>
    <t>RHP1-611</t>
  </si>
  <si>
    <t>RHP1-612</t>
  </si>
  <si>
    <t>RHP1-613</t>
  </si>
  <si>
    <t>RHP1-614</t>
  </si>
  <si>
    <t>RHP1-615</t>
  </si>
  <si>
    <t>RHP1-616</t>
  </si>
  <si>
    <t>RHP1-617</t>
  </si>
  <si>
    <t>RHP1-618</t>
  </si>
  <si>
    <t>RHP1-619</t>
  </si>
  <si>
    <t>RHP1-620</t>
  </si>
  <si>
    <t>RHP1-621</t>
  </si>
  <si>
    <t>RHP1-622</t>
  </si>
  <si>
    <t>RHP1-623</t>
  </si>
  <si>
    <t>RHP1-624</t>
  </si>
  <si>
    <t>RHP1-625</t>
  </si>
  <si>
    <t>RHP1-626</t>
  </si>
  <si>
    <t>RHP1-627</t>
  </si>
  <si>
    <t>RHP1-628</t>
  </si>
  <si>
    <t>RHP1-629</t>
  </si>
  <si>
    <t>RHP1-630</t>
  </si>
  <si>
    <t>RHP1-631</t>
  </si>
  <si>
    <t>RHP1-632</t>
  </si>
  <si>
    <t>RHP1-633</t>
  </si>
  <si>
    <t>RHP1-634</t>
  </si>
  <si>
    <t>RHP1-635</t>
  </si>
  <si>
    <t>RHP1-636</t>
  </si>
  <si>
    <t>RHP1-637</t>
  </si>
  <si>
    <t>RHP1-638</t>
  </si>
  <si>
    <t>RHP1-639</t>
  </si>
  <si>
    <t>RHP1-640</t>
  </si>
  <si>
    <t>RHP1-641</t>
  </si>
  <si>
    <t>RHP1-642</t>
  </si>
  <si>
    <t>RHP1-643</t>
  </si>
  <si>
    <t>RHP1-644</t>
  </si>
  <si>
    <t>RHP1-645</t>
  </si>
  <si>
    <t>RHP1-646</t>
  </si>
  <si>
    <t>RHP1-647</t>
  </si>
  <si>
    <t>RHP1-648</t>
  </si>
  <si>
    <t>RHP1-649</t>
  </si>
  <si>
    <t>RHP1-650</t>
  </si>
  <si>
    <t>RHP1-651</t>
  </si>
  <si>
    <t>RHP1-652</t>
  </si>
  <si>
    <t>RHP1-653</t>
  </si>
  <si>
    <t>RHP1-654</t>
  </si>
  <si>
    <t>RHP1-655</t>
  </si>
  <si>
    <t>RHP1-656</t>
  </si>
  <si>
    <t>RHP1-657</t>
  </si>
  <si>
    <t>RHP1-658</t>
  </si>
  <si>
    <t>RHP1-659</t>
  </si>
  <si>
    <t>RHP1-660</t>
  </si>
  <si>
    <t>RHP1-661</t>
  </si>
  <si>
    <t>RHP1-662</t>
  </si>
  <si>
    <t>RHP1-663</t>
  </si>
  <si>
    <t>RHP1-664</t>
  </si>
  <si>
    <t>RHP1-665</t>
  </si>
  <si>
    <t>RHP1-666</t>
  </si>
  <si>
    <t>RHP1-667</t>
  </si>
  <si>
    <t>RHP1-668</t>
  </si>
  <si>
    <t>RHP1-669</t>
  </si>
  <si>
    <t>RHP1-670</t>
  </si>
  <si>
    <t>RHP1-671</t>
  </si>
  <si>
    <t>RHP1-672</t>
  </si>
  <si>
    <t>RHP1-673</t>
  </si>
  <si>
    <t>RHP1-674</t>
  </si>
  <si>
    <t>RHP1-675</t>
  </si>
  <si>
    <t>RHP1-676</t>
  </si>
  <si>
    <t>RHP1-677</t>
  </si>
  <si>
    <t>RHP1-678</t>
  </si>
  <si>
    <t>RHP1-679</t>
  </si>
  <si>
    <t>RHP1-680</t>
  </si>
  <si>
    <t>RHP1-681</t>
  </si>
  <si>
    <t>RHP1-682</t>
  </si>
  <si>
    <t>RHP1-683</t>
  </si>
  <si>
    <t>RHP1-684</t>
  </si>
  <si>
    <t>RHP1-685</t>
  </si>
  <si>
    <t>RHP1-686</t>
  </si>
  <si>
    <t>RHP1-687</t>
  </si>
  <si>
    <t>RHP1-688</t>
  </si>
  <si>
    <t>RHP1-689</t>
  </si>
  <si>
    <t>RHP1-690</t>
  </si>
  <si>
    <t>RHP1-691</t>
  </si>
  <si>
    <t>RHP1-692</t>
  </si>
  <si>
    <t>RHP1-693</t>
  </si>
  <si>
    <t>RHP1-694</t>
  </si>
  <si>
    <t>RHP1-695</t>
  </si>
  <si>
    <t>RHP1-696</t>
  </si>
  <si>
    <t>RHP1-697</t>
  </si>
  <si>
    <t>RHP1-698</t>
  </si>
  <si>
    <t>RHP1-699</t>
  </si>
  <si>
    <t>RHP1-700</t>
  </si>
  <si>
    <t>RHP1-701</t>
  </si>
  <si>
    <t>RHP1-702</t>
  </si>
  <si>
    <t>RHP1-703</t>
  </si>
  <si>
    <t>RHP1-704</t>
  </si>
  <si>
    <t>RHP1-705</t>
  </si>
  <si>
    <t>RHP1-706</t>
  </si>
  <si>
    <t>RHP1-707</t>
  </si>
  <si>
    <t>RHP1-708</t>
  </si>
  <si>
    <t>RHP1-709</t>
  </si>
  <si>
    <t>RHP1-710</t>
  </si>
  <si>
    <t>RHP1-711</t>
  </si>
  <si>
    <t>RHP1-712</t>
  </si>
  <si>
    <t>RHP1-713</t>
  </si>
  <si>
    <t>RHP1-714</t>
  </si>
  <si>
    <t>RHP1-715</t>
  </si>
  <si>
    <t>RHP1-716</t>
  </si>
  <si>
    <t>RHP1-717</t>
  </si>
  <si>
    <t>RHP1-718</t>
  </si>
  <si>
    <t>RHP1-719</t>
  </si>
  <si>
    <t>RHP1-720</t>
  </si>
  <si>
    <t>RHP1-721</t>
  </si>
  <si>
    <t>RHP1-722</t>
  </si>
  <si>
    <t>RHP1-723</t>
  </si>
  <si>
    <t>RHP1-724</t>
  </si>
  <si>
    <t>RHP1-725</t>
  </si>
  <si>
    <t>RHP1-726</t>
  </si>
  <si>
    <t>RHP1-727</t>
  </si>
  <si>
    <t>RHP1-728</t>
  </si>
  <si>
    <t>RHP1-729</t>
  </si>
  <si>
    <t>RHP1-730</t>
  </si>
  <si>
    <t>RHP1-731</t>
  </si>
  <si>
    <t>RHP1-732</t>
  </si>
  <si>
    <t>RHP1-733</t>
  </si>
  <si>
    <t>RHP1-734</t>
  </si>
  <si>
    <t>RHP1-735</t>
  </si>
  <si>
    <t>RHP1-736</t>
  </si>
  <si>
    <t>RHP1-737</t>
  </si>
  <si>
    <t>RHP1-738</t>
  </si>
  <si>
    <t>RHP1-739</t>
  </si>
  <si>
    <t>RHP1-740</t>
  </si>
  <si>
    <t>RHP1-741</t>
  </si>
  <si>
    <t>RHP1-742</t>
  </si>
  <si>
    <t>RHP1-743</t>
  </si>
  <si>
    <t>RHP1-744</t>
  </si>
  <si>
    <t>RHP1-745</t>
  </si>
  <si>
    <t>RHP1-746</t>
  </si>
  <si>
    <t>RHP1-747</t>
  </si>
  <si>
    <t>RHP1-748</t>
  </si>
  <si>
    <t>RHP1-749</t>
  </si>
  <si>
    <t>RHP1-750</t>
  </si>
  <si>
    <t>RHP1-751</t>
  </si>
  <si>
    <t>RHP1-752</t>
  </si>
  <si>
    <t>RHP1-753</t>
  </si>
  <si>
    <t>RHP1-754</t>
  </si>
  <si>
    <t>RHP1-755</t>
  </si>
  <si>
    <t>RHP1-756</t>
  </si>
  <si>
    <t>RHP1-757</t>
  </si>
  <si>
    <t>RHP1-758</t>
  </si>
  <si>
    <t>RHP1-759</t>
  </si>
  <si>
    <t>RHP1-760</t>
  </si>
  <si>
    <t>RHP1-761</t>
  </si>
  <si>
    <t>RHP1-762</t>
  </si>
  <si>
    <t>RHP1-763</t>
  </si>
  <si>
    <t>RHP1-764</t>
  </si>
  <si>
    <t>RHP1-765</t>
  </si>
  <si>
    <t>RHP1-766</t>
  </si>
  <si>
    <t>RHP1-767</t>
  </si>
  <si>
    <t>RHP1-768</t>
  </si>
  <si>
    <t>RHP1-769</t>
  </si>
  <si>
    <t>RHP1-770</t>
  </si>
  <si>
    <t>RHP1-771</t>
  </si>
  <si>
    <t>RHP1-772</t>
  </si>
  <si>
    <t>RHP1-773</t>
  </si>
  <si>
    <t>RHP1-774</t>
  </si>
  <si>
    <t>RHP1-775</t>
  </si>
  <si>
    <t>RHP1-776</t>
  </si>
  <si>
    <t>RHP1-777</t>
  </si>
  <si>
    <t>RHP1-778</t>
  </si>
  <si>
    <t>RHP1-779</t>
  </si>
  <si>
    <t>RHP1-780</t>
  </si>
  <si>
    <t>RHP1-781</t>
  </si>
  <si>
    <t>RHP1-782</t>
  </si>
  <si>
    <t>RHP1-783</t>
  </si>
  <si>
    <t>RHP1-784</t>
  </si>
  <si>
    <t>RHP1-785</t>
  </si>
  <si>
    <t>RHP1-786</t>
  </si>
  <si>
    <t>RHP1-787</t>
  </si>
  <si>
    <t>RHP1-788</t>
  </si>
  <si>
    <t>RHP1-789</t>
  </si>
  <si>
    <t>RHP1-790</t>
  </si>
  <si>
    <t>RHP1-791</t>
  </si>
  <si>
    <t>RHP1-792</t>
  </si>
  <si>
    <t>RHP1-793</t>
  </si>
  <si>
    <t>RHP1-794</t>
  </si>
  <si>
    <t>RHP1-795</t>
  </si>
  <si>
    <t>RHP1-796</t>
  </si>
  <si>
    <t>RHP1-797</t>
  </si>
  <si>
    <t>RHP1-798</t>
  </si>
  <si>
    <t>RHP1-799</t>
  </si>
  <si>
    <t>RHP1-800</t>
  </si>
  <si>
    <t>RHP1-801</t>
  </si>
  <si>
    <t>RHP1-802</t>
  </si>
  <si>
    <t>RHP1-803</t>
  </si>
  <si>
    <t>RHP1-804</t>
  </si>
  <si>
    <t>RHP1-805</t>
  </si>
  <si>
    <t>RHP1-806</t>
  </si>
  <si>
    <t>RHP1-807</t>
  </si>
  <si>
    <t>RHP1-808</t>
  </si>
  <si>
    <t>RHP1-809</t>
  </si>
  <si>
    <t>RHP1-810</t>
  </si>
  <si>
    <t>RHP1-811</t>
  </si>
  <si>
    <t>RHP1-812</t>
  </si>
  <si>
    <t>RHP1-813</t>
  </si>
  <si>
    <t>RHP1-814</t>
  </si>
  <si>
    <t>RHP1-815</t>
  </si>
  <si>
    <t>RHP1-816</t>
  </si>
  <si>
    <t>RHP1-817</t>
  </si>
  <si>
    <t>RHP1-818</t>
  </si>
  <si>
    <t>RHP1-819</t>
  </si>
  <si>
    <t>RHP1-820</t>
  </si>
  <si>
    <t>RHP1-821</t>
  </si>
  <si>
    <t>RHP1-822</t>
  </si>
  <si>
    <t>RHP1-823</t>
  </si>
  <si>
    <t>RHP1-824</t>
  </si>
  <si>
    <t>RHP1-825</t>
  </si>
  <si>
    <t>RHP1-826</t>
  </si>
  <si>
    <t>RHP1-827</t>
  </si>
  <si>
    <t>RHP1-828</t>
  </si>
  <si>
    <t>RHP1-829</t>
  </si>
  <si>
    <t>RHP1-830</t>
  </si>
  <si>
    <t>RHP1-831</t>
  </si>
  <si>
    <t>RHP1-832</t>
  </si>
  <si>
    <t>RHP1-833</t>
  </si>
  <si>
    <t>RHP1-834</t>
  </si>
  <si>
    <t>RHP1-835</t>
  </si>
  <si>
    <t>RHP1-836</t>
  </si>
  <si>
    <t>RHP1-837</t>
  </si>
  <si>
    <t>RHP1-838</t>
  </si>
  <si>
    <t>RHP1-839</t>
  </si>
  <si>
    <t>RHP1-840</t>
  </si>
  <si>
    <t>RHP1-841</t>
  </si>
  <si>
    <t>RHP1-842</t>
  </si>
  <si>
    <t>RHP1-843</t>
  </si>
  <si>
    <t>RHP1-844</t>
  </si>
  <si>
    <t>RHP1-845</t>
  </si>
  <si>
    <t>RHP1-846</t>
  </si>
  <si>
    <t>RHP1-847</t>
  </si>
  <si>
    <t>RHP1-848</t>
  </si>
  <si>
    <t>RHP1-849</t>
  </si>
  <si>
    <t>RHP1-850</t>
  </si>
  <si>
    <t>RHP1-851</t>
  </si>
  <si>
    <t>RHP1-852</t>
  </si>
  <si>
    <t>RHP1-853</t>
  </si>
  <si>
    <t>RHP1-854</t>
  </si>
  <si>
    <t>RHP1-855</t>
  </si>
  <si>
    <t>RHP1-856</t>
  </si>
  <si>
    <t>RHP1-857</t>
  </si>
  <si>
    <t>RHP1-858</t>
  </si>
  <si>
    <t>RHP1-859</t>
  </si>
  <si>
    <t>RHP1-860</t>
  </si>
  <si>
    <t>RHP1-861</t>
  </si>
  <si>
    <t>RHP1-862</t>
  </si>
  <si>
    <t>RHP1-863</t>
  </si>
  <si>
    <t>RHP1-864</t>
  </si>
  <si>
    <t>RHP1-865</t>
  </si>
  <si>
    <t>RHP1-866</t>
  </si>
  <si>
    <t>RHP1-867</t>
  </si>
  <si>
    <t>RHP1-868</t>
  </si>
  <si>
    <t>RHP1-869</t>
  </si>
  <si>
    <t>RHP1-870</t>
  </si>
  <si>
    <t>RHP1-871</t>
  </si>
  <si>
    <t>RHP1-872</t>
  </si>
  <si>
    <t>RHP1-873</t>
  </si>
  <si>
    <t>RHP1-874</t>
  </si>
  <si>
    <t>RHP1-875</t>
  </si>
  <si>
    <t>RHP1-876</t>
  </si>
  <si>
    <t>RHP1-877</t>
  </si>
  <si>
    <t>RHP1-878</t>
  </si>
  <si>
    <t>RHP1-879</t>
  </si>
  <si>
    <t>RHP1-880</t>
  </si>
  <si>
    <t>RHP1-881</t>
  </si>
  <si>
    <t>RHP1-882</t>
  </si>
  <si>
    <t>RHP1-883</t>
  </si>
  <si>
    <t>RHP1-884</t>
  </si>
  <si>
    <t>RHP1-885</t>
  </si>
  <si>
    <t>RHP1-886</t>
  </si>
  <si>
    <t>RHP1-887</t>
  </si>
  <si>
    <t>RHP1-888</t>
  </si>
  <si>
    <t>RHP1-889</t>
  </si>
  <si>
    <t>RHP1-890</t>
  </si>
  <si>
    <t>RHP1-891</t>
  </si>
  <si>
    <t>RHP1-892</t>
  </si>
  <si>
    <t>RHP1-893</t>
  </si>
  <si>
    <t>RHP1-894</t>
  </si>
  <si>
    <t>RHP1-895</t>
  </si>
  <si>
    <t>RHP1-896</t>
  </si>
  <si>
    <t>RHP1-897</t>
  </si>
  <si>
    <t>RHP1-898</t>
  </si>
  <si>
    <t>RHP1-899</t>
  </si>
  <si>
    <t>RHP1-900</t>
  </si>
  <si>
    <t>RHP1-901</t>
  </si>
  <si>
    <t>RHP1-902</t>
  </si>
  <si>
    <t>RHP1-903</t>
  </si>
  <si>
    <t>RHP1-904</t>
  </si>
  <si>
    <t>RHP1-905</t>
  </si>
  <si>
    <t>RHP1-906</t>
  </si>
  <si>
    <t>RHP1-907</t>
  </si>
  <si>
    <t>RHP1-908</t>
  </si>
  <si>
    <t>RHP1-909</t>
  </si>
  <si>
    <t>RHP1-910</t>
  </si>
  <si>
    <t>RHP1-911</t>
  </si>
  <si>
    <t>RHP1-912</t>
  </si>
  <si>
    <t>RHP1-913</t>
  </si>
  <si>
    <t>RHP1-914</t>
  </si>
  <si>
    <t>RHP1-915</t>
  </si>
  <si>
    <t>RHP1-916</t>
  </si>
  <si>
    <t>RHP1-917</t>
  </si>
  <si>
    <t>RHP1-918</t>
  </si>
  <si>
    <t>RHP1-919</t>
  </si>
  <si>
    <t>RHP1-920</t>
  </si>
  <si>
    <t>RHP1-921</t>
  </si>
  <si>
    <t>RHP1-922</t>
  </si>
  <si>
    <t>RHP1-923</t>
  </si>
  <si>
    <t>RHP1-924</t>
  </si>
  <si>
    <t>RHP1-925</t>
  </si>
  <si>
    <t>RHP1-926</t>
  </si>
  <si>
    <t>RHP1-927</t>
  </si>
  <si>
    <t>RHP1-928</t>
  </si>
  <si>
    <t>RHP1-929</t>
  </si>
  <si>
    <t>RHP1-930</t>
  </si>
  <si>
    <t>RHP1-931</t>
  </si>
  <si>
    <t>RHP1-932</t>
  </si>
  <si>
    <t>RHP1-933</t>
  </si>
  <si>
    <t>RHP1-934</t>
  </si>
  <si>
    <t>RHP1-935</t>
  </si>
  <si>
    <t>RHP1-936</t>
  </si>
  <si>
    <t>RHP1-937</t>
  </si>
  <si>
    <t>RHP1-938</t>
  </si>
  <si>
    <t>RHP1-939</t>
  </si>
  <si>
    <t>RHP1-940</t>
  </si>
  <si>
    <t>RHP1-941</t>
  </si>
  <si>
    <t>RHP1-942</t>
  </si>
  <si>
    <t>RHP1-943</t>
  </si>
  <si>
    <t>RHP1-944</t>
  </si>
  <si>
    <t>RHP1-945</t>
  </si>
  <si>
    <t>RHP1-946</t>
  </si>
  <si>
    <t>RHP1-947</t>
  </si>
  <si>
    <t>RHP1-948</t>
  </si>
  <si>
    <t>RHP1-949</t>
  </si>
  <si>
    <t>RHP1-950</t>
  </si>
  <si>
    <t>RHP1-951</t>
  </si>
  <si>
    <t>RHP1-952</t>
  </si>
  <si>
    <t>RHP1-953</t>
  </si>
  <si>
    <t>RHP1-954</t>
  </si>
  <si>
    <t>RHP1-955</t>
  </si>
  <si>
    <t>RHP1-956</t>
  </si>
  <si>
    <t>RHP1-957</t>
  </si>
  <si>
    <t>RHP1-958</t>
  </si>
  <si>
    <t>RHP1-959</t>
  </si>
  <si>
    <t>RHP1-960</t>
  </si>
  <si>
    <t>RHP1-961</t>
  </si>
  <si>
    <t>RHP1-962</t>
  </si>
  <si>
    <t>RHP1-963</t>
  </si>
  <si>
    <t>RHP1-964</t>
  </si>
  <si>
    <t>RHP1-965</t>
  </si>
  <si>
    <t>RHP1-966</t>
  </si>
  <si>
    <t>RHP1-967</t>
  </si>
  <si>
    <t>RHP1-968</t>
  </si>
  <si>
    <t>RHP1-969</t>
  </si>
  <si>
    <t>RHP1-970</t>
  </si>
  <si>
    <t>RHP1-971</t>
  </si>
  <si>
    <t>RHP1-972</t>
  </si>
  <si>
    <t>RHP1-973</t>
  </si>
  <si>
    <t>RHP1-974</t>
  </si>
  <si>
    <t>RHP1-975</t>
  </si>
  <si>
    <t>RHP1-976</t>
  </si>
  <si>
    <t>RHP1-977</t>
  </si>
  <si>
    <t>RHP1-978</t>
  </si>
  <si>
    <t>RHP1-979</t>
  </si>
  <si>
    <t>RHP1-980</t>
  </si>
  <si>
    <t>RHP1-981</t>
  </si>
  <si>
    <t>RHP1-982</t>
  </si>
  <si>
    <t>RHP1-983</t>
  </si>
  <si>
    <t>RHP1-984</t>
  </si>
  <si>
    <t>RHP1-985</t>
  </si>
  <si>
    <t>RHP1-986</t>
  </si>
  <si>
    <t>RHP1-987</t>
  </si>
  <si>
    <t>RHP1-988</t>
  </si>
  <si>
    <t>RHP1-989</t>
  </si>
  <si>
    <t>RHP1-990</t>
  </si>
  <si>
    <t>RHP1-991</t>
  </si>
  <si>
    <t>RHP1-992</t>
  </si>
  <si>
    <t>RHP1-993</t>
  </si>
  <si>
    <t>RHP1-994</t>
  </si>
  <si>
    <t>RHP1-995</t>
  </si>
  <si>
    <t>RHP1-996</t>
  </si>
  <si>
    <t>RHP1-997</t>
  </si>
  <si>
    <t>RHP1-998</t>
  </si>
  <si>
    <t>RHP1-999</t>
  </si>
  <si>
    <t>RHP1-1000</t>
  </si>
  <si>
    <t>RHP1-1001</t>
  </si>
  <si>
    <t>RHP1-1002</t>
  </si>
  <si>
    <t>RHP1-1003</t>
  </si>
  <si>
    <t>RHP1-1004</t>
  </si>
  <si>
    <t>RHP1-1005</t>
  </si>
  <si>
    <t>RHP1-1006</t>
  </si>
  <si>
    <t>RHP1-1007</t>
  </si>
  <si>
    <t>RHP1-1008</t>
  </si>
  <si>
    <t>RHP1-1009</t>
  </si>
  <si>
    <t>RHP1-1010</t>
  </si>
  <si>
    <t>RHP1-1011</t>
  </si>
  <si>
    <t>RHP1-1012</t>
  </si>
  <si>
    <t>RHP1-1013</t>
  </si>
  <si>
    <t>RHP1-1014</t>
  </si>
  <si>
    <t>RHP1-1015</t>
  </si>
  <si>
    <t>RHP1-1016</t>
  </si>
  <si>
    <t>RHP1-1017</t>
  </si>
  <si>
    <t>RHP1-1018</t>
  </si>
  <si>
    <t>RHP1-1019</t>
  </si>
  <si>
    <t>RHP1-1020</t>
  </si>
  <si>
    <t>RHP1-1021</t>
  </si>
  <si>
    <t>RHP1-1022</t>
  </si>
  <si>
    <t>RHP1-1023</t>
  </si>
  <si>
    <t>RHP1-1024</t>
  </si>
  <si>
    <t>RHP1-1025</t>
  </si>
  <si>
    <t>RHP1-1026</t>
  </si>
  <si>
    <t>RHP1-1027</t>
  </si>
  <si>
    <t>RHP1-1028</t>
  </si>
  <si>
    <t>RHP1-1029</t>
  </si>
  <si>
    <t>RHP1-1030</t>
  </si>
  <si>
    <t>RHP1-1031</t>
  </si>
  <si>
    <t>RHP1-1032</t>
  </si>
  <si>
    <t>RHP1-1033</t>
  </si>
  <si>
    <t>RHP1-1034</t>
  </si>
  <si>
    <t>RHP1-1035</t>
  </si>
  <si>
    <t>RHP1-1036</t>
  </si>
  <si>
    <t>RHP1-1037</t>
  </si>
  <si>
    <t>RHP1-1038</t>
  </si>
  <si>
    <t>RHP1-1039</t>
  </si>
  <si>
    <t>RHP1-1040</t>
  </si>
  <si>
    <t>RHP1-1041</t>
  </si>
  <si>
    <t>RHP1-1042</t>
  </si>
  <si>
    <t>RHP1-1043</t>
  </si>
  <si>
    <t>RHP1-1044</t>
  </si>
  <si>
    <t>RHP1-1045</t>
  </si>
  <si>
    <t>RHP1-1046</t>
  </si>
  <si>
    <t>RHP1-1047</t>
  </si>
  <si>
    <t>RHP1-1048</t>
  </si>
  <si>
    <t>RHP1-1049</t>
  </si>
  <si>
    <t>RHP1-1050</t>
  </si>
  <si>
    <t>RHP1-1051</t>
  </si>
  <si>
    <t>RHP1-1052</t>
  </si>
  <si>
    <t>RHP1-1053</t>
  </si>
  <si>
    <t>RHP1-1054</t>
  </si>
  <si>
    <t>RHP1-1055</t>
  </si>
  <si>
    <t>RHP1-1056</t>
  </si>
  <si>
    <t>RHP1-1057</t>
  </si>
  <si>
    <t>RHP1-1058</t>
  </si>
  <si>
    <t>RHP1-1059</t>
  </si>
  <si>
    <t>RHP1-1060</t>
  </si>
  <si>
    <t>RHP1-1061</t>
  </si>
  <si>
    <t>RHP1-1062</t>
  </si>
  <si>
    <t>RHP1-1063</t>
  </si>
  <si>
    <t>RHP1-1064</t>
  </si>
  <si>
    <t>RHP1-1065</t>
  </si>
  <si>
    <t>RHP1-1066</t>
  </si>
  <si>
    <t>RHP1-1067</t>
  </si>
  <si>
    <t>RHP1-1068</t>
  </si>
  <si>
    <t>RHP1-1069</t>
  </si>
  <si>
    <t>RHP1-1070</t>
  </si>
  <si>
    <t>RHP1-1071</t>
  </si>
  <si>
    <t>RHP1-1072</t>
  </si>
  <si>
    <t>RHP1-1073</t>
  </si>
  <si>
    <t>RHP1-1074</t>
  </si>
  <si>
    <t>RHP1-1075</t>
  </si>
  <si>
    <t>RHP1-1076</t>
  </si>
  <si>
    <t>RHP1-1077</t>
  </si>
  <si>
    <t>RHP1-1078</t>
  </si>
  <si>
    <t>RHP1-1079</t>
  </si>
  <si>
    <t>RHP1-1080</t>
  </si>
  <si>
    <t>RHP1-1081</t>
  </si>
  <si>
    <t>RHP1-1082</t>
  </si>
  <si>
    <t>RHP1-1083</t>
  </si>
  <si>
    <t>RHP1-1084</t>
  </si>
  <si>
    <t>RHP1-1085</t>
  </si>
  <si>
    <t>RHP1-1086</t>
  </si>
  <si>
    <t>RHP1-1087</t>
  </si>
  <si>
    <t>RHP1-1088</t>
  </si>
  <si>
    <t>RHP1-1089</t>
  </si>
  <si>
    <t>RHP1-1090</t>
  </si>
  <si>
    <t>RHP1-1091</t>
  </si>
  <si>
    <t>RHP1-1092</t>
  </si>
  <si>
    <t>RHP1-1093</t>
  </si>
  <si>
    <t>RHP1-1094</t>
  </si>
  <si>
    <t>RHP1-1095</t>
  </si>
  <si>
    <t>RHP1-1096</t>
  </si>
  <si>
    <t>RHP1-1097</t>
  </si>
  <si>
    <t>RHP1-1098</t>
  </si>
  <si>
    <t>RHP1-1099</t>
  </si>
  <si>
    <t>RHP1-1100</t>
  </si>
  <si>
    <t>RHP1-1101</t>
  </si>
  <si>
    <t>RHP1-1102</t>
  </si>
  <si>
    <t>RHP1-1103</t>
  </si>
  <si>
    <t>RHP1-1104</t>
  </si>
  <si>
    <t>RHP1-1105</t>
  </si>
  <si>
    <t>RHP1-1106</t>
  </si>
  <si>
    <t>RHP1-1107</t>
  </si>
  <si>
    <t>RHP1-1108</t>
  </si>
  <si>
    <t>RHP1-1109</t>
  </si>
  <si>
    <t>RHP1-1110</t>
  </si>
  <si>
    <t>RHP1-1111</t>
  </si>
  <si>
    <t>RHP1-1112</t>
  </si>
  <si>
    <t>RHP1-1113</t>
  </si>
  <si>
    <t>RHP1-1114</t>
  </si>
  <si>
    <t>RHP1-1115</t>
  </si>
  <si>
    <t>RHP1-1116</t>
  </si>
  <si>
    <t>RHP1-1117</t>
  </si>
  <si>
    <t>RHP1-1118</t>
  </si>
  <si>
    <t>RHP1-1119</t>
  </si>
  <si>
    <t>RHP1-1120</t>
  </si>
  <si>
    <t>RHP1-1121</t>
  </si>
  <si>
    <t>RHP1-1122</t>
  </si>
  <si>
    <t>RHP1-1123</t>
  </si>
  <si>
    <t>RHP1-1124</t>
  </si>
  <si>
    <t>RHP1-1125</t>
  </si>
  <si>
    <t>RHP1-1126</t>
  </si>
  <si>
    <t>RHP1-1127</t>
  </si>
  <si>
    <t>RHP1-1128</t>
  </si>
  <si>
    <t>RHP1-1129</t>
  </si>
  <si>
    <t>RHP1-1130</t>
  </si>
  <si>
    <t>RHP1-1131</t>
  </si>
  <si>
    <t>RHP1-1132</t>
  </si>
  <si>
    <t>RHP1-1133</t>
  </si>
  <si>
    <t>RHP1-1134</t>
  </si>
  <si>
    <t>RHP1-1135</t>
  </si>
  <si>
    <t>RHP1-1136</t>
  </si>
  <si>
    <t>RHP1-1137</t>
  </si>
  <si>
    <t>RHP1-1138</t>
  </si>
  <si>
    <t>RHP1-1139</t>
  </si>
  <si>
    <t>RHP1-1140</t>
  </si>
  <si>
    <t>RHP1-1141</t>
  </si>
  <si>
    <t>RHP1-1142</t>
  </si>
  <si>
    <t>RHP1-1143</t>
  </si>
  <si>
    <t>RHP1-1144</t>
  </si>
  <si>
    <t>RHP1-1145</t>
  </si>
  <si>
    <t>RHP1-1146</t>
  </si>
  <si>
    <t>RHP1-1147</t>
  </si>
  <si>
    <t>RHP1-1148</t>
  </si>
  <si>
    <t>RHP1-1149</t>
  </si>
  <si>
    <t>RHP1-1150</t>
  </si>
  <si>
    <t>RHP1-1151</t>
  </si>
  <si>
    <t>RHP1-1152</t>
  </si>
  <si>
    <t>RHP1-1153</t>
  </si>
  <si>
    <t>RHP1-1154</t>
  </si>
  <si>
    <t>RHP1-1155</t>
  </si>
  <si>
    <t>RHP1-1156</t>
  </si>
  <si>
    <t>RHP1-1157</t>
  </si>
  <si>
    <t>RHP1-1158</t>
  </si>
  <si>
    <t>RHP1-1159</t>
  </si>
  <si>
    <t>RHP1-1160</t>
  </si>
  <si>
    <t>RHP1-1161</t>
  </si>
  <si>
    <t>RHP1-1162</t>
  </si>
  <si>
    <t>RHP1-1163</t>
  </si>
  <si>
    <t>RHP1-1164</t>
  </si>
  <si>
    <t>RHP1-1165</t>
  </si>
  <si>
    <t>RHP1-1166</t>
  </si>
  <si>
    <t>RHP1-1167</t>
  </si>
  <si>
    <t>RHP1-1168</t>
  </si>
  <si>
    <t>RHP1-1169</t>
  </si>
  <si>
    <t>RHP1-1170</t>
  </si>
  <si>
    <t>RHP1-1171</t>
  </si>
  <si>
    <t>RHP1-1172</t>
  </si>
  <si>
    <t>RHP1-1173</t>
  </si>
  <si>
    <t>RHP1-1174</t>
  </si>
  <si>
    <t>RHP1-1175</t>
  </si>
  <si>
    <t>RHP1-1176</t>
  </si>
  <si>
    <t>RHP1-1177</t>
  </si>
  <si>
    <t>RHP1-1178</t>
  </si>
  <si>
    <t>RHP1-1179</t>
  </si>
  <si>
    <t>RHP1-1180</t>
  </si>
  <si>
    <t>RHP1-1181</t>
  </si>
  <si>
    <t>RHP1-1182</t>
  </si>
  <si>
    <t>RHP1-1183</t>
  </si>
  <si>
    <t>RHP1-1184</t>
  </si>
  <si>
    <t>RHP1-1185</t>
  </si>
  <si>
    <t>RHP1-1186</t>
  </si>
  <si>
    <t>RHP1-1187</t>
  </si>
  <si>
    <t>RHP1-1188</t>
  </si>
  <si>
    <t>RHP1-1189</t>
  </si>
  <si>
    <t>RHP1-1190</t>
  </si>
  <si>
    <t>RHP1-1191</t>
  </si>
  <si>
    <t>RHP1-1192</t>
  </si>
  <si>
    <t>RHP1-1193</t>
  </si>
  <si>
    <t>RHP1-1194</t>
  </si>
  <si>
    <t>RHP1-1195</t>
  </si>
  <si>
    <t>RHP1-1196</t>
  </si>
  <si>
    <t>RHP1-1197</t>
  </si>
  <si>
    <t>RHP1-1198</t>
  </si>
  <si>
    <t>RHP1-1199</t>
  </si>
  <si>
    <t>RHP1-1200</t>
  </si>
  <si>
    <t>RHP1-1201</t>
  </si>
  <si>
    <t>RHP1-1202</t>
  </si>
  <si>
    <t>RHP1-1203</t>
  </si>
  <si>
    <t>RHP1-1204</t>
  </si>
  <si>
    <t>RHP1-1205</t>
  </si>
  <si>
    <t>RHP1-1206</t>
  </si>
  <si>
    <t>RHP1-1207</t>
  </si>
  <si>
    <t>RHP1-1208</t>
  </si>
  <si>
    <t>RHP1-1209</t>
  </si>
  <si>
    <t>RHP1-1210</t>
  </si>
  <si>
    <t>RHP1-1211</t>
  </si>
  <si>
    <t>RHP1-1212</t>
  </si>
  <si>
    <t>RHP1-1213</t>
  </si>
  <si>
    <t>RHP1-1214</t>
  </si>
  <si>
    <t>RHP1-1215</t>
  </si>
  <si>
    <t>RHP1-1216</t>
  </si>
  <si>
    <t>RHP1-1217</t>
  </si>
  <si>
    <t>RHP1-1218</t>
  </si>
  <si>
    <t>RHP1-1219</t>
  </si>
  <si>
    <t>RHP1-1220</t>
  </si>
  <si>
    <t>RHP1-1221</t>
  </si>
  <si>
    <t>RHP1-1222</t>
  </si>
  <si>
    <t>RHP1-1223</t>
  </si>
  <si>
    <t>RHP1-1224</t>
  </si>
  <si>
    <t>RHP1-1225</t>
  </si>
  <si>
    <t>RHP1-1226</t>
  </si>
  <si>
    <t>RHP1-1227</t>
  </si>
  <si>
    <t>RHP1-1228</t>
  </si>
  <si>
    <t>RHP1-1229</t>
  </si>
  <si>
    <t>RHP1-1230</t>
  </si>
  <si>
    <t>RHP1-1231</t>
  </si>
  <si>
    <t>RHP1-1232</t>
  </si>
  <si>
    <t>RHP1-1233</t>
  </si>
  <si>
    <t>RHP1-1234</t>
  </si>
  <si>
    <t>RHP1-1235</t>
  </si>
  <si>
    <t>RHP1-1236</t>
  </si>
  <si>
    <t>RHP1-1237</t>
  </si>
  <si>
    <t>RHP1-1238</t>
  </si>
  <si>
    <t>RHP1-1239</t>
  </si>
  <si>
    <t>RHP1-1240</t>
  </si>
  <si>
    <t>RHP1-1241</t>
  </si>
  <si>
    <t>RHP1-1242</t>
  </si>
  <si>
    <t>RHP1-1243</t>
  </si>
  <si>
    <t>RHP1-1244</t>
  </si>
  <si>
    <t>RHP1-1245</t>
  </si>
  <si>
    <t>RHP1-1246</t>
  </si>
  <si>
    <t>RHP1-1247</t>
  </si>
  <si>
    <t>RHP1-1248</t>
  </si>
  <si>
    <t>RHP1-1249</t>
  </si>
  <si>
    <t>RHP1-1250</t>
  </si>
  <si>
    <t>RHP1-1251</t>
  </si>
  <si>
    <t>RHP1-1252</t>
  </si>
  <si>
    <t>RHP1-1253</t>
  </si>
  <si>
    <t>RHP1-1254</t>
  </si>
  <si>
    <t>RHP1-1255</t>
  </si>
  <si>
    <t>RHP1-1256</t>
  </si>
  <si>
    <t>RHP1-1257</t>
  </si>
  <si>
    <t>RHP1-1258</t>
  </si>
  <si>
    <t>RHP1-1259</t>
  </si>
  <si>
    <t>RHP1-1260</t>
  </si>
  <si>
    <t>RHP1-1261</t>
  </si>
  <si>
    <t>RHP1-1262</t>
  </si>
  <si>
    <t>RHP1-1263</t>
  </si>
  <si>
    <t>RHP1-1264</t>
  </si>
  <si>
    <t>RHP1-1265</t>
  </si>
  <si>
    <t>RHP1-1266</t>
  </si>
  <si>
    <t>RHP1-1267</t>
  </si>
  <si>
    <t>RHP1-1268</t>
  </si>
  <si>
    <t>RHP1-1269</t>
  </si>
  <si>
    <t>RHP1-1270</t>
  </si>
  <si>
    <t>RHP1-1271</t>
  </si>
  <si>
    <t>RHP1-1272</t>
  </si>
  <si>
    <t>RHP1-1273</t>
  </si>
  <si>
    <t>RHP1-1274</t>
  </si>
  <si>
    <t>RHP1-1275</t>
  </si>
  <si>
    <t>RHP1-1276</t>
  </si>
  <si>
    <t>RHP1-1277</t>
  </si>
  <si>
    <t>RHP1-1278</t>
  </si>
  <si>
    <t>RHP1-1279</t>
  </si>
  <si>
    <t>RHP1-1280</t>
  </si>
  <si>
    <t>RHP1-1281</t>
  </si>
  <si>
    <t>RHP1-1282</t>
  </si>
  <si>
    <t>RHP1-1283</t>
  </si>
  <si>
    <t>RHP1-1284</t>
  </si>
  <si>
    <t>RHP1-1285</t>
  </si>
  <si>
    <t>RHP1-1286</t>
  </si>
  <si>
    <t>RHP1-1287</t>
  </si>
  <si>
    <t>RHP1-1288</t>
  </si>
  <si>
    <t>RHP1-1289</t>
  </si>
  <si>
    <t>RHP1-1290</t>
  </si>
  <si>
    <t>RHP1-1291</t>
  </si>
  <si>
    <t>RHP1-1292</t>
  </si>
  <si>
    <t>RHP1-1293</t>
  </si>
  <si>
    <t>RHP1-1294</t>
  </si>
  <si>
    <t>RHP1-1295</t>
  </si>
  <si>
    <t>RHP1-1296</t>
  </si>
  <si>
    <t>RHP1-1297</t>
  </si>
  <si>
    <t>RHP1-1298</t>
  </si>
  <si>
    <t>RHP1-1299</t>
  </si>
  <si>
    <t>RHP1-1300</t>
  </si>
  <si>
    <t>RHP1-1301</t>
  </si>
  <si>
    <t>RHP1-1302</t>
  </si>
  <si>
    <t>RHP1-1303</t>
  </si>
  <si>
    <t>RHP1-1304</t>
  </si>
  <si>
    <t>RHP1-1305</t>
  </si>
  <si>
    <t>RHP1-1306</t>
  </si>
  <si>
    <t>RHP1-1307</t>
  </si>
  <si>
    <t>RHP1-1308</t>
  </si>
  <si>
    <t>RHP1-1309</t>
  </si>
  <si>
    <t>RHP1-1310</t>
  </si>
  <si>
    <t>RHP1-1311</t>
  </si>
  <si>
    <t>RHP1-1312</t>
  </si>
  <si>
    <t>RHP1-1313</t>
  </si>
  <si>
    <t>RHP1-1314</t>
  </si>
  <si>
    <t>RHP1-1315</t>
  </si>
  <si>
    <t>RHP1-1316</t>
  </si>
  <si>
    <t>RHP1-1317</t>
  </si>
  <si>
    <t>RHP1-1318</t>
  </si>
  <si>
    <t>RHP1-1319</t>
  </si>
  <si>
    <t>RHP1-1320</t>
  </si>
  <si>
    <t>RHP1-1321</t>
  </si>
  <si>
    <t>RHP1-1322</t>
  </si>
  <si>
    <t>RHP1-1323</t>
  </si>
  <si>
    <t>RHP1-1324</t>
  </si>
  <si>
    <t>RHP1-1325</t>
  </si>
  <si>
    <t>RHP1-1326</t>
  </si>
  <si>
    <t>RHP1-1327</t>
  </si>
  <si>
    <t>RHP1-1328</t>
  </si>
  <si>
    <t>RHP1-1329</t>
  </si>
  <si>
    <t>RHP1-1330</t>
  </si>
  <si>
    <t>RHP1-1331</t>
  </si>
  <si>
    <t>RHP1-1332</t>
  </si>
  <si>
    <t>RHP1-1333</t>
  </si>
  <si>
    <t>RHP1-1334</t>
  </si>
  <si>
    <t>RHP1-1335</t>
  </si>
  <si>
    <t>RHP1-1336</t>
  </si>
  <si>
    <t>RHP1-1337</t>
  </si>
  <si>
    <t>RHP1-1338</t>
  </si>
  <si>
    <t>RHP1-1339</t>
  </si>
  <si>
    <t>RHP1-1340</t>
  </si>
  <si>
    <t>RHP1-1341</t>
  </si>
  <si>
    <t>RHP1-1342</t>
  </si>
  <si>
    <t>RHP1-1343</t>
  </si>
  <si>
    <t>RHP1-1344</t>
  </si>
  <si>
    <t>RHP1-1345</t>
  </si>
  <si>
    <t>RHP1-1346</t>
  </si>
  <si>
    <t>RHP1-1347</t>
  </si>
  <si>
    <t>RHP1-1348</t>
  </si>
  <si>
    <t>RHP1-1349</t>
  </si>
  <si>
    <t>RHP1-1350</t>
  </si>
  <si>
    <t>RHP1-1351</t>
  </si>
  <si>
    <t>RHP1-1352</t>
  </si>
  <si>
    <t>RHP1-1353</t>
  </si>
  <si>
    <t>RHP1-1354</t>
  </si>
  <si>
    <t>RHP1-1355</t>
  </si>
  <si>
    <t>RHP1-1356</t>
  </si>
  <si>
    <t>RHP1-1357</t>
  </si>
  <si>
    <t>RHP1-1358</t>
  </si>
  <si>
    <t>RHP1-1359</t>
  </si>
  <si>
    <t>RHP1-1360</t>
  </si>
  <si>
    <t>RHP1-1361</t>
  </si>
  <si>
    <t>RHP1-1362</t>
  </si>
  <si>
    <t>RHP1-1363</t>
  </si>
  <si>
    <t>RHP1-1364</t>
  </si>
  <si>
    <t>RHP1-1365</t>
  </si>
  <si>
    <t>RHP1-1366</t>
  </si>
  <si>
    <t>RHP1-1367</t>
  </si>
  <si>
    <t>RHP1-1368</t>
  </si>
  <si>
    <t>RHP1-1369</t>
  </si>
  <si>
    <t>RHP1-1370</t>
  </si>
  <si>
    <t>RHP1-1371</t>
  </si>
  <si>
    <t>RHP1-1372</t>
  </si>
  <si>
    <t>RHP1-1373</t>
  </si>
  <si>
    <t>RHP1-1374</t>
  </si>
  <si>
    <t>RHP1-1375</t>
  </si>
  <si>
    <t>RHP1-1376</t>
  </si>
  <si>
    <t>RHP1-1377</t>
  </si>
  <si>
    <t>RHP1-1378</t>
  </si>
  <si>
    <t>RHP1-1379</t>
  </si>
  <si>
    <t>RHP1-1380</t>
  </si>
  <si>
    <t>RHP1-1381</t>
  </si>
  <si>
    <t>RHP1-1382</t>
  </si>
  <si>
    <t>RHP1-1383</t>
  </si>
  <si>
    <t>RHP1-1384</t>
  </si>
  <si>
    <t>RHP1-1385</t>
  </si>
  <si>
    <t>RHP1-1386</t>
  </si>
  <si>
    <t>RHP1-1387</t>
  </si>
  <si>
    <t>RHP1-1388</t>
  </si>
  <si>
    <t>RHP1-1389</t>
  </si>
  <si>
    <t>RHP1-1390</t>
  </si>
  <si>
    <t>RHP1-1391</t>
  </si>
  <si>
    <t>RHP1-1392</t>
  </si>
  <si>
    <t>RHP1-1393</t>
  </si>
  <si>
    <t>RHP1-1394</t>
  </si>
  <si>
    <t>RHP1-1395</t>
  </si>
  <si>
    <t>RHP1-1396</t>
  </si>
  <si>
    <t>RHP1-1397</t>
  </si>
  <si>
    <t>RHP1-1398</t>
  </si>
  <si>
    <t>RHP1-1399</t>
  </si>
  <si>
    <t>RHP1-1400</t>
  </si>
  <si>
    <t>RHP1-1401</t>
  </si>
  <si>
    <t>RHP1-1402</t>
  </si>
  <si>
    <t>RHP1-1403</t>
  </si>
  <si>
    <t>RHP1-1404</t>
  </si>
  <si>
    <t>RHP1-1405</t>
  </si>
  <si>
    <t>RHP1-1406</t>
  </si>
  <si>
    <t>RHP1-1407</t>
  </si>
  <si>
    <t>RHP1-1408</t>
  </si>
  <si>
    <t>RHP1-1409</t>
  </si>
  <si>
    <t>RHP1-1410</t>
  </si>
  <si>
    <t>RHP1-1411</t>
  </si>
  <si>
    <t>RHP1-1412</t>
  </si>
  <si>
    <t>RHP1-1413</t>
  </si>
  <si>
    <t>RHP1-1414</t>
  </si>
  <si>
    <t>RHP1-1415</t>
  </si>
  <si>
    <t>RHP1-1416</t>
  </si>
  <si>
    <t>RHP1-1417</t>
  </si>
  <si>
    <t>RHP1-1418</t>
  </si>
  <si>
    <t>RHP1-1419</t>
  </si>
  <si>
    <t>RHP1-1420</t>
  </si>
  <si>
    <t>RHP1-1421</t>
  </si>
  <si>
    <t>RHP1-1422</t>
  </si>
  <si>
    <t>RHP1-1423</t>
  </si>
  <si>
    <t>RHP1-1424</t>
  </si>
  <si>
    <t>RHP1-1425</t>
  </si>
  <si>
    <t>RHP1-1426</t>
  </si>
  <si>
    <t>RHP1-1427</t>
  </si>
  <si>
    <t>RHP1-1428</t>
  </si>
  <si>
    <t>RHP1-1429</t>
  </si>
  <si>
    <t>RHP1-1430</t>
  </si>
  <si>
    <t>RHP1-1431</t>
  </si>
  <si>
    <t>RHP1-1432</t>
  </si>
  <si>
    <t>RHP1-1433</t>
  </si>
  <si>
    <t>RHP1-1434</t>
  </si>
  <si>
    <t>RHP1-1435</t>
  </si>
  <si>
    <t>RHP1-1436</t>
  </si>
  <si>
    <t>RHP1-1437</t>
  </si>
  <si>
    <t>RHP1-1438</t>
  </si>
  <si>
    <t>RHP1-1439</t>
  </si>
  <si>
    <t>RHP1-1440</t>
  </si>
  <si>
    <t>RHP1-1441</t>
  </si>
  <si>
    <t>RHP1-1442</t>
  </si>
  <si>
    <t>RHP1-1443</t>
  </si>
  <si>
    <t>RHP1-1444</t>
  </si>
  <si>
    <t>RHP1-1445</t>
  </si>
  <si>
    <t>RHP1-1446</t>
  </si>
  <si>
    <t>RHP1-1447</t>
  </si>
  <si>
    <t>RHP1-1448</t>
  </si>
  <si>
    <t>RHP1-1449</t>
  </si>
  <si>
    <t>RHP1-1450</t>
  </si>
  <si>
    <t>RHP1-1451</t>
  </si>
  <si>
    <t>RHP1-1452</t>
  </si>
  <si>
    <t>RHP1-1453</t>
  </si>
  <si>
    <t>RHP1-1454</t>
  </si>
  <si>
    <t>RHP1-1455</t>
  </si>
  <si>
    <t>RHP1-1456</t>
  </si>
  <si>
    <t>RHP1-1457</t>
  </si>
  <si>
    <t>RHP1-1458</t>
  </si>
  <si>
    <t>RHP1-1459</t>
  </si>
  <si>
    <t>RHP1-1460</t>
  </si>
  <si>
    <t>RHP1-1461</t>
  </si>
  <si>
    <t>RHP1-1462</t>
  </si>
  <si>
    <t>RHP1-1463</t>
  </si>
  <si>
    <t>RHP1-1464</t>
  </si>
  <si>
    <t>RHP1-1465</t>
  </si>
  <si>
    <t>RHP1-1466</t>
  </si>
  <si>
    <t>RHP1-1467</t>
  </si>
  <si>
    <t>RHP1-1468</t>
  </si>
  <si>
    <t>RHP1-1469</t>
  </si>
  <si>
    <t>RHP1-1470</t>
  </si>
  <si>
    <t>RHP1-1471</t>
  </si>
  <si>
    <t>RHP1-1472</t>
  </si>
  <si>
    <t>RHP1-1473</t>
  </si>
  <si>
    <t>RHP1-1474</t>
  </si>
  <si>
    <t>RHP1-1475</t>
  </si>
  <si>
    <t>RHP1-1476</t>
  </si>
  <si>
    <t>RHP1-1477</t>
  </si>
  <si>
    <t>RHP1-1478</t>
  </si>
  <si>
    <t>RHP1-1479</t>
  </si>
  <si>
    <t>RHP1-1480</t>
  </si>
  <si>
    <t>RHP1-1481</t>
  </si>
  <si>
    <t>RHP1-1482</t>
  </si>
  <si>
    <t>RHP1-1483</t>
  </si>
  <si>
    <t>RHP1-1484</t>
  </si>
  <si>
    <t>RHP1-1485</t>
  </si>
  <si>
    <t>RHP1-1486</t>
  </si>
  <si>
    <t>RHP1-1487</t>
  </si>
  <si>
    <t>RHP1-1488</t>
  </si>
  <si>
    <t>RHP1-1489</t>
  </si>
  <si>
    <t>RHP1-1490</t>
  </si>
  <si>
    <t>RHP1-1491</t>
  </si>
  <si>
    <t>RHP1-1492</t>
  </si>
  <si>
    <t>RHP1-1493</t>
  </si>
  <si>
    <t>RHP1-1494</t>
  </si>
  <si>
    <t>RHP1-1495</t>
  </si>
  <si>
    <t>RHP1-1496</t>
  </si>
  <si>
    <t>RHP1-1497</t>
  </si>
  <si>
    <t>RHP1-1498</t>
  </si>
  <si>
    <t>RHP1-1499</t>
  </si>
  <si>
    <t>RHP1-1500</t>
  </si>
  <si>
    <t xml:space="preserve">Précédente unité (nom, et label, numéro le cas échéant) </t>
  </si>
  <si>
    <t>Pas de ZRR</t>
  </si>
  <si>
    <t>AUTRE SECTION</t>
  </si>
  <si>
    <t>AVIGNON U - AU</t>
  </si>
  <si>
    <t>EBS : EUROPEAN BUSINESS SCHOOL</t>
  </si>
  <si>
    <t>(1) Nomenclatures à respecter, sélectionner les informations dans le menu déroulant, si besoin voir feuille Nomenclatures, menu "Nomenclatures RH" pour le détail. On considère comme "membres associés" les personnes disposant d'une convention d'accueil.</t>
  </si>
  <si>
    <t>Corps-grade menu déroulant suivant le type d'emploi
(1)</t>
  </si>
  <si>
    <t>EA 4670</t>
  </si>
  <si>
    <t>201220325V</t>
  </si>
  <si>
    <t>RHD-1</t>
  </si>
  <si>
    <t>RHD-2</t>
  </si>
  <si>
    <t>RHD-3</t>
  </si>
  <si>
    <t>RHD-4</t>
  </si>
  <si>
    <t>RHD-5</t>
  </si>
  <si>
    <t>RHD-6</t>
  </si>
  <si>
    <t>RHD-7</t>
  </si>
  <si>
    <t>RHD-8</t>
  </si>
  <si>
    <t>RHD-9</t>
  </si>
  <si>
    <t>RHD-10</t>
  </si>
  <si>
    <t>RHD-11</t>
  </si>
  <si>
    <t>RHD-12</t>
  </si>
  <si>
    <t>RHD-13</t>
  </si>
  <si>
    <t>RHD-14</t>
  </si>
  <si>
    <t>RHD-15</t>
  </si>
  <si>
    <t>RHD-16</t>
  </si>
  <si>
    <t>RHD-17</t>
  </si>
  <si>
    <t>RHD-18</t>
  </si>
  <si>
    <t>RHD-19</t>
  </si>
  <si>
    <t>RHD-20</t>
  </si>
  <si>
    <t>RHD-21</t>
  </si>
  <si>
    <t>RHD-22</t>
  </si>
  <si>
    <t>RHD-23</t>
  </si>
  <si>
    <t>RHD-24</t>
  </si>
  <si>
    <t>RHD-25</t>
  </si>
  <si>
    <t>RHD-26</t>
  </si>
  <si>
    <t>RHD-27</t>
  </si>
  <si>
    <t>RHD-28</t>
  </si>
  <si>
    <t>RHD-29</t>
  </si>
  <si>
    <t>RHD-30</t>
  </si>
  <si>
    <t>RHD-31</t>
  </si>
  <si>
    <t>RHD-32</t>
  </si>
  <si>
    <t>RHD-33</t>
  </si>
  <si>
    <t>RHD-34</t>
  </si>
  <si>
    <t>RHD-35</t>
  </si>
  <si>
    <t>RHD-36</t>
  </si>
  <si>
    <t>RHD-37</t>
  </si>
  <si>
    <t>RHD-38</t>
  </si>
  <si>
    <t>RHD-39</t>
  </si>
  <si>
    <t>RHD-40</t>
  </si>
  <si>
    <t>RHD-41</t>
  </si>
  <si>
    <t>RHD-42</t>
  </si>
  <si>
    <t>RHD-43</t>
  </si>
  <si>
    <t>RHD-44</t>
  </si>
  <si>
    <t>RHD-45</t>
  </si>
  <si>
    <t>RHD-46</t>
  </si>
  <si>
    <t>RHD-47</t>
  </si>
  <si>
    <t>RHD-48</t>
  </si>
  <si>
    <t>RHD-49</t>
  </si>
  <si>
    <t>RHD-50</t>
  </si>
  <si>
    <t>RHD-51</t>
  </si>
  <si>
    <t>RHD-52</t>
  </si>
  <si>
    <t>RHD-53</t>
  </si>
  <si>
    <t>RHD-54</t>
  </si>
  <si>
    <t>RHD-55</t>
  </si>
  <si>
    <t>RHD-56</t>
  </si>
  <si>
    <t>RHD-57</t>
  </si>
  <si>
    <t>RHD-58</t>
  </si>
  <si>
    <t>RHD-59</t>
  </si>
  <si>
    <t>RHD-60</t>
  </si>
  <si>
    <t>RHD-61</t>
  </si>
  <si>
    <t>RHD-62</t>
  </si>
  <si>
    <t>RHD-63</t>
  </si>
  <si>
    <t>RHD-64</t>
  </si>
  <si>
    <t>RHD-65</t>
  </si>
  <si>
    <t>RHD-66</t>
  </si>
  <si>
    <t>RHD-67</t>
  </si>
  <si>
    <t>RHD-68</t>
  </si>
  <si>
    <t>RHD-69</t>
  </si>
  <si>
    <t>RHD-70</t>
  </si>
  <si>
    <t>RHD-71</t>
  </si>
  <si>
    <t>RHD-72</t>
  </si>
  <si>
    <t>RHD-73</t>
  </si>
  <si>
    <t>RHD-74</t>
  </si>
  <si>
    <t>RHD-75</t>
  </si>
  <si>
    <t>RHD-76</t>
  </si>
  <si>
    <t>RHD-77</t>
  </si>
  <si>
    <t>RHD-78</t>
  </si>
  <si>
    <t>RHD-79</t>
  </si>
  <si>
    <t>RHD-80</t>
  </si>
  <si>
    <t>RHD-81</t>
  </si>
  <si>
    <t>RHD-82</t>
  </si>
  <si>
    <t>RHD-83</t>
  </si>
  <si>
    <t>RHD-84</t>
  </si>
  <si>
    <t>RHD-85</t>
  </si>
  <si>
    <t>RHD-86</t>
  </si>
  <si>
    <t>RHD-87</t>
  </si>
  <si>
    <t>RHD-88</t>
  </si>
  <si>
    <t>RHD-89</t>
  </si>
  <si>
    <t>RHD-90</t>
  </si>
  <si>
    <t>RHD-91</t>
  </si>
  <si>
    <t>RHD-92</t>
  </si>
  <si>
    <t>RHD-93</t>
  </si>
  <si>
    <t>RHD-94</t>
  </si>
  <si>
    <t>RHD-95</t>
  </si>
  <si>
    <t>RHD-96</t>
  </si>
  <si>
    <t>RHD-97</t>
  </si>
  <si>
    <t>RHD-98</t>
  </si>
  <si>
    <t>RHD-99</t>
  </si>
  <si>
    <t>RHD-100</t>
  </si>
  <si>
    <t>RHD-101</t>
  </si>
  <si>
    <t>RHD-102</t>
  </si>
  <si>
    <t>RHD-103</t>
  </si>
  <si>
    <t>RHD-104</t>
  </si>
  <si>
    <t>RHD-105</t>
  </si>
  <si>
    <t>RHD-106</t>
  </si>
  <si>
    <t>RHD-107</t>
  </si>
  <si>
    <t>RHD-108</t>
  </si>
  <si>
    <t>RHD-109</t>
  </si>
  <si>
    <t>RHD-110</t>
  </si>
  <si>
    <t>RHD-111</t>
  </si>
  <si>
    <t>RHD-112</t>
  </si>
  <si>
    <t>RHD-113</t>
  </si>
  <si>
    <t>RHD-114</t>
  </si>
  <si>
    <t>RHD-115</t>
  </si>
  <si>
    <t>RHD-116</t>
  </si>
  <si>
    <t>RHD-117</t>
  </si>
  <si>
    <t>RHD-118</t>
  </si>
  <si>
    <t>RHD-119</t>
  </si>
  <si>
    <t>RHD-120</t>
  </si>
  <si>
    <t>RHD-121</t>
  </si>
  <si>
    <t>RHD-122</t>
  </si>
  <si>
    <t>RHD-123</t>
  </si>
  <si>
    <t>RHD-124</t>
  </si>
  <si>
    <t>RHD-125</t>
  </si>
  <si>
    <t>RHD-126</t>
  </si>
  <si>
    <t>RHD-127</t>
  </si>
  <si>
    <t>RHD-128</t>
  </si>
  <si>
    <t>RHD-129</t>
  </si>
  <si>
    <t>RHD-130</t>
  </si>
  <si>
    <t>RHD-131</t>
  </si>
  <si>
    <t>RHD-132</t>
  </si>
  <si>
    <t>RHD-133</t>
  </si>
  <si>
    <t>RHD-134</t>
  </si>
  <si>
    <t>RHD-135</t>
  </si>
  <si>
    <t>RHD-136</t>
  </si>
  <si>
    <t>RHD-137</t>
  </si>
  <si>
    <t>RHD-138</t>
  </si>
  <si>
    <t>RHD-139</t>
  </si>
  <si>
    <t>RHD-140</t>
  </si>
  <si>
    <t>RHD-141</t>
  </si>
  <si>
    <t>RHD-142</t>
  </si>
  <si>
    <t>RHD-143</t>
  </si>
  <si>
    <t>RHD-144</t>
  </si>
  <si>
    <t>RHD-145</t>
  </si>
  <si>
    <t>RHD-146</t>
  </si>
  <si>
    <t>RHD-147</t>
  </si>
  <si>
    <t>RHD-148</t>
  </si>
  <si>
    <t>RHD-149</t>
  </si>
  <si>
    <t>RHD-150</t>
  </si>
  <si>
    <t>RHD-151</t>
  </si>
  <si>
    <t>RHD-152</t>
  </si>
  <si>
    <t>RHD-153</t>
  </si>
  <si>
    <t>RHD-154</t>
  </si>
  <si>
    <t>RHD-155</t>
  </si>
  <si>
    <t>RHD-156</t>
  </si>
  <si>
    <t>RHD-157</t>
  </si>
  <si>
    <t>RHD-158</t>
  </si>
  <si>
    <t>RHD-159</t>
  </si>
  <si>
    <t>RHD-160</t>
  </si>
  <si>
    <t>RHD-161</t>
  </si>
  <si>
    <t>RHD-162</t>
  </si>
  <si>
    <t>RHD-163</t>
  </si>
  <si>
    <t>RHD-164</t>
  </si>
  <si>
    <t>RHD-165</t>
  </si>
  <si>
    <t>RHD-166</t>
  </si>
  <si>
    <t>RHD-167</t>
  </si>
  <si>
    <t>RHD-168</t>
  </si>
  <si>
    <t>RHD-169</t>
  </si>
  <si>
    <t>RHD-170</t>
  </si>
  <si>
    <t>RHD-171</t>
  </si>
  <si>
    <t>RHD-172</t>
  </si>
  <si>
    <t>RHD-173</t>
  </si>
  <si>
    <t>RHD-174</t>
  </si>
  <si>
    <t>RHD-175</t>
  </si>
  <si>
    <t>RHD-176</t>
  </si>
  <si>
    <t>RHD-177</t>
  </si>
  <si>
    <t>RHD-178</t>
  </si>
  <si>
    <t>RHD-179</t>
  </si>
  <si>
    <t>RHD-180</t>
  </si>
  <si>
    <t>RHD-181</t>
  </si>
  <si>
    <t>RHD-182</t>
  </si>
  <si>
    <t>RHD-183</t>
  </si>
  <si>
    <t>RHD-184</t>
  </si>
  <si>
    <t>RHD-185</t>
  </si>
  <si>
    <t>RHD-186</t>
  </si>
  <si>
    <t>RHD-187</t>
  </si>
  <si>
    <t>RHD-188</t>
  </si>
  <si>
    <t>RHD-189</t>
  </si>
  <si>
    <t>RHD-190</t>
  </si>
  <si>
    <t>RHD-191</t>
  </si>
  <si>
    <t>RHD-192</t>
  </si>
  <si>
    <t>RHD-193</t>
  </si>
  <si>
    <t>RHD-194</t>
  </si>
  <si>
    <t>RHD-195</t>
  </si>
  <si>
    <t>RHD-196</t>
  </si>
  <si>
    <t>RHD-197</t>
  </si>
  <si>
    <t>RHD-198</t>
  </si>
  <si>
    <t>RHD-199</t>
  </si>
  <si>
    <t>RHD-200</t>
  </si>
  <si>
    <t>RHD-201</t>
  </si>
  <si>
    <t>RHD-202</t>
  </si>
  <si>
    <t>RHD-203</t>
  </si>
  <si>
    <t>RHD-204</t>
  </si>
  <si>
    <t>RHD-205</t>
  </si>
  <si>
    <t>RHD-206</t>
  </si>
  <si>
    <t>RHD-207</t>
  </si>
  <si>
    <t>RHD-208</t>
  </si>
  <si>
    <t>RHD-209</t>
  </si>
  <si>
    <t>RHD-210</t>
  </si>
  <si>
    <t>RHD-211</t>
  </si>
  <si>
    <t>RHD-212</t>
  </si>
  <si>
    <t>RHD-213</t>
  </si>
  <si>
    <t>RHD-214</t>
  </si>
  <si>
    <t>RHD-215</t>
  </si>
  <si>
    <t>RHD-216</t>
  </si>
  <si>
    <t>RHD-217</t>
  </si>
  <si>
    <t>RHD-218</t>
  </si>
  <si>
    <t>RHD-219</t>
  </si>
  <si>
    <t>RHD-220</t>
  </si>
  <si>
    <t>RHD-221</t>
  </si>
  <si>
    <t>RHD-222</t>
  </si>
  <si>
    <t>RHD-223</t>
  </si>
  <si>
    <t>RHD-224</t>
  </si>
  <si>
    <t>RHD-225</t>
  </si>
  <si>
    <t>RHD-226</t>
  </si>
  <si>
    <t>RHD-227</t>
  </si>
  <si>
    <t>RHD-228</t>
  </si>
  <si>
    <t>RHD-229</t>
  </si>
  <si>
    <t>RHD-230</t>
  </si>
  <si>
    <t>RHD-231</t>
  </si>
  <si>
    <t>RHD-232</t>
  </si>
  <si>
    <t>RHD-233</t>
  </si>
  <si>
    <t>RHD-234</t>
  </si>
  <si>
    <t>RHD-235</t>
  </si>
  <si>
    <t>RHD-236</t>
  </si>
  <si>
    <t>RHD-237</t>
  </si>
  <si>
    <t>RHD-238</t>
  </si>
  <si>
    <t>RHD-239</t>
  </si>
  <si>
    <t>RHD-240</t>
  </si>
  <si>
    <t>RHD-241</t>
  </si>
  <si>
    <t>RHD-242</t>
  </si>
  <si>
    <t>RHD-243</t>
  </si>
  <si>
    <t>RHD-244</t>
  </si>
  <si>
    <t>RHD-245</t>
  </si>
  <si>
    <t>RHD-246</t>
  </si>
  <si>
    <t>RHD-247</t>
  </si>
  <si>
    <t>RHD-248</t>
  </si>
  <si>
    <t>RHD-249</t>
  </si>
  <si>
    <t>RHD-250</t>
  </si>
  <si>
    <t>RHD-251</t>
  </si>
  <si>
    <t>RHD-252</t>
  </si>
  <si>
    <t>RHD-253</t>
  </si>
  <si>
    <t>RHD-254</t>
  </si>
  <si>
    <t>RHD-255</t>
  </si>
  <si>
    <t>RHD-256</t>
  </si>
  <si>
    <t>RHD-257</t>
  </si>
  <si>
    <t>RHD-258</t>
  </si>
  <si>
    <t>RHD-259</t>
  </si>
  <si>
    <t>RHD-260</t>
  </si>
  <si>
    <t>RHD-261</t>
  </si>
  <si>
    <t>RHD-262</t>
  </si>
  <si>
    <t>RHD-263</t>
  </si>
  <si>
    <t>RHD-264</t>
  </si>
  <si>
    <t>RHD-265</t>
  </si>
  <si>
    <t>RHD-266</t>
  </si>
  <si>
    <t>RHD-267</t>
  </si>
  <si>
    <t>RHD-268</t>
  </si>
  <si>
    <t>RHD-269</t>
  </si>
  <si>
    <t>RHD-270</t>
  </si>
  <si>
    <t>RHD-271</t>
  </si>
  <si>
    <t>RHD-272</t>
  </si>
  <si>
    <t>RHD-273</t>
  </si>
  <si>
    <t>RHD-274</t>
  </si>
  <si>
    <t>RHD-275</t>
  </si>
  <si>
    <t>RHD-276</t>
  </si>
  <si>
    <t>RHD-277</t>
  </si>
  <si>
    <t>RHD-278</t>
  </si>
  <si>
    <t>RHD-279</t>
  </si>
  <si>
    <t>RHD-280</t>
  </si>
  <si>
    <t>RHD-281</t>
  </si>
  <si>
    <t>RHD-282</t>
  </si>
  <si>
    <t>RHD-283</t>
  </si>
  <si>
    <t>RHD-284</t>
  </si>
  <si>
    <t>RHD-285</t>
  </si>
  <si>
    <t>RHD-286</t>
  </si>
  <si>
    <t>RHD-287</t>
  </si>
  <si>
    <t>RHD-288</t>
  </si>
  <si>
    <t>RHD-289</t>
  </si>
  <si>
    <t>RHD-290</t>
  </si>
  <si>
    <t>RHD-291</t>
  </si>
  <si>
    <t>RHD-292</t>
  </si>
  <si>
    <t>RHD-293</t>
  </si>
  <si>
    <t>RHD-294</t>
  </si>
  <si>
    <t>RHD-295</t>
  </si>
  <si>
    <t>RHD-296</t>
  </si>
  <si>
    <t>RHD-297</t>
  </si>
  <si>
    <t>RHD-298</t>
  </si>
  <si>
    <t>RHD-299</t>
  </si>
  <si>
    <t>RHD-300</t>
  </si>
  <si>
    <t>RHD-301</t>
  </si>
  <si>
    <t>RHD-302</t>
  </si>
  <si>
    <t>RHD-303</t>
  </si>
  <si>
    <t>RHD-304</t>
  </si>
  <si>
    <t>RHD-305</t>
  </si>
  <si>
    <t>RHD-306</t>
  </si>
  <si>
    <t>RHD-307</t>
  </si>
  <si>
    <t>RHD-308</t>
  </si>
  <si>
    <t>RHD-309</t>
  </si>
  <si>
    <t>RHD-310</t>
  </si>
  <si>
    <t>RHD-311</t>
  </si>
  <si>
    <t>RHD-312</t>
  </si>
  <si>
    <t>RHD-313</t>
  </si>
  <si>
    <t>RHD-314</t>
  </si>
  <si>
    <t>RHD-315</t>
  </si>
  <si>
    <t>RHD-316</t>
  </si>
  <si>
    <t>RHD-317</t>
  </si>
  <si>
    <t>RHD-318</t>
  </si>
  <si>
    <t>RHD-319</t>
  </si>
  <si>
    <t>RHD-320</t>
  </si>
  <si>
    <t>RHD-321</t>
  </si>
  <si>
    <t>RHD-322</t>
  </si>
  <si>
    <t>RHD-323</t>
  </si>
  <si>
    <t>RHD-324</t>
  </si>
  <si>
    <t>RHD-325</t>
  </si>
  <si>
    <t>RHD-326</t>
  </si>
  <si>
    <t>RHD-327</t>
  </si>
  <si>
    <t>RHD-328</t>
  </si>
  <si>
    <t>RHD-329</t>
  </si>
  <si>
    <t>RHD-330</t>
  </si>
  <si>
    <t>RHD-331</t>
  </si>
  <si>
    <t>RHD-332</t>
  </si>
  <si>
    <t>RHD-333</t>
  </si>
  <si>
    <t>RHD-334</t>
  </si>
  <si>
    <t>RHD-335</t>
  </si>
  <si>
    <t>RHD-336</t>
  </si>
  <si>
    <t>RHD-337</t>
  </si>
  <si>
    <t>RHD-338</t>
  </si>
  <si>
    <t>RHD-339</t>
  </si>
  <si>
    <t>RHD-340</t>
  </si>
  <si>
    <t>RHD-341</t>
  </si>
  <si>
    <t>RHD-342</t>
  </si>
  <si>
    <t>RHD-343</t>
  </si>
  <si>
    <t>RHD-344</t>
  </si>
  <si>
    <t>RHD-345</t>
  </si>
  <si>
    <t>RHD-346</t>
  </si>
  <si>
    <t>RHD-347</t>
  </si>
  <si>
    <t>RHD-348</t>
  </si>
  <si>
    <t>RHD-349</t>
  </si>
  <si>
    <t>RHD-350</t>
  </si>
  <si>
    <t>RHD-351</t>
  </si>
  <si>
    <t>RHD-352</t>
  </si>
  <si>
    <t>RHD-353</t>
  </si>
  <si>
    <t>RHD-354</t>
  </si>
  <si>
    <t>RHD-355</t>
  </si>
  <si>
    <t>RHD-356</t>
  </si>
  <si>
    <t>RHD-357</t>
  </si>
  <si>
    <t>RHD-358</t>
  </si>
  <si>
    <t>RHD-359</t>
  </si>
  <si>
    <t>RHD-360</t>
  </si>
  <si>
    <t>RHD-361</t>
  </si>
  <si>
    <t>RHD-362</t>
  </si>
  <si>
    <t>RHD-363</t>
  </si>
  <si>
    <t>RHD-364</t>
  </si>
  <si>
    <t>RHD-365</t>
  </si>
  <si>
    <t>RHD-366</t>
  </si>
  <si>
    <t>RHD-367</t>
  </si>
  <si>
    <t>RHD-368</t>
  </si>
  <si>
    <t>RHD-369</t>
  </si>
  <si>
    <t>RHD-370</t>
  </si>
  <si>
    <t>RHD-371</t>
  </si>
  <si>
    <t>RHD-372</t>
  </si>
  <si>
    <t>RHD-373</t>
  </si>
  <si>
    <t>RHD-374</t>
  </si>
  <si>
    <t>RHD-375</t>
  </si>
  <si>
    <t>RHD-376</t>
  </si>
  <si>
    <t>RHD-377</t>
  </si>
  <si>
    <t>RHD-378</t>
  </si>
  <si>
    <t>RHD-379</t>
  </si>
  <si>
    <t>RHD-380</t>
  </si>
  <si>
    <t>RHD-381</t>
  </si>
  <si>
    <t>RHD-382</t>
  </si>
  <si>
    <t>RHD-383</t>
  </si>
  <si>
    <t>RHD-384</t>
  </si>
  <si>
    <t>RHD-385</t>
  </si>
  <si>
    <t>RHD-386</t>
  </si>
  <si>
    <t>RHD-387</t>
  </si>
  <si>
    <t>RHD-388</t>
  </si>
  <si>
    <t>RHD-389</t>
  </si>
  <si>
    <t>RHD-390</t>
  </si>
  <si>
    <t>RHD-391</t>
  </si>
  <si>
    <t>RHD-392</t>
  </si>
  <si>
    <t>RHD-393</t>
  </si>
  <si>
    <t>RHD-394</t>
  </si>
  <si>
    <t>RHD-395</t>
  </si>
  <si>
    <t>RHD-396</t>
  </si>
  <si>
    <t>RHD-397</t>
  </si>
  <si>
    <t>RHD-398</t>
  </si>
  <si>
    <t>RHD-399</t>
  </si>
  <si>
    <t>RHD-400</t>
  </si>
  <si>
    <t>RHD-401</t>
  </si>
  <si>
    <t>RHD-402</t>
  </si>
  <si>
    <t>RHD-403</t>
  </si>
  <si>
    <t>RHD-404</t>
  </si>
  <si>
    <t>RHD-405</t>
  </si>
  <si>
    <t>RHD-406</t>
  </si>
  <si>
    <t>RHD-407</t>
  </si>
  <si>
    <t>RHD-408</t>
  </si>
  <si>
    <t>RHD-409</t>
  </si>
  <si>
    <t>RHD-410</t>
  </si>
  <si>
    <t>RHD-411</t>
  </si>
  <si>
    <t>RHD-412</t>
  </si>
  <si>
    <t>RHD-413</t>
  </si>
  <si>
    <t>RHD-414</t>
  </si>
  <si>
    <t>RHD-415</t>
  </si>
  <si>
    <t>RHD-416</t>
  </si>
  <si>
    <t>RHD-417</t>
  </si>
  <si>
    <t>RHD-418</t>
  </si>
  <si>
    <t>RHD-419</t>
  </si>
  <si>
    <t>RHD-420</t>
  </si>
  <si>
    <t>RHD-421</t>
  </si>
  <si>
    <t>RHD-422</t>
  </si>
  <si>
    <t>RHD-423</t>
  </si>
  <si>
    <t>RHD-424</t>
  </si>
  <si>
    <t>RHD-425</t>
  </si>
  <si>
    <t>RHD-426</t>
  </si>
  <si>
    <t>RHD-427</t>
  </si>
  <si>
    <t>RHD-428</t>
  </si>
  <si>
    <t>RHD-429</t>
  </si>
  <si>
    <t>RHD-430</t>
  </si>
  <si>
    <t>RHD-431</t>
  </si>
  <si>
    <t>RHD-432</t>
  </si>
  <si>
    <t>RHD-433</t>
  </si>
  <si>
    <t>RHD-434</t>
  </si>
  <si>
    <t>RHD-435</t>
  </si>
  <si>
    <t>RHD-436</t>
  </si>
  <si>
    <t>RHD-437</t>
  </si>
  <si>
    <t>RHD-438</t>
  </si>
  <si>
    <t>RHD-439</t>
  </si>
  <si>
    <t>RHD-440</t>
  </si>
  <si>
    <t>RHD-441</t>
  </si>
  <si>
    <t>RHD-442</t>
  </si>
  <si>
    <t>RHD-443</t>
  </si>
  <si>
    <t>RHD-444</t>
  </si>
  <si>
    <t>RHD-445</t>
  </si>
  <si>
    <t>RHD-446</t>
  </si>
  <si>
    <t>RHD-447</t>
  </si>
  <si>
    <t>RHD-448</t>
  </si>
  <si>
    <t>RHD-449</t>
  </si>
  <si>
    <t>RHD-450</t>
  </si>
  <si>
    <t>RHD-451</t>
  </si>
  <si>
    <t>RHD-452</t>
  </si>
  <si>
    <t>RHD-453</t>
  </si>
  <si>
    <t>RHD-454</t>
  </si>
  <si>
    <t>RHD-455</t>
  </si>
  <si>
    <t>RHD-456</t>
  </si>
  <si>
    <t>RHD-457</t>
  </si>
  <si>
    <t>RHD-458</t>
  </si>
  <si>
    <t>RHD-459</t>
  </si>
  <si>
    <t>RHD-460</t>
  </si>
  <si>
    <t>RHD-461</t>
  </si>
  <si>
    <t>RHD-462</t>
  </si>
  <si>
    <t>RHD-463</t>
  </si>
  <si>
    <t>RHD-464</t>
  </si>
  <si>
    <t>RHD-465</t>
  </si>
  <si>
    <t>RHD-466</t>
  </si>
  <si>
    <t>RHD-467</t>
  </si>
  <si>
    <t>RHD-468</t>
  </si>
  <si>
    <t>RHD-469</t>
  </si>
  <si>
    <t>RHD-470</t>
  </si>
  <si>
    <t>RHD-471</t>
  </si>
  <si>
    <t>RHD-472</t>
  </si>
  <si>
    <t>RHD-473</t>
  </si>
  <si>
    <t>RHD-474</t>
  </si>
  <si>
    <t>RHD-475</t>
  </si>
  <si>
    <t>RHD-476</t>
  </si>
  <si>
    <t>RHD-477</t>
  </si>
  <si>
    <t>RHD-478</t>
  </si>
  <si>
    <t>RHD-479</t>
  </si>
  <si>
    <t>RHD-480</t>
  </si>
  <si>
    <t>RHD-481</t>
  </si>
  <si>
    <t>RHD-482</t>
  </si>
  <si>
    <t>RHD-483</t>
  </si>
  <si>
    <t>RHD-484</t>
  </si>
  <si>
    <t>RHD-485</t>
  </si>
  <si>
    <t>RHD-486</t>
  </si>
  <si>
    <t>RHD-487</t>
  </si>
  <si>
    <t>RHD-488</t>
  </si>
  <si>
    <t>RHD-489</t>
  </si>
  <si>
    <t>RHD-490</t>
  </si>
  <si>
    <t>RHD-491</t>
  </si>
  <si>
    <t>RHD-492</t>
  </si>
  <si>
    <t>RHD-493</t>
  </si>
  <si>
    <t>RHD-494</t>
  </si>
  <si>
    <t>RHD-495</t>
  </si>
  <si>
    <t>RHD-496</t>
  </si>
  <si>
    <t>RHD-497</t>
  </si>
  <si>
    <t>RHD-498</t>
  </si>
  <si>
    <t>RHD-499</t>
  </si>
  <si>
    <t>RHD-500</t>
  </si>
  <si>
    <t>RHD-501</t>
  </si>
  <si>
    <t>RHD-502</t>
  </si>
  <si>
    <t>RHD-503</t>
  </si>
  <si>
    <t>RHD-504</t>
  </si>
  <si>
    <t>RHD-505</t>
  </si>
  <si>
    <t>RHD-506</t>
  </si>
  <si>
    <t>RHD-507</t>
  </si>
  <si>
    <t>RHD-508</t>
  </si>
  <si>
    <t>RHD-509</t>
  </si>
  <si>
    <t>RHD-510</t>
  </si>
  <si>
    <t>RHD-511</t>
  </si>
  <si>
    <t>RHD-512</t>
  </si>
  <si>
    <t>RHD-513</t>
  </si>
  <si>
    <t>RHD-514</t>
  </si>
  <si>
    <t>RHD-515</t>
  </si>
  <si>
    <t>RHD-516</t>
  </si>
  <si>
    <t>RHD-517</t>
  </si>
  <si>
    <t>RHD-518</t>
  </si>
  <si>
    <t>RHD-519</t>
  </si>
  <si>
    <t>RHD-520</t>
  </si>
  <si>
    <t>RHD-521</t>
  </si>
  <si>
    <t>RHD-522</t>
  </si>
  <si>
    <t>RHD-523</t>
  </si>
  <si>
    <t>RHD-524</t>
  </si>
  <si>
    <t>RHD-525</t>
  </si>
  <si>
    <t>RHD-526</t>
  </si>
  <si>
    <t>RHD-527</t>
  </si>
  <si>
    <t>RHD-528</t>
  </si>
  <si>
    <t>RHD-529</t>
  </si>
  <si>
    <t>RHD-530</t>
  </si>
  <si>
    <t>RHD-531</t>
  </si>
  <si>
    <t>RHD-532</t>
  </si>
  <si>
    <t>RHD-533</t>
  </si>
  <si>
    <t>RHD-534</t>
  </si>
  <si>
    <t>RHD-535</t>
  </si>
  <si>
    <t>RHD-536</t>
  </si>
  <si>
    <t>RHD-537</t>
  </si>
  <si>
    <t>RHD-538</t>
  </si>
  <si>
    <t>RHD-539</t>
  </si>
  <si>
    <t>RHD-540</t>
  </si>
  <si>
    <t>RHD-541</t>
  </si>
  <si>
    <t>RHD-542</t>
  </si>
  <si>
    <t>RHD-543</t>
  </si>
  <si>
    <t>RHD-544</t>
  </si>
  <si>
    <t>RHD-545</t>
  </si>
  <si>
    <t>RHD-546</t>
  </si>
  <si>
    <t>RHD-547</t>
  </si>
  <si>
    <t>RHD-548</t>
  </si>
  <si>
    <t>RHD-549</t>
  </si>
  <si>
    <t>RHD-550</t>
  </si>
  <si>
    <t>RHD-551</t>
  </si>
  <si>
    <t>RHD-552</t>
  </si>
  <si>
    <t>RHD-553</t>
  </si>
  <si>
    <t>RHD-554</t>
  </si>
  <si>
    <t>RHD-555</t>
  </si>
  <si>
    <t>RHD-556</t>
  </si>
  <si>
    <t>RHD-557</t>
  </si>
  <si>
    <t>RHD-558</t>
  </si>
  <si>
    <t>RHD-559</t>
  </si>
  <si>
    <t>RHD-560</t>
  </si>
  <si>
    <t>RHD-561</t>
  </si>
  <si>
    <t>RHD-562</t>
  </si>
  <si>
    <t>RHD-563</t>
  </si>
  <si>
    <t>RHD-564</t>
  </si>
  <si>
    <t>RHD-565</t>
  </si>
  <si>
    <t>RHD-566</t>
  </si>
  <si>
    <t>RHD-567</t>
  </si>
  <si>
    <t>RHD-568</t>
  </si>
  <si>
    <t>RHD-569</t>
  </si>
  <si>
    <t>RHD-570</t>
  </si>
  <si>
    <t>RHD-571</t>
  </si>
  <si>
    <t>RHD-572</t>
  </si>
  <si>
    <t>RHD-573</t>
  </si>
  <si>
    <t>RHD-574</t>
  </si>
  <si>
    <t>RHD-575</t>
  </si>
  <si>
    <t>RHD-576</t>
  </si>
  <si>
    <t>RHD-577</t>
  </si>
  <si>
    <t>RHD-578</t>
  </si>
  <si>
    <t>RHD-579</t>
  </si>
  <si>
    <t>RHD-580</t>
  </si>
  <si>
    <t>RHD-581</t>
  </si>
  <si>
    <t>RHD-582</t>
  </si>
  <si>
    <t>RHD-583</t>
  </si>
  <si>
    <t>RHD-584</t>
  </si>
  <si>
    <t>RHD-585</t>
  </si>
  <si>
    <t>RHD-586</t>
  </si>
  <si>
    <t>RHD-587</t>
  </si>
  <si>
    <t>RHD-588</t>
  </si>
  <si>
    <t>RHD-589</t>
  </si>
  <si>
    <t>RHD-590</t>
  </si>
  <si>
    <t>RHD-591</t>
  </si>
  <si>
    <t>RHD-592</t>
  </si>
  <si>
    <t>RHD-593</t>
  </si>
  <si>
    <t>RHD-594</t>
  </si>
  <si>
    <t>RHD-595</t>
  </si>
  <si>
    <t>RHD-596</t>
  </si>
  <si>
    <t>RHD-597</t>
  </si>
  <si>
    <t>RHD-598</t>
  </si>
  <si>
    <t>RHD-599</t>
  </si>
  <si>
    <t>RHD-600</t>
  </si>
  <si>
    <t>RHD-601</t>
  </si>
  <si>
    <t>RHD-602</t>
  </si>
  <si>
    <t>RHD-603</t>
  </si>
  <si>
    <t>RHD-604</t>
  </si>
  <si>
    <t>RHD-605</t>
  </si>
  <si>
    <t>RHD-606</t>
  </si>
  <si>
    <t>RHD-607</t>
  </si>
  <si>
    <t>RHD-608</t>
  </si>
  <si>
    <t>RHD-609</t>
  </si>
  <si>
    <t>RHD-610</t>
  </si>
  <si>
    <t>RHD-611</t>
  </si>
  <si>
    <t>RHD-612</t>
  </si>
  <si>
    <t>RHD-613</t>
  </si>
  <si>
    <t>RHD-614</t>
  </si>
  <si>
    <t>RHD-615</t>
  </si>
  <si>
    <t>RHD-616</t>
  </si>
  <si>
    <t>RHD-617</t>
  </si>
  <si>
    <t>RHD-618</t>
  </si>
  <si>
    <t>RHD-619</t>
  </si>
  <si>
    <t>RHD-620</t>
  </si>
  <si>
    <t>RHD-621</t>
  </si>
  <si>
    <t>RHD-622</t>
  </si>
  <si>
    <t>RHD-623</t>
  </si>
  <si>
    <t>RHD-624</t>
  </si>
  <si>
    <t>RHD-625</t>
  </si>
  <si>
    <t>RHD-626</t>
  </si>
  <si>
    <t>RHD-627</t>
  </si>
  <si>
    <t>RHD-628</t>
  </si>
  <si>
    <t>RHD-629</t>
  </si>
  <si>
    <t>RHD-630</t>
  </si>
  <si>
    <t>RHD-631</t>
  </si>
  <si>
    <t>RHD-632</t>
  </si>
  <si>
    <t>RHD-633</t>
  </si>
  <si>
    <t>RHD-634</t>
  </si>
  <si>
    <t>RHD-635</t>
  </si>
  <si>
    <t>RHD-636</t>
  </si>
  <si>
    <t>RHD-637</t>
  </si>
  <si>
    <t>RHD-638</t>
  </si>
  <si>
    <t>RHD-639</t>
  </si>
  <si>
    <t>RHD-640</t>
  </si>
  <si>
    <t>RHD-641</t>
  </si>
  <si>
    <t>RHD-642</t>
  </si>
  <si>
    <t>RHD-643</t>
  </si>
  <si>
    <t>RHD-644</t>
  </si>
  <si>
    <t>RHD-645</t>
  </si>
  <si>
    <t>RHD-646</t>
  </si>
  <si>
    <t>RHD-647</t>
  </si>
  <si>
    <t>RHD-648</t>
  </si>
  <si>
    <t>RHD-649</t>
  </si>
  <si>
    <t>RHD-650</t>
  </si>
  <si>
    <t>RHD-651</t>
  </si>
  <si>
    <t>RHD-652</t>
  </si>
  <si>
    <t>RHD-653</t>
  </si>
  <si>
    <t>RHD-654</t>
  </si>
  <si>
    <t>RHD-655</t>
  </si>
  <si>
    <t>RHD-656</t>
  </si>
  <si>
    <t>RHD-657</t>
  </si>
  <si>
    <t>RHD-658</t>
  </si>
  <si>
    <t>RHD-659</t>
  </si>
  <si>
    <t>RHD-660</t>
  </si>
  <si>
    <t>RHD-661</t>
  </si>
  <si>
    <t>RHD-662</t>
  </si>
  <si>
    <t>RHD-663</t>
  </si>
  <si>
    <t>RHD-664</t>
  </si>
  <si>
    <t>RHD-665</t>
  </si>
  <si>
    <t>RHD-666</t>
  </si>
  <si>
    <t>RHD-667</t>
  </si>
  <si>
    <t>RHD-668</t>
  </si>
  <si>
    <t>RHD-669</t>
  </si>
  <si>
    <t>RHD-670</t>
  </si>
  <si>
    <t>RHD-671</t>
  </si>
  <si>
    <t>RHD-672</t>
  </si>
  <si>
    <t>RHD-673</t>
  </si>
  <si>
    <t>RHD-674</t>
  </si>
  <si>
    <t>RHD-675</t>
  </si>
  <si>
    <t>RHD-676</t>
  </si>
  <si>
    <t>RHD-677</t>
  </si>
  <si>
    <t>RHD-678</t>
  </si>
  <si>
    <t>RHD-679</t>
  </si>
  <si>
    <t>RHD-680</t>
  </si>
  <si>
    <t>RHD-681</t>
  </si>
  <si>
    <t>RHD-682</t>
  </si>
  <si>
    <t>RHD-683</t>
  </si>
  <si>
    <t>RHD-684</t>
  </si>
  <si>
    <t>RHD-685</t>
  </si>
  <si>
    <t>RHD-686</t>
  </si>
  <si>
    <t>RHD-687</t>
  </si>
  <si>
    <t>RHD-688</t>
  </si>
  <si>
    <t>RHD-689</t>
  </si>
  <si>
    <t>RHD-690</t>
  </si>
  <si>
    <t>RHD-691</t>
  </si>
  <si>
    <t>RHD-692</t>
  </si>
  <si>
    <t>RHD-693</t>
  </si>
  <si>
    <t>RHD-694</t>
  </si>
  <si>
    <t>RHD-695</t>
  </si>
  <si>
    <t>RHD-696</t>
  </si>
  <si>
    <t>RHD-697</t>
  </si>
  <si>
    <t>RHD-698</t>
  </si>
  <si>
    <t>RHD-699</t>
  </si>
  <si>
    <t>RHD-700</t>
  </si>
  <si>
    <t>RHD-701</t>
  </si>
  <si>
    <t>RHD-702</t>
  </si>
  <si>
    <t>RHD-703</t>
  </si>
  <si>
    <t>RHD-704</t>
  </si>
  <si>
    <t>RHD-705</t>
  </si>
  <si>
    <t>RHD-706</t>
  </si>
  <si>
    <t>RHD-707</t>
  </si>
  <si>
    <t>RHD-708</t>
  </si>
  <si>
    <t>RHD-709</t>
  </si>
  <si>
    <t>RHD-710</t>
  </si>
  <si>
    <t>RHD-711</t>
  </si>
  <si>
    <t>RHD-712</t>
  </si>
  <si>
    <t>RHD-713</t>
  </si>
  <si>
    <t>RHD-714</t>
  </si>
  <si>
    <t>RHD-715</t>
  </si>
  <si>
    <t>RHD-716</t>
  </si>
  <si>
    <t>RHD-717</t>
  </si>
  <si>
    <t>RHD-718</t>
  </si>
  <si>
    <t>RHD-719</t>
  </si>
  <si>
    <t>RHD-720</t>
  </si>
  <si>
    <t>RHD-721</t>
  </si>
  <si>
    <t>RHD-722</t>
  </si>
  <si>
    <t>RHD-723</t>
  </si>
  <si>
    <t>RHD-724</t>
  </si>
  <si>
    <t>RHD-725</t>
  </si>
  <si>
    <t>RHD-726</t>
  </si>
  <si>
    <t>RHD-727</t>
  </si>
  <si>
    <t>RHD-728</t>
  </si>
  <si>
    <t>RHD-729</t>
  </si>
  <si>
    <t>RHD-730</t>
  </si>
  <si>
    <t>RHD-731</t>
  </si>
  <si>
    <t>RHD-732</t>
  </si>
  <si>
    <t>RHD-733</t>
  </si>
  <si>
    <t>RHD-734</t>
  </si>
  <si>
    <t>RHD-735</t>
  </si>
  <si>
    <t>RHD-736</t>
  </si>
  <si>
    <t>RHD-737</t>
  </si>
  <si>
    <t>RHD-738</t>
  </si>
  <si>
    <t>RHD-739</t>
  </si>
  <si>
    <t>RHD-740</t>
  </si>
  <si>
    <t>RHD-741</t>
  </si>
  <si>
    <t>RHD-742</t>
  </si>
  <si>
    <t>RHD-743</t>
  </si>
  <si>
    <t>RHD-744</t>
  </si>
  <si>
    <t>RHD-745</t>
  </si>
  <si>
    <t>RHD-746</t>
  </si>
  <si>
    <t>RHD-747</t>
  </si>
  <si>
    <t>RHD-748</t>
  </si>
  <si>
    <t>RHD-749</t>
  </si>
  <si>
    <t>RHD-750</t>
  </si>
  <si>
    <t>RHD-751</t>
  </si>
  <si>
    <t>RHD-752</t>
  </si>
  <si>
    <t>RHD-753</t>
  </si>
  <si>
    <t>RHD-754</t>
  </si>
  <si>
    <t>RHD-755</t>
  </si>
  <si>
    <t>RHD-756</t>
  </si>
  <si>
    <t>RHD-757</t>
  </si>
  <si>
    <t>RHD-758</t>
  </si>
  <si>
    <t>RHD-759</t>
  </si>
  <si>
    <t>RHD-760</t>
  </si>
  <si>
    <t>RHD-761</t>
  </si>
  <si>
    <t>RHD-762</t>
  </si>
  <si>
    <t>RHD-763</t>
  </si>
  <si>
    <t>RHD-764</t>
  </si>
  <si>
    <t>RHD-765</t>
  </si>
  <si>
    <t>RHD-766</t>
  </si>
  <si>
    <t>RHD-767</t>
  </si>
  <si>
    <t>RHD-768</t>
  </si>
  <si>
    <t>RHD-769</t>
  </si>
  <si>
    <t>RHD-770</t>
  </si>
  <si>
    <t>RHD-771</t>
  </si>
  <si>
    <t>RHD-772</t>
  </si>
  <si>
    <t>RHD-773</t>
  </si>
  <si>
    <t>RHD-774</t>
  </si>
  <si>
    <t>RHD-775</t>
  </si>
  <si>
    <t>RHD-776</t>
  </si>
  <si>
    <t>RHD-777</t>
  </si>
  <si>
    <t>RHD-778</t>
  </si>
  <si>
    <t>RHD-779</t>
  </si>
  <si>
    <t>RHD-780</t>
  </si>
  <si>
    <t>RHD-781</t>
  </si>
  <si>
    <t>RHD-782</t>
  </si>
  <si>
    <t>RHD-783</t>
  </si>
  <si>
    <t>RHD-784</t>
  </si>
  <si>
    <t>RHD-785</t>
  </si>
  <si>
    <t>RHD-786</t>
  </si>
  <si>
    <t>RHD-787</t>
  </si>
  <si>
    <t>RHD-788</t>
  </si>
  <si>
    <t>RHD-789</t>
  </si>
  <si>
    <t>RHD-790</t>
  </si>
  <si>
    <t>RHD-791</t>
  </si>
  <si>
    <t>RHD-792</t>
  </si>
  <si>
    <t>RHD-793</t>
  </si>
  <si>
    <t>RHD-794</t>
  </si>
  <si>
    <t>RHD-795</t>
  </si>
  <si>
    <t>RHD-796</t>
  </si>
  <si>
    <t>RHD-797</t>
  </si>
  <si>
    <t>RHD-798</t>
  </si>
  <si>
    <t>RHD-799</t>
  </si>
  <si>
    <t>RHD-800</t>
  </si>
  <si>
    <t>RHD-801</t>
  </si>
  <si>
    <t>RHD-802</t>
  </si>
  <si>
    <t>RHD-803</t>
  </si>
  <si>
    <t>RHD-804</t>
  </si>
  <si>
    <t>RHD-805</t>
  </si>
  <si>
    <t>RHD-806</t>
  </si>
  <si>
    <t>RHD-807</t>
  </si>
  <si>
    <t>RHD-808</t>
  </si>
  <si>
    <t>RHD-809</t>
  </si>
  <si>
    <t>RHD-810</t>
  </si>
  <si>
    <t>RHD-811</t>
  </si>
  <si>
    <t>RHD-812</t>
  </si>
  <si>
    <t>RHD-813</t>
  </si>
  <si>
    <t>RHD-814</t>
  </si>
  <si>
    <t>RHD-815</t>
  </si>
  <si>
    <t>RHD-816</t>
  </si>
  <si>
    <t>RHD-817</t>
  </si>
  <si>
    <t>RHD-818</t>
  </si>
  <si>
    <t>RHD-819</t>
  </si>
  <si>
    <t>RHD-820</t>
  </si>
  <si>
    <t>RHD-821</t>
  </si>
  <si>
    <t>RHD-822</t>
  </si>
  <si>
    <t>RHD-823</t>
  </si>
  <si>
    <t>RHD-824</t>
  </si>
  <si>
    <t>RHD-825</t>
  </si>
  <si>
    <t>RHD-826</t>
  </si>
  <si>
    <t>RHD-827</t>
  </si>
  <si>
    <t>RHD-828</t>
  </si>
  <si>
    <t>RHD-829</t>
  </si>
  <si>
    <t>RHD-830</t>
  </si>
  <si>
    <t>RHD-831</t>
  </si>
  <si>
    <t>RHD-832</t>
  </si>
  <si>
    <t>RHD-833</t>
  </si>
  <si>
    <t>RHD-834</t>
  </si>
  <si>
    <t>RHD-835</t>
  </si>
  <si>
    <t>RHD-836</t>
  </si>
  <si>
    <t>RHD-837</t>
  </si>
  <si>
    <t>RHD-838</t>
  </si>
  <si>
    <t>RHD-839</t>
  </si>
  <si>
    <t>RHD-840</t>
  </si>
  <si>
    <t>RHD-841</t>
  </si>
  <si>
    <t>RHD-842</t>
  </si>
  <si>
    <t>RHD-843</t>
  </si>
  <si>
    <t>RHD-844</t>
  </si>
  <si>
    <t>RHD-845</t>
  </si>
  <si>
    <t>RHD-846</t>
  </si>
  <si>
    <t>RHD-847</t>
  </si>
  <si>
    <t>RHD-848</t>
  </si>
  <si>
    <t>RHD-849</t>
  </si>
  <si>
    <t>RHD-850</t>
  </si>
  <si>
    <t>RHD-851</t>
  </si>
  <si>
    <t>RHD-852</t>
  </si>
  <si>
    <t>RHD-853</t>
  </si>
  <si>
    <t>RHD-854</t>
  </si>
  <si>
    <t>RHD-855</t>
  </si>
  <si>
    <t>RHD-856</t>
  </si>
  <si>
    <t>RHD-857</t>
  </si>
  <si>
    <t>RHD-858</t>
  </si>
  <si>
    <t>RHD-859</t>
  </si>
  <si>
    <t>RHD-860</t>
  </si>
  <si>
    <t>RHD-861</t>
  </si>
  <si>
    <t>RHD-862</t>
  </si>
  <si>
    <t>RHD-863</t>
  </si>
  <si>
    <t>RHD-864</t>
  </si>
  <si>
    <t>RHD-865</t>
  </si>
  <si>
    <t>RHD-866</t>
  </si>
  <si>
    <t>RHD-867</t>
  </si>
  <si>
    <t>RHD-868</t>
  </si>
  <si>
    <t>RHD-869</t>
  </si>
  <si>
    <t>RHD-870</t>
  </si>
  <si>
    <t>RHD-871</t>
  </si>
  <si>
    <t>RHD-872</t>
  </si>
  <si>
    <t>RHD-873</t>
  </si>
  <si>
    <t>RHD-874</t>
  </si>
  <si>
    <t>RHD-875</t>
  </si>
  <si>
    <t>RHD-876</t>
  </si>
  <si>
    <t>RHD-877</t>
  </si>
  <si>
    <t>RHD-878</t>
  </si>
  <si>
    <t>RHD-879</t>
  </si>
  <si>
    <t>RHD-880</t>
  </si>
  <si>
    <t>RHD-881</t>
  </si>
  <si>
    <t>RHD-882</t>
  </si>
  <si>
    <t>RHD-883</t>
  </si>
  <si>
    <t>RHD-884</t>
  </si>
  <si>
    <t>RHD-885</t>
  </si>
  <si>
    <t>RHD-886</t>
  </si>
  <si>
    <t>RHD-887</t>
  </si>
  <si>
    <t>RHD-888</t>
  </si>
  <si>
    <t>RHD-889</t>
  </si>
  <si>
    <t>RHD-890</t>
  </si>
  <si>
    <t>RHD-891</t>
  </si>
  <si>
    <t>RHD-892</t>
  </si>
  <si>
    <t>RHD-893</t>
  </si>
  <si>
    <t>RHD-894</t>
  </si>
  <si>
    <t>RHD-895</t>
  </si>
  <si>
    <t>RHD-896</t>
  </si>
  <si>
    <t>RHD-897</t>
  </si>
  <si>
    <t>RHD-898</t>
  </si>
  <si>
    <t>RHD-899</t>
  </si>
  <si>
    <t>RHD-900</t>
  </si>
  <si>
    <t>RHD-901</t>
  </si>
  <si>
    <t>RHD-902</t>
  </si>
  <si>
    <t>RHD-903</t>
  </si>
  <si>
    <t>RHD-904</t>
  </si>
  <si>
    <t>RHD-905</t>
  </si>
  <si>
    <t>RHD-906</t>
  </si>
  <si>
    <t>RHD-907</t>
  </si>
  <si>
    <t>RHD-908</t>
  </si>
  <si>
    <t>RHD-909</t>
  </si>
  <si>
    <t>RHD-910</t>
  </si>
  <si>
    <t>RHD-911</t>
  </si>
  <si>
    <t>RHD-912</t>
  </si>
  <si>
    <t>RHD-913</t>
  </si>
  <si>
    <t>RHD-914</t>
  </si>
  <si>
    <t>RHD-915</t>
  </si>
  <si>
    <t>RHD-916</t>
  </si>
  <si>
    <t>RHD-917</t>
  </si>
  <si>
    <t>RHD-918</t>
  </si>
  <si>
    <t>RHD-919</t>
  </si>
  <si>
    <t>RHD-920</t>
  </si>
  <si>
    <t>RHD-921</t>
  </si>
  <si>
    <t>RHD-922</t>
  </si>
  <si>
    <t>RHD-923</t>
  </si>
  <si>
    <t>RHD-924</t>
  </si>
  <si>
    <t>RHD-925</t>
  </si>
  <si>
    <t>RHD-926</t>
  </si>
  <si>
    <t>RHD-927</t>
  </si>
  <si>
    <t>RHD-928</t>
  </si>
  <si>
    <t>RHD-929</t>
  </si>
  <si>
    <t>RHD-930</t>
  </si>
  <si>
    <t>RHD-931</t>
  </si>
  <si>
    <t>RHD-932</t>
  </si>
  <si>
    <t>RHD-933</t>
  </si>
  <si>
    <t>RHD-934</t>
  </si>
  <si>
    <t>RHD-935</t>
  </si>
  <si>
    <t>RHD-936</t>
  </si>
  <si>
    <t>RHD-937</t>
  </si>
  <si>
    <t>RHD-938</t>
  </si>
  <si>
    <t>RHD-939</t>
  </si>
  <si>
    <t>RHD-940</t>
  </si>
  <si>
    <t>RHD-941</t>
  </si>
  <si>
    <t>RHD-942</t>
  </si>
  <si>
    <t>RHD-943</t>
  </si>
  <si>
    <t>RHD-944</t>
  </si>
  <si>
    <t>RHD-945</t>
  </si>
  <si>
    <t>RHD-946</t>
  </si>
  <si>
    <t>RHD-947</t>
  </si>
  <si>
    <t>RHD-948</t>
  </si>
  <si>
    <t>RHD-949</t>
  </si>
  <si>
    <t>RHD-950</t>
  </si>
  <si>
    <t>RHD-951</t>
  </si>
  <si>
    <t>RHD-952</t>
  </si>
  <si>
    <t>RHD-953</t>
  </si>
  <si>
    <t>RHD-954</t>
  </si>
  <si>
    <t>RHD-955</t>
  </si>
  <si>
    <t>RHD-956</t>
  </si>
  <si>
    <t>RHD-957</t>
  </si>
  <si>
    <t>RHD-958</t>
  </si>
  <si>
    <t>RHD-959</t>
  </si>
  <si>
    <t>RHD-960</t>
  </si>
  <si>
    <t>RHD-961</t>
  </si>
  <si>
    <t>RHD-962</t>
  </si>
  <si>
    <t>RHD-963</t>
  </si>
  <si>
    <t>RHD-964</t>
  </si>
  <si>
    <t>RHD-965</t>
  </si>
  <si>
    <t>RHD-966</t>
  </si>
  <si>
    <t>RHD-967</t>
  </si>
  <si>
    <t>RHD-968</t>
  </si>
  <si>
    <t>RHD-969</t>
  </si>
  <si>
    <t>RHD-970</t>
  </si>
  <si>
    <t>RHD-971</t>
  </si>
  <si>
    <t>RHD-972</t>
  </si>
  <si>
    <t>RHD-973</t>
  </si>
  <si>
    <t>RHD-974</t>
  </si>
  <si>
    <t>RHD-975</t>
  </si>
  <si>
    <t>RHD-976</t>
  </si>
  <si>
    <t>RHD-977</t>
  </si>
  <si>
    <t>RHD-978</t>
  </si>
  <si>
    <t>RHD-979</t>
  </si>
  <si>
    <t>RHD-980</t>
  </si>
  <si>
    <t>RHD-981</t>
  </si>
  <si>
    <t>RHD-982</t>
  </si>
  <si>
    <t>RHD-983</t>
  </si>
  <si>
    <t>RHD-984</t>
  </si>
  <si>
    <t>RHD-985</t>
  </si>
  <si>
    <t>RHD-986</t>
  </si>
  <si>
    <t>RHD-987</t>
  </si>
  <si>
    <t>RHD-988</t>
  </si>
  <si>
    <t>RHD-989</t>
  </si>
  <si>
    <t>RHD-990</t>
  </si>
  <si>
    <t>RHD-991</t>
  </si>
  <si>
    <t>RHD-992</t>
  </si>
  <si>
    <t>RHD-993</t>
  </si>
  <si>
    <t>RHD-994</t>
  </si>
  <si>
    <t>RHD-995</t>
  </si>
  <si>
    <t>RHD-996</t>
  </si>
  <si>
    <t>RHD-997</t>
  </si>
  <si>
    <t>RHD-998</t>
  </si>
  <si>
    <t>RHD-999</t>
  </si>
  <si>
    <t>RHD-1000</t>
  </si>
  <si>
    <t>RHD-1001</t>
  </si>
  <si>
    <t>RHD-1002</t>
  </si>
  <si>
    <t>RHD-1003</t>
  </si>
  <si>
    <t>RHD-1004</t>
  </si>
  <si>
    <t>RHD-1005</t>
  </si>
  <si>
    <t>RHD-1006</t>
  </si>
  <si>
    <t>RHD-1007</t>
  </si>
  <si>
    <t>RHD-1008</t>
  </si>
  <si>
    <t>RHD-1009</t>
  </si>
  <si>
    <t>RHD-1010</t>
  </si>
  <si>
    <t>RHD-1011</t>
  </si>
  <si>
    <t>RHD-1012</t>
  </si>
  <si>
    <t>RHD-1013</t>
  </si>
  <si>
    <t>RHD-1014</t>
  </si>
  <si>
    <t>RHD-1015</t>
  </si>
  <si>
    <t>RHD-1016</t>
  </si>
  <si>
    <t>RHD-1017</t>
  </si>
  <si>
    <t>RHD-1018</t>
  </si>
  <si>
    <t>RHD-1019</t>
  </si>
  <si>
    <t>RHD-1020</t>
  </si>
  <si>
    <t>RHD-1021</t>
  </si>
  <si>
    <t>RHD-1022</t>
  </si>
  <si>
    <t>RHD-1023</t>
  </si>
  <si>
    <t>RHD-1024</t>
  </si>
  <si>
    <t>RHD-1025</t>
  </si>
  <si>
    <t>RHD-1026</t>
  </si>
  <si>
    <t>RHD-1027</t>
  </si>
  <si>
    <t>RHD-1028</t>
  </si>
  <si>
    <t>RHD-1029</t>
  </si>
  <si>
    <t>RHD-1030</t>
  </si>
  <si>
    <t>RHD-1031</t>
  </si>
  <si>
    <t>RHD-1032</t>
  </si>
  <si>
    <t>RHD-1033</t>
  </si>
  <si>
    <t>RHD-1034</t>
  </si>
  <si>
    <t>RHD-1035</t>
  </si>
  <si>
    <t>RHD-1036</t>
  </si>
  <si>
    <t>RHD-1037</t>
  </si>
  <si>
    <t>RHD-1038</t>
  </si>
  <si>
    <t>RHD-1039</t>
  </si>
  <si>
    <t>RHD-1040</t>
  </si>
  <si>
    <t>RHD-1041</t>
  </si>
  <si>
    <t>RHD-1042</t>
  </si>
  <si>
    <t>RHD-1043</t>
  </si>
  <si>
    <t>RHD-1044</t>
  </si>
  <si>
    <t>RHD-1045</t>
  </si>
  <si>
    <t>RHD-1046</t>
  </si>
  <si>
    <t>RHD-1047</t>
  </si>
  <si>
    <t>RHD-1048</t>
  </si>
  <si>
    <t>RHD-1049</t>
  </si>
  <si>
    <t>RHD-1050</t>
  </si>
  <si>
    <t>RHD-1051</t>
  </si>
  <si>
    <t>RHD-1052</t>
  </si>
  <si>
    <t>RHD-1053</t>
  </si>
  <si>
    <t>RHD-1054</t>
  </si>
  <si>
    <t>RHD-1055</t>
  </si>
  <si>
    <t>RHD-1056</t>
  </si>
  <si>
    <t>RHD-1057</t>
  </si>
  <si>
    <t>RHD-1058</t>
  </si>
  <si>
    <t>RHD-1059</t>
  </si>
  <si>
    <t>RHD-1060</t>
  </si>
  <si>
    <t>RHD-1061</t>
  </si>
  <si>
    <t>RHD-1062</t>
  </si>
  <si>
    <t>RHD-1063</t>
  </si>
  <si>
    <t>RHD-1064</t>
  </si>
  <si>
    <t>RHD-1065</t>
  </si>
  <si>
    <t>RHD-1066</t>
  </si>
  <si>
    <t>RHD-1067</t>
  </si>
  <si>
    <t>RHD-1068</t>
  </si>
  <si>
    <t>RHD-1069</t>
  </si>
  <si>
    <t>RHD-1070</t>
  </si>
  <si>
    <t>RHD-1071</t>
  </si>
  <si>
    <t>RHD-1072</t>
  </si>
  <si>
    <t>RHD-1073</t>
  </si>
  <si>
    <t>RHD-1074</t>
  </si>
  <si>
    <t>RHD-1075</t>
  </si>
  <si>
    <t>RHD-1076</t>
  </si>
  <si>
    <t>RHD-1077</t>
  </si>
  <si>
    <t>RHD-1078</t>
  </si>
  <si>
    <t>RHD-1079</t>
  </si>
  <si>
    <t>RHD-1080</t>
  </si>
  <si>
    <t>RHD-1081</t>
  </si>
  <si>
    <t>RHD-1082</t>
  </si>
  <si>
    <t>RHD-1083</t>
  </si>
  <si>
    <t>RHD-1084</t>
  </si>
  <si>
    <t>RHD-1085</t>
  </si>
  <si>
    <t>RHD-1086</t>
  </si>
  <si>
    <t>RHD-1087</t>
  </si>
  <si>
    <t>RHD-1088</t>
  </si>
  <si>
    <t>RHD-1089</t>
  </si>
  <si>
    <t>RHD-1090</t>
  </si>
  <si>
    <t>RHD-1091</t>
  </si>
  <si>
    <t>RHD-1092</t>
  </si>
  <si>
    <t>RHD-1093</t>
  </si>
  <si>
    <t>RHD-1094</t>
  </si>
  <si>
    <t>RHD-1095</t>
  </si>
  <si>
    <t>RHD-1096</t>
  </si>
  <si>
    <t>RHD-1097</t>
  </si>
  <si>
    <t>RHD-1098</t>
  </si>
  <si>
    <t>RHD-1099</t>
  </si>
  <si>
    <t>RHD-1100</t>
  </si>
  <si>
    <t>RHD-1101</t>
  </si>
  <si>
    <t>RHD-1102</t>
  </si>
  <si>
    <t>RHD-1103</t>
  </si>
  <si>
    <t>RHD-1104</t>
  </si>
  <si>
    <t>RHD-1105</t>
  </si>
  <si>
    <t>RHD-1106</t>
  </si>
  <si>
    <t>RHD-1107</t>
  </si>
  <si>
    <t>RHD-1108</t>
  </si>
  <si>
    <t>RHD-1109</t>
  </si>
  <si>
    <t>RHD-1110</t>
  </si>
  <si>
    <t>RHD-1111</t>
  </si>
  <si>
    <t>RHD-1112</t>
  </si>
  <si>
    <t>RHD-1113</t>
  </si>
  <si>
    <t>RHD-1114</t>
  </si>
  <si>
    <t>RHD-1115</t>
  </si>
  <si>
    <t>RHD-1116</t>
  </si>
  <si>
    <t>RHD-1117</t>
  </si>
  <si>
    <t>RHD-1118</t>
  </si>
  <si>
    <t>RHD-1119</t>
  </si>
  <si>
    <t>RHD-1120</t>
  </si>
  <si>
    <t>RHD-1121</t>
  </si>
  <si>
    <t>RHD-1122</t>
  </si>
  <si>
    <t>RHD-1123</t>
  </si>
  <si>
    <t>RHD-1124</t>
  </si>
  <si>
    <t>RHD-1125</t>
  </si>
  <si>
    <t>RHD-1126</t>
  </si>
  <si>
    <t>RHD-1127</t>
  </si>
  <si>
    <t>RHD-1128</t>
  </si>
  <si>
    <t>RHD-1129</t>
  </si>
  <si>
    <t>RHD-1130</t>
  </si>
  <si>
    <t>RHD-1131</t>
  </si>
  <si>
    <t>RHD-1132</t>
  </si>
  <si>
    <t>RHD-1133</t>
  </si>
  <si>
    <t>RHD-1134</t>
  </si>
  <si>
    <t>RHD-1135</t>
  </si>
  <si>
    <t>RHD-1136</t>
  </si>
  <si>
    <t>RHD-1137</t>
  </si>
  <si>
    <t>RHD-1138</t>
  </si>
  <si>
    <t>RHD-1139</t>
  </si>
  <si>
    <t>RHD-1140</t>
  </si>
  <si>
    <t>RHD-1141</t>
  </si>
  <si>
    <t>RHD-1142</t>
  </si>
  <si>
    <t>RHD-1143</t>
  </si>
  <si>
    <t>RHD-1144</t>
  </si>
  <si>
    <t>RHD-1145</t>
  </si>
  <si>
    <t>RHD-1146</t>
  </si>
  <si>
    <t>RHD-1147</t>
  </si>
  <si>
    <t>RHD-1148</t>
  </si>
  <si>
    <t>RHD-1149</t>
  </si>
  <si>
    <t>RHD-1150</t>
  </si>
  <si>
    <t>RHD-1151</t>
  </si>
  <si>
    <t>RHD-1152</t>
  </si>
  <si>
    <t>RHD-1153</t>
  </si>
  <si>
    <t>RHD-1154</t>
  </si>
  <si>
    <t>RHD-1155</t>
  </si>
  <si>
    <t>RHD-1156</t>
  </si>
  <si>
    <t>RHD-1157</t>
  </si>
  <si>
    <t>RHD-1158</t>
  </si>
  <si>
    <t>RHD-1159</t>
  </si>
  <si>
    <t>RHD-1160</t>
  </si>
  <si>
    <t>RHD-1161</t>
  </si>
  <si>
    <t>RHD-1162</t>
  </si>
  <si>
    <t>RHD-1163</t>
  </si>
  <si>
    <t>RHD-1164</t>
  </si>
  <si>
    <t>RHD-1165</t>
  </si>
  <si>
    <t>RHD-1166</t>
  </si>
  <si>
    <t>RHD-1167</t>
  </si>
  <si>
    <t>RHD-1168</t>
  </si>
  <si>
    <t>RHD-1169</t>
  </si>
  <si>
    <t>RHD-1170</t>
  </si>
  <si>
    <t>RHD-1171</t>
  </si>
  <si>
    <t>RHD-1172</t>
  </si>
  <si>
    <t>RHD-1173</t>
  </si>
  <si>
    <t>RHD-1174</t>
  </si>
  <si>
    <t>RHD-1175</t>
  </si>
  <si>
    <t>RHD-1176</t>
  </si>
  <si>
    <t>RHD-1177</t>
  </si>
  <si>
    <t>RHD-1178</t>
  </si>
  <si>
    <t>RHD-1179</t>
  </si>
  <si>
    <t>RHD-1180</t>
  </si>
  <si>
    <t>RHD-1181</t>
  </si>
  <si>
    <t>RHD-1182</t>
  </si>
  <si>
    <t>RHD-1183</t>
  </si>
  <si>
    <t>RHD-1184</t>
  </si>
  <si>
    <t>RHD-1185</t>
  </si>
  <si>
    <t>RHD-1186</t>
  </si>
  <si>
    <t>RHD-1187</t>
  </si>
  <si>
    <t>RHD-1188</t>
  </si>
  <si>
    <t>RHD-1189</t>
  </si>
  <si>
    <t>RHD-1190</t>
  </si>
  <si>
    <t>RHD-1191</t>
  </si>
  <si>
    <t>RHD-1192</t>
  </si>
  <si>
    <t>RHD-1193</t>
  </si>
  <si>
    <t>RHD-1194</t>
  </si>
  <si>
    <t>RHD-1195</t>
  </si>
  <si>
    <t>RHD-1196</t>
  </si>
  <si>
    <t>RHD-1197</t>
  </si>
  <si>
    <t>RHD-1198</t>
  </si>
  <si>
    <t>RHD-1199</t>
  </si>
  <si>
    <t>RHD-1200</t>
  </si>
  <si>
    <t>RHD-1201</t>
  </si>
  <si>
    <t>RHD-1202</t>
  </si>
  <si>
    <t>RHD-1203</t>
  </si>
  <si>
    <t>RHD-1204</t>
  </si>
  <si>
    <t>RHD-1205</t>
  </si>
  <si>
    <t>RHD-1206</t>
  </si>
  <si>
    <t>RHD-1207</t>
  </si>
  <si>
    <t>RHD-1208</t>
  </si>
  <si>
    <t>RHD-1209</t>
  </si>
  <si>
    <t>RHD-1210</t>
  </si>
  <si>
    <t>RHD-1211</t>
  </si>
  <si>
    <t>RHD-1212</t>
  </si>
  <si>
    <t>RHD-1213</t>
  </si>
  <si>
    <t>RHD-1214</t>
  </si>
  <si>
    <t>RHD-1215</t>
  </si>
  <si>
    <t>RHD-1216</t>
  </si>
  <si>
    <t>RHD-1217</t>
  </si>
  <si>
    <t>RHD-1218</t>
  </si>
  <si>
    <t>RHD-1219</t>
  </si>
  <si>
    <t>RHD-1220</t>
  </si>
  <si>
    <t>RHD-1221</t>
  </si>
  <si>
    <t>RHD-1222</t>
  </si>
  <si>
    <t>RHD-1223</t>
  </si>
  <si>
    <t>RHD-1224</t>
  </si>
  <si>
    <t>RHD-1225</t>
  </si>
  <si>
    <t>RHD-1226</t>
  </si>
  <si>
    <t>RHD-1227</t>
  </si>
  <si>
    <t>RHD-1228</t>
  </si>
  <si>
    <t>RHD-1229</t>
  </si>
  <si>
    <t>RHD-1230</t>
  </si>
  <si>
    <t>RHD-1231</t>
  </si>
  <si>
    <t>RHD-1232</t>
  </si>
  <si>
    <t>RHD-1233</t>
  </si>
  <si>
    <t>RHD-1234</t>
  </si>
  <si>
    <t>RHD-1235</t>
  </si>
  <si>
    <t>RHD-1236</t>
  </si>
  <si>
    <t>RHD-1237</t>
  </si>
  <si>
    <t>RHD-1238</t>
  </si>
  <si>
    <t>RHD-1239</t>
  </si>
  <si>
    <t>RHD-1240</t>
  </si>
  <si>
    <t>RHD-1241</t>
  </si>
  <si>
    <t>RHD-1242</t>
  </si>
  <si>
    <t>RHD-1243</t>
  </si>
  <si>
    <t>RHD-1244</t>
  </si>
  <si>
    <t>RHD-1245</t>
  </si>
  <si>
    <t>RHD-1246</t>
  </si>
  <si>
    <t>RHD-1247</t>
  </si>
  <si>
    <t>RHD-1248</t>
  </si>
  <si>
    <t>RHD-1249</t>
  </si>
  <si>
    <t>RHD-1250</t>
  </si>
  <si>
    <t>RHD-1251</t>
  </si>
  <si>
    <t>RHD-1252</t>
  </si>
  <si>
    <t>RHD-1253</t>
  </si>
  <si>
    <t>RHD-1254</t>
  </si>
  <si>
    <t>RHD-1255</t>
  </si>
  <si>
    <t>RHD-1256</t>
  </si>
  <si>
    <t>RHD-1257</t>
  </si>
  <si>
    <t>RHD-1258</t>
  </si>
  <si>
    <t>RHD-1259</t>
  </si>
  <si>
    <t>RHD-1260</t>
  </si>
  <si>
    <t>RHD-1261</t>
  </si>
  <si>
    <t>RHD-1262</t>
  </si>
  <si>
    <t>RHD-1263</t>
  </si>
  <si>
    <t>RHD-1264</t>
  </si>
  <si>
    <t>RHD-1265</t>
  </si>
  <si>
    <t>RHD-1266</t>
  </si>
  <si>
    <t>RHD-1267</t>
  </si>
  <si>
    <t>RHD-1268</t>
  </si>
  <si>
    <t>RHD-1269</t>
  </si>
  <si>
    <t>RHD-1270</t>
  </si>
  <si>
    <t>RHD-1271</t>
  </si>
  <si>
    <t>RHD-1272</t>
  </si>
  <si>
    <t>RHD-1273</t>
  </si>
  <si>
    <t>RHD-1274</t>
  </si>
  <si>
    <t>RHD-1275</t>
  </si>
  <si>
    <t>RHD-1276</t>
  </si>
  <si>
    <t>RHD-1277</t>
  </si>
  <si>
    <t>RHD-1278</t>
  </si>
  <si>
    <t>RHD-1279</t>
  </si>
  <si>
    <t>RHD-1280</t>
  </si>
  <si>
    <t>RHD-1281</t>
  </si>
  <si>
    <t>RHD-1282</t>
  </si>
  <si>
    <t>RHD-1283</t>
  </si>
  <si>
    <t>RHD-1284</t>
  </si>
  <si>
    <t>RHD-1285</t>
  </si>
  <si>
    <t>RHD-1286</t>
  </si>
  <si>
    <t>RHD-1287</t>
  </si>
  <si>
    <t>RHD-1288</t>
  </si>
  <si>
    <t>RHD-1289</t>
  </si>
  <si>
    <t>RHD-1290</t>
  </si>
  <si>
    <t>RHD-1291</t>
  </si>
  <si>
    <t>RHD-1292</t>
  </si>
  <si>
    <t>RHD-1293</t>
  </si>
  <si>
    <t>RHD-1294</t>
  </si>
  <si>
    <t>RHD-1295</t>
  </si>
  <si>
    <t>RHD-1296</t>
  </si>
  <si>
    <t>RHD-1297</t>
  </si>
  <si>
    <t>RHD-1298</t>
  </si>
  <si>
    <t>RHD-1299</t>
  </si>
  <si>
    <t>RHD-1300</t>
  </si>
  <si>
    <t>RHD-1301</t>
  </si>
  <si>
    <t>RHD-1302</t>
  </si>
  <si>
    <t>RHD-1303</t>
  </si>
  <si>
    <t>RHD-1304</t>
  </si>
  <si>
    <t>RHD-1305</t>
  </si>
  <si>
    <t>RHD-1306</t>
  </si>
  <si>
    <t>RHD-1307</t>
  </si>
  <si>
    <t>RHD-1308</t>
  </si>
  <si>
    <t>RHD-1309</t>
  </si>
  <si>
    <t>RHD-1310</t>
  </si>
  <si>
    <t>RHD-1311</t>
  </si>
  <si>
    <t>RHD-1312</t>
  </si>
  <si>
    <t>RHD-1313</t>
  </si>
  <si>
    <t>RHD-1314</t>
  </si>
  <si>
    <t>RHD-1315</t>
  </si>
  <si>
    <t>RHD-1316</t>
  </si>
  <si>
    <t>RHD-1317</t>
  </si>
  <si>
    <t>RHD-1318</t>
  </si>
  <si>
    <t>RHD-1319</t>
  </si>
  <si>
    <t>RHD-1320</t>
  </si>
  <si>
    <t>RHD-1321</t>
  </si>
  <si>
    <t>RHD-1322</t>
  </si>
  <si>
    <t>RHD-1323</t>
  </si>
  <si>
    <t>RHD-1324</t>
  </si>
  <si>
    <t>RHD-1325</t>
  </si>
  <si>
    <t>RHD-1326</t>
  </si>
  <si>
    <t>RHD-1327</t>
  </si>
  <si>
    <t>RHD-1328</t>
  </si>
  <si>
    <t>RHD-1329</t>
  </si>
  <si>
    <t>RHD-1330</t>
  </si>
  <si>
    <t>RHD-1331</t>
  </si>
  <si>
    <t>RHD-1332</t>
  </si>
  <si>
    <t>RHD-1333</t>
  </si>
  <si>
    <t>RHD-1334</t>
  </si>
  <si>
    <t>RHD-1335</t>
  </si>
  <si>
    <t>RHD-1336</t>
  </si>
  <si>
    <t>RHD-1337</t>
  </si>
  <si>
    <t>RHD-1338</t>
  </si>
  <si>
    <t>RHD-1339</t>
  </si>
  <si>
    <t>RHD-1340</t>
  </si>
  <si>
    <t>RHD-1341</t>
  </si>
  <si>
    <t>RHD-1342</t>
  </si>
  <si>
    <t>RHD-1343</t>
  </si>
  <si>
    <t>RHD-1344</t>
  </si>
  <si>
    <t>RHD-1345</t>
  </si>
  <si>
    <t>RHD-1346</t>
  </si>
  <si>
    <t>RHD-1347</t>
  </si>
  <si>
    <t>RHD-1348</t>
  </si>
  <si>
    <t>RHD-1349</t>
  </si>
  <si>
    <t>RHD-1350</t>
  </si>
  <si>
    <t>RHD-1351</t>
  </si>
  <si>
    <t>RHD-1352</t>
  </si>
  <si>
    <t>RHD-1353</t>
  </si>
  <si>
    <t>RHD-1354</t>
  </si>
  <si>
    <t>RHD-1355</t>
  </si>
  <si>
    <t>RHD-1356</t>
  </si>
  <si>
    <t>RHD-1357</t>
  </si>
  <si>
    <t>RHD-1358</t>
  </si>
  <si>
    <t>RHD-1359</t>
  </si>
  <si>
    <t>RHD-1360</t>
  </si>
  <si>
    <t>RHD-1361</t>
  </si>
  <si>
    <t>RHD-1362</t>
  </si>
  <si>
    <t>RHD-1363</t>
  </si>
  <si>
    <t>RHD-1364</t>
  </si>
  <si>
    <t>RHD-1365</t>
  </si>
  <si>
    <t>RHD-1366</t>
  </si>
  <si>
    <t>RHD-1367</t>
  </si>
  <si>
    <t>RHD-1368</t>
  </si>
  <si>
    <t>RHD-1369</t>
  </si>
  <si>
    <t>RHD-1370</t>
  </si>
  <si>
    <t>RHD-1371</t>
  </si>
  <si>
    <t>RHD-1372</t>
  </si>
  <si>
    <t>RHD-1373</t>
  </si>
  <si>
    <t>RHD-1374</t>
  </si>
  <si>
    <t>RHD-1375</t>
  </si>
  <si>
    <t>RHD-1376</t>
  </si>
  <si>
    <t>RHD-1377</t>
  </si>
  <si>
    <t>RHD-1378</t>
  </si>
  <si>
    <t>RHD-1379</t>
  </si>
  <si>
    <t>RHD-1380</t>
  </si>
  <si>
    <t>RHD-1381</t>
  </si>
  <si>
    <t>RHD-1382</t>
  </si>
  <si>
    <t>RHD-1383</t>
  </si>
  <si>
    <t>RHD-1384</t>
  </si>
  <si>
    <t>RHD-1385</t>
  </si>
  <si>
    <t>RHD-1386</t>
  </si>
  <si>
    <t>RHD-1387</t>
  </si>
  <si>
    <t>RHD-1388</t>
  </si>
  <si>
    <t>RHD-1389</t>
  </si>
  <si>
    <t>RHD-1390</t>
  </si>
  <si>
    <t>RHD-1391</t>
  </si>
  <si>
    <t>RHD-1392</t>
  </si>
  <si>
    <t>RHD-1393</t>
  </si>
  <si>
    <t>RHD-1394</t>
  </si>
  <si>
    <t>RHD-1395</t>
  </si>
  <si>
    <t>RHD-1396</t>
  </si>
  <si>
    <t>RHD-1397</t>
  </si>
  <si>
    <t>RHD-1398</t>
  </si>
  <si>
    <t>RHD-1399</t>
  </si>
  <si>
    <t>RHD-1400</t>
  </si>
  <si>
    <t>RHD-1401</t>
  </si>
  <si>
    <t>RHD-1402</t>
  </si>
  <si>
    <t>RHD-1403</t>
  </si>
  <si>
    <t>RHD-1404</t>
  </si>
  <si>
    <t>RHD-1405</t>
  </si>
  <si>
    <t>RHD-1406</t>
  </si>
  <si>
    <t>RHD-1407</t>
  </si>
  <si>
    <t>RHD-1408</t>
  </si>
  <si>
    <t>RHD-1409</t>
  </si>
  <si>
    <t>RHD-1410</t>
  </si>
  <si>
    <t>RHD-1411</t>
  </si>
  <si>
    <t>RHD-1412</t>
  </si>
  <si>
    <t>RHD-1413</t>
  </si>
  <si>
    <t>RHD-1414</t>
  </si>
  <si>
    <t>RHD-1415</t>
  </si>
  <si>
    <t>RHD-1416</t>
  </si>
  <si>
    <t>RHD-1417</t>
  </si>
  <si>
    <t>RHD-1418</t>
  </si>
  <si>
    <t>RHD-1419</t>
  </si>
  <si>
    <t>RHD-1420</t>
  </si>
  <si>
    <t>RHD-1421</t>
  </si>
  <si>
    <t>RHD-1422</t>
  </si>
  <si>
    <t>RHD-1423</t>
  </si>
  <si>
    <t>RHD-1424</t>
  </si>
  <si>
    <t>RHD-1425</t>
  </si>
  <si>
    <t>RHD-1426</t>
  </si>
  <si>
    <t>RHD-1427</t>
  </si>
  <si>
    <t>RHD-1428</t>
  </si>
  <si>
    <t>RHD-1429</t>
  </si>
  <si>
    <t>RHD-1430</t>
  </si>
  <si>
    <t>RHD-1431</t>
  </si>
  <si>
    <t>RHD-1432</t>
  </si>
  <si>
    <t>RHD-1433</t>
  </si>
  <si>
    <t>RHD-1434</t>
  </si>
  <si>
    <t>RHD-1435</t>
  </si>
  <si>
    <t>RHD-1436</t>
  </si>
  <si>
    <t>RHD-1437</t>
  </si>
  <si>
    <t>RHD-1438</t>
  </si>
  <si>
    <t>RHD-1439</t>
  </si>
  <si>
    <t>RHD-1440</t>
  </si>
  <si>
    <t>RHD-1441</t>
  </si>
  <si>
    <t>RHD-1442</t>
  </si>
  <si>
    <t>RHD-1443</t>
  </si>
  <si>
    <t>RHD-1444</t>
  </si>
  <si>
    <t>RHD-1445</t>
  </si>
  <si>
    <t>RHD-1446</t>
  </si>
  <si>
    <t>RHD-1447</t>
  </si>
  <si>
    <t>RHD-1448</t>
  </si>
  <si>
    <t>RHD-1449</t>
  </si>
  <si>
    <t>RHD-1450</t>
  </si>
  <si>
    <t>RHD-1451</t>
  </si>
  <si>
    <t>RHD-1452</t>
  </si>
  <si>
    <t>RHD-1453</t>
  </si>
  <si>
    <t>RHD-1454</t>
  </si>
  <si>
    <t>RHD-1455</t>
  </si>
  <si>
    <t>RHD-1456</t>
  </si>
  <si>
    <t>RHD-1457</t>
  </si>
  <si>
    <t>RHD-1458</t>
  </si>
  <si>
    <t>RHD-1459</t>
  </si>
  <si>
    <t>RHD-1460</t>
  </si>
  <si>
    <t>RHD-1461</t>
  </si>
  <si>
    <t>RHD-1462</t>
  </si>
  <si>
    <t>RHD-1463</t>
  </si>
  <si>
    <t>RHD-1464</t>
  </si>
  <si>
    <t>RHD-1465</t>
  </si>
  <si>
    <t>RHD-1466</t>
  </si>
  <si>
    <t>RHD-1467</t>
  </si>
  <si>
    <t>RHD-1468</t>
  </si>
  <si>
    <t>RHD-1469</t>
  </si>
  <si>
    <t>RHD-1470</t>
  </si>
  <si>
    <t>RHD-1471</t>
  </si>
  <si>
    <t>RHD-1472</t>
  </si>
  <si>
    <t>RHD-1473</t>
  </si>
  <si>
    <t>RHD-1474</t>
  </si>
  <si>
    <t>RHD-1475</t>
  </si>
  <si>
    <t>RHD-1476</t>
  </si>
  <si>
    <t>RHD-1477</t>
  </si>
  <si>
    <t>RHD-1478</t>
  </si>
  <si>
    <t>RHD-1479</t>
  </si>
  <si>
    <t>RHD-1480</t>
  </si>
  <si>
    <t>RHD-1481</t>
  </si>
  <si>
    <t>RHD-1482</t>
  </si>
  <si>
    <t>RHD-1483</t>
  </si>
  <si>
    <t>RHD-1484</t>
  </si>
  <si>
    <t>RHD-1485</t>
  </si>
  <si>
    <t>RHD-1486</t>
  </si>
  <si>
    <t>RHD-1487</t>
  </si>
  <si>
    <t>RHD-1488</t>
  </si>
  <si>
    <t>RHD-1489</t>
  </si>
  <si>
    <t>RHD-1490</t>
  </si>
  <si>
    <t>RHD-1491</t>
  </si>
  <si>
    <t>RHD-1492</t>
  </si>
  <si>
    <t>RHD-1493</t>
  </si>
  <si>
    <t>RHD-1494</t>
  </si>
  <si>
    <t>RHD-1495</t>
  </si>
  <si>
    <t>RHD-1496</t>
  </si>
  <si>
    <t>RHD-1497</t>
  </si>
  <si>
    <t>RHD-1498</t>
  </si>
  <si>
    <t>RHD-1499</t>
  </si>
  <si>
    <t>RHD-1500</t>
  </si>
  <si>
    <t>(1) Lorsque le doctorant a abandonné dans la période, indiquer "OUI" dans la colonne "Abandon de la thèse".</t>
  </si>
  <si>
    <r>
      <t xml:space="preserve">Date de soutenance
(pour les diplômés)
</t>
    </r>
    <r>
      <rPr>
        <sz val="8"/>
        <rFont val="Century Gothic"/>
        <family val="2"/>
      </rPr>
      <t xml:space="preserve">(JJ/MM/AAAA)
</t>
    </r>
  </si>
  <si>
    <t>Abandon de la thèse
(Préciser OUI si abandon)
(1)</t>
  </si>
  <si>
    <t xml:space="preserve">(2) Sélectionner le code financement dans le menu déroulant et voir la nomenclature dans la feuille "Nomenclatures" </t>
  </si>
  <si>
    <t xml:space="preserve"> Surfaces techniques :</t>
  </si>
  <si>
    <r>
      <t>Animalerie (m</t>
    </r>
    <r>
      <rPr>
        <vertAlign val="superscript"/>
        <sz val="10"/>
        <rFont val="Century Gothic"/>
        <family val="2"/>
      </rPr>
      <t>2</t>
    </r>
    <r>
      <rPr>
        <sz val="10"/>
        <rFont val="Century Gothic"/>
        <family val="2"/>
      </rPr>
      <t>)</t>
    </r>
  </si>
  <si>
    <t>Centre de ressources documentaires (O/N)</t>
  </si>
  <si>
    <t>Fonction exercée au sein de l'unité</t>
  </si>
  <si>
    <t>Co-responsable d'équipe</t>
  </si>
  <si>
    <r>
      <t xml:space="preserve">Date 
d'arrivée 
dans l'unité
</t>
    </r>
    <r>
      <rPr>
        <sz val="10"/>
        <rFont val="Century Gothic"/>
        <family val="2"/>
      </rPr>
      <t>(JJ/MM/AAAA)</t>
    </r>
  </si>
  <si>
    <r>
      <t xml:space="preserve">Cellules à remplir si les agents ont rejoint l'unité </t>
    </r>
    <r>
      <rPr>
        <b/>
        <u/>
        <sz val="10"/>
        <rFont val="Century Gothic"/>
        <family val="2"/>
      </rPr>
      <t>en cours de contrat</t>
    </r>
    <r>
      <rPr>
        <b/>
        <sz val="10"/>
        <rFont val="Century Gothic"/>
        <family val="2"/>
      </rPr>
      <t>.
(entre le 01/01/2016 et le 31/12/2021)</t>
    </r>
  </si>
  <si>
    <r>
      <t xml:space="preserve">Date 
de départ 
de l'unité
</t>
    </r>
    <r>
      <rPr>
        <sz val="10"/>
        <rFont val="Century Gothic"/>
        <family val="2"/>
      </rPr>
      <t>(JJ/MM/AAAA)</t>
    </r>
  </si>
  <si>
    <t>nombre d'ED</t>
  </si>
  <si>
    <t>ED1</t>
  </si>
  <si>
    <t>ED2</t>
  </si>
  <si>
    <t>ED3</t>
  </si>
  <si>
    <t>ED4</t>
  </si>
  <si>
    <t>ED5</t>
  </si>
  <si>
    <t>ED6</t>
  </si>
  <si>
    <t>ED7</t>
  </si>
  <si>
    <t>ED8</t>
  </si>
  <si>
    <t>ED9</t>
  </si>
  <si>
    <t>ED10</t>
  </si>
  <si>
    <t>ED11</t>
  </si>
  <si>
    <t>ED12</t>
  </si>
  <si>
    <t>ED13</t>
  </si>
  <si>
    <t>ED14</t>
  </si>
  <si>
    <t>ED15</t>
  </si>
  <si>
    <t>ED16</t>
  </si>
  <si>
    <t>ED17</t>
  </si>
  <si>
    <t>ED18</t>
  </si>
  <si>
    <t>ED19</t>
  </si>
  <si>
    <t>ED20</t>
  </si>
  <si>
    <t>ED21</t>
  </si>
  <si>
    <t>ED22</t>
  </si>
  <si>
    <t>ED23</t>
  </si>
  <si>
    <t>ED24</t>
  </si>
  <si>
    <t>ED25</t>
  </si>
  <si>
    <t>ED26</t>
  </si>
  <si>
    <t>ED27</t>
  </si>
  <si>
    <t>ED28</t>
  </si>
  <si>
    <t>ED29</t>
  </si>
  <si>
    <t>ED30</t>
  </si>
  <si>
    <t>ED31</t>
  </si>
  <si>
    <t>ED32</t>
  </si>
  <si>
    <t>ED33</t>
  </si>
  <si>
    <t>ED34</t>
  </si>
  <si>
    <t>ED35</t>
  </si>
  <si>
    <t>ED36</t>
  </si>
  <si>
    <t>ED37</t>
  </si>
  <si>
    <t>ED38</t>
  </si>
  <si>
    <t>ED39</t>
  </si>
  <si>
    <t>ED40</t>
  </si>
  <si>
    <t>ED41</t>
  </si>
  <si>
    <t>ED42</t>
  </si>
  <si>
    <t>ED43</t>
  </si>
  <si>
    <t>ED44</t>
  </si>
  <si>
    <t>ED45</t>
  </si>
  <si>
    <t>ED46</t>
  </si>
  <si>
    <t>ED47</t>
  </si>
  <si>
    <t>ED48</t>
  </si>
  <si>
    <t>ED49</t>
  </si>
  <si>
    <t>ED50</t>
  </si>
  <si>
    <t>ED51</t>
  </si>
  <si>
    <t>ED52</t>
  </si>
  <si>
    <t>ED53</t>
  </si>
  <si>
    <t>ED54</t>
  </si>
  <si>
    <t>ED55</t>
  </si>
  <si>
    <t>ED56</t>
  </si>
  <si>
    <t>ED57</t>
  </si>
  <si>
    <t>ED58</t>
  </si>
  <si>
    <r>
      <t>École(s) doctorale(s) de rattachement de l'unité</t>
    </r>
    <r>
      <rPr>
        <b/>
        <sz val="11"/>
        <color rgb="FFFF0000"/>
        <rFont val="Century Gothic"/>
        <family val="2"/>
      </rPr>
      <t xml:space="preserve"> si celle-ci est mono-équipe</t>
    </r>
  </si>
  <si>
    <t>Attention ! Une fois le nombre d'équipes renseigné, si vous le changez, la modification ne sera pas prise en compte.</t>
  </si>
  <si>
    <t>Attention ! Une fois le nombre de sites renseigné, si vous le changez, la modification ne sera pas prise en compte.</t>
  </si>
  <si>
    <t>V1</t>
  </si>
  <si>
    <t>Note d'utilisation</t>
  </si>
  <si>
    <t>Comment le remplir ?</t>
  </si>
  <si>
    <t>1. Activer le contenu à l'ouverture du fichier</t>
  </si>
  <si>
    <t>À l'ouverture du fichier, il est indispensable d'accepter l'activation des macros (ou des contenus) lorsque le tableur vous y invite, sans quoi le fichier ne pourra pas fonctionner correctement.</t>
  </si>
  <si>
    <t>3. Renseigner ensuite les autres onglets.</t>
  </si>
  <si>
    <t>Vous pouvez les saisir dans l'ordre de votre choix.</t>
  </si>
  <si>
    <t>Une vidéo vous montrant comment remplir ce fichier est disponible sur la chaîne Youtube du Hcéres (https://www.youtube.com/channel/UCeVUbvBdAa33ibJmHGwVNTw)</t>
  </si>
  <si>
    <t>Comment assurons-nous le traitement de ces données ?</t>
  </si>
  <si>
    <t xml:space="preserve">La qualité des données est assurée en deux temps. </t>
  </si>
  <si>
    <t>Lors de la saisie, des contrôles sur les données entrées permettent de vérifier le format attendu.</t>
  </si>
  <si>
    <t>Que faire en cas de difficulté ?</t>
  </si>
  <si>
    <t>Pour toute difficulté, contacter le Hcéres pour obtenir du support.</t>
  </si>
  <si>
    <r>
      <t>École(s) doctorale(s) de rattachement de l'unité</t>
    </r>
    <r>
      <rPr>
        <b/>
        <sz val="11"/>
        <color rgb="FFFF0000"/>
        <rFont val="Century Gothic"/>
        <family val="2"/>
      </rPr>
      <t xml:space="preserve"> si celle-ci est mono-équipe/ Dans le cas d'unité multi-équipes, renseignez les écoles doctorales dans les équipes ci-dessous</t>
    </r>
  </si>
  <si>
    <t>Alimentation automatique en fonction du renseignement des cellules de la ligne "École(s) doctorale(s) de rattachement de l'unité si celle-ci est mono-équipe"</t>
  </si>
  <si>
    <t>Alimentation automatique en fonction du renseignement des cellules ci-dessous</t>
  </si>
  <si>
    <r>
      <t xml:space="preserve">Code postal de la ville d'exercice </t>
    </r>
    <r>
      <rPr>
        <b/>
        <sz val="10"/>
        <color rgb="FFFF0000"/>
        <rFont val="Century Gothic"/>
        <family val="2"/>
      </rPr>
      <t>si l'unité est multisites</t>
    </r>
  </si>
  <si>
    <t>Sciences et technologies</t>
  </si>
  <si>
    <t>Sciences du vivant et environnement</t>
  </si>
  <si>
    <t>Aucune saisie n'est attendue dans les cellules grisées.</t>
  </si>
  <si>
    <t>2. Compléter d'abord les informations de l'onglet Informations administratives</t>
  </si>
  <si>
    <t>Renseigner ensuite les tutelles de l'unité.</t>
  </si>
  <si>
    <t>En premier lieu, choisir l'établissement déposant puis l'intitulé de l'unité. En cas de problème à cette étape, contacter le département d'évaluation de la recherche du Hcéres : dir.der @hceres.fr.</t>
  </si>
  <si>
    <t>Indiquer ensuite le nombre de sites géographiques de l'unité. Ceci génèrera les zones de saisie adaptées pour renseigner les codes postaux des différents sites.</t>
  </si>
  <si>
    <t>Indiquer ensuite le nombre d'équipes de l'unité. Ceci génèrera les zones de saisie adaptées pour renseigner les informations relatives aux équipes.</t>
  </si>
  <si>
    <t>Attention, une fois le nombre de sites ou d'équipes saisi, vous ne pourrez plus le modifier. En cas de doute, choisir un nombre supérieur, nous acceptons les lignes vides lors du dépôt du fichier.</t>
  </si>
  <si>
    <t>Dans le cas d'une unité multi-équipe, renseigner pour chaque équipe son nom, ses écoles doctorales de rattachement et le code postal du site dans le cas d'une unité multisite.</t>
  </si>
  <si>
    <t>Dans le cas d'une unité mono-équipe, renseigner ensuite,  les écoles doctorales de rattachement de l'unité.</t>
  </si>
  <si>
    <t>Renseigner ensuite le périmètre scientifique de l'unité (domaines scientifiques ) et les domaines applicatifs, le cas échéant.</t>
  </si>
  <si>
    <t>Vous constaterez également que le fichier a été verrouillé pour assurer la cohérence de sa structure, ce qui est nécessaire à son traitement automatisé par le Hcéres.</t>
  </si>
  <si>
    <t>Vous disposerez d'une plateforme pour tester la validité de votre fichier en amont de son dépôt final.</t>
  </si>
  <si>
    <t>ANCELIN</t>
  </si>
  <si>
    <t>ALEXANDRE</t>
  </si>
  <si>
    <t>ARBELAEZ GARCES</t>
  </si>
  <si>
    <t>GIOVANNY</t>
  </si>
  <si>
    <t>ARRIETA ESCOBAR</t>
  </si>
  <si>
    <t>JAVIER</t>
  </si>
  <si>
    <t>ASADOLLAHIYAZDI</t>
  </si>
  <si>
    <t>ELNAZ</t>
  </si>
  <si>
    <t>BARATTE</t>
  </si>
  <si>
    <t>PASCALE</t>
  </si>
  <si>
    <t>BARTHELEMY</t>
  </si>
  <si>
    <t>NOÉMIE</t>
  </si>
  <si>
    <t>BARY</t>
  </si>
  <si>
    <t>RAPHAËL</t>
  </si>
  <si>
    <t>BLEIMLING</t>
  </si>
  <si>
    <t>CEDRIC</t>
  </si>
  <si>
    <t>BOLY</t>
  </si>
  <si>
    <t>BONJOUR</t>
  </si>
  <si>
    <t>ERIC</t>
  </si>
  <si>
    <t>BOUDAOUD</t>
  </si>
  <si>
    <t>HAKIM</t>
  </si>
  <si>
    <t>BOUDAREL</t>
  </si>
  <si>
    <t>MARIE REINE</t>
  </si>
  <si>
    <t>CAMARGO PARDO</t>
  </si>
  <si>
    <t>MAURICIO</t>
  </si>
  <si>
    <t>CACERES</t>
  </si>
  <si>
    <t>CRISTIAN</t>
  </si>
  <si>
    <t>CHERY</t>
  </si>
  <si>
    <t>CONVOLTE</t>
  </si>
  <si>
    <t>ALINE</t>
  </si>
  <si>
    <t>CLAIRE</t>
  </si>
  <si>
    <t>JOHAN</t>
  </si>
  <si>
    <t>CRUZ SANCHEZ</t>
  </si>
  <si>
    <t>FABIO</t>
  </si>
  <si>
    <t>DE ABREU</t>
  </si>
  <si>
    <t>PEDRO</t>
  </si>
  <si>
    <t>DIDIER</t>
  </si>
  <si>
    <t>THOMAS</t>
  </si>
  <si>
    <t>DUPONT</t>
  </si>
  <si>
    <t>GREGORY</t>
  </si>
  <si>
    <t>ELOUCHDI</t>
  </si>
  <si>
    <t>NADIA</t>
  </si>
  <si>
    <t>ENJOLRAS</t>
  </si>
  <si>
    <t>MANON</t>
  </si>
  <si>
    <t>ENNESSER-SERVILLE</t>
  </si>
  <si>
    <t>BENJAMIN</t>
  </si>
  <si>
    <t>ESPINOZA PÉREZ</t>
  </si>
  <si>
    <t>ANDREA TERESA</t>
  </si>
  <si>
    <t>FONSECA GAMBOA</t>
  </si>
  <si>
    <t>JUAN-DAVID</t>
  </si>
  <si>
    <t>FREDERICK</t>
  </si>
  <si>
    <t>FONTEIX</t>
  </si>
  <si>
    <t>JEROME</t>
  </si>
  <si>
    <t>GABRIEL</t>
  </si>
  <si>
    <t>ALEX</t>
  </si>
  <si>
    <t>GALVEZ MANRIQUEZ</t>
  </si>
  <si>
    <t>DANIEL ANDRES</t>
  </si>
  <si>
    <t>GEISEN</t>
  </si>
  <si>
    <t>AURELIA</t>
  </si>
  <si>
    <t>GUIDAT</t>
  </si>
  <si>
    <t>CLAUDINE</t>
  </si>
  <si>
    <t>HAMDANI</t>
  </si>
  <si>
    <t>FATIMA</t>
  </si>
  <si>
    <t>HASSAN</t>
  </si>
  <si>
    <t>ALAA</t>
  </si>
  <si>
    <t>KASMI</t>
  </si>
  <si>
    <t>FEDOUA</t>
  </si>
  <si>
    <t>LACROIX</t>
  </si>
  <si>
    <t>JONATHAN</t>
  </si>
  <si>
    <t>LAIGNEAU</t>
  </si>
  <si>
    <t>CLARISSE</t>
  </si>
  <si>
    <t>LHOSTE</t>
  </si>
  <si>
    <t>PASCAL</t>
  </si>
  <si>
    <t>MANIWCZAK</t>
  </si>
  <si>
    <t>CORENTIN</t>
  </si>
  <si>
    <t>MARCHE</t>
  </si>
  <si>
    <t>BRUNELLE</t>
  </si>
  <si>
    <t>MAYER</t>
  </si>
  <si>
    <t>FRÉDÉRIQUE</t>
  </si>
  <si>
    <t>MELON</t>
  </si>
  <si>
    <t>ALEXANDRA</t>
  </si>
  <si>
    <t>MICHAUX</t>
  </si>
  <si>
    <t>JULIEN</t>
  </si>
  <si>
    <t>MONTICOLO</t>
  </si>
  <si>
    <t>DAVY</t>
  </si>
  <si>
    <t>MOREL</t>
  </si>
  <si>
    <t>LAURE</t>
  </si>
  <si>
    <t>MULLER</t>
  </si>
  <si>
    <t>NEVES</t>
  </si>
  <si>
    <t>CINDY</t>
  </si>
  <si>
    <t>NARVAEZ RINCON</t>
  </si>
  <si>
    <t>PAULO CESAR</t>
  </si>
  <si>
    <t>RAKOTONDRANAIVO</t>
  </si>
  <si>
    <t>AUGUSTE</t>
  </si>
  <si>
    <t>RAULT</t>
  </si>
  <si>
    <t>VALÉRIE</t>
  </si>
  <si>
    <t>SCHNEIDER</t>
  </si>
  <si>
    <t>STÉPHANE</t>
  </si>
  <si>
    <t>SCHWOB</t>
  </si>
  <si>
    <t>MATHILDE</t>
  </si>
  <si>
    <t>SERNA RODAS</t>
  </si>
  <si>
    <t>JULIANA</t>
  </si>
  <si>
    <t>TANI</t>
  </si>
  <si>
    <t>MARTINE</t>
  </si>
  <si>
    <t>TRUCHOT</t>
  </si>
  <si>
    <t>PATRICK</t>
  </si>
  <si>
    <t>PEARCE</t>
  </si>
  <si>
    <t>JOSHUA MICHAEL</t>
  </si>
  <si>
    <t>PIZARRO ITURRIETA</t>
  </si>
  <si>
    <t>GUILLERMO ALEX</t>
  </si>
  <si>
    <t>ZAWISLAK</t>
  </si>
  <si>
    <t>PAULO ANTONIO</t>
  </si>
  <si>
    <t>AMIMI</t>
  </si>
  <si>
    <t xml:space="preserve">ACOSTA SALGADO </t>
  </si>
  <si>
    <t>ANDROSEVIC</t>
  </si>
  <si>
    <t>ARNOULD</t>
  </si>
  <si>
    <t>BALPANDE SWAPNIL</t>
  </si>
  <si>
    <t>SWAPNIL</t>
  </si>
  <si>
    <t>BRISSEL</t>
  </si>
  <si>
    <t>CARDENAS CRISTANCHO</t>
  </si>
  <si>
    <t>DELGADO</t>
  </si>
  <si>
    <t>DETHINE</t>
  </si>
  <si>
    <t>DILOSI</t>
  </si>
  <si>
    <t>GRIBOUVAL</t>
  </si>
  <si>
    <t>HILY</t>
  </si>
  <si>
    <t>LABOUHEURE</t>
  </si>
  <si>
    <t>MARTINEZ CHACON</t>
  </si>
  <si>
    <t>MASMOUDI</t>
  </si>
  <si>
    <t>MOYA SEDAN</t>
  </si>
  <si>
    <t>OSORIO BUSTAMANTE</t>
  </si>
  <si>
    <t>PRONOST</t>
  </si>
  <si>
    <t>PROSKURIN</t>
  </si>
  <si>
    <t>PRUVOT</t>
  </si>
  <si>
    <t>FANNY</t>
  </si>
  <si>
    <t>RAMDANI</t>
  </si>
  <si>
    <t>RIVERA-GIL</t>
  </si>
  <si>
    <t>SUESCUN GONZALES</t>
  </si>
  <si>
    <t>CATALINA</t>
  </si>
  <si>
    <t>WEBER</t>
  </si>
  <si>
    <t>WIDMER</t>
  </si>
  <si>
    <t>XUE</t>
  </si>
  <si>
    <t xml:space="preserve">YONGGIANG </t>
  </si>
  <si>
    <t>TU</t>
  </si>
  <si>
    <t>FERNEY</t>
  </si>
  <si>
    <t>BAUTISTA</t>
  </si>
  <si>
    <t>SANDRA</t>
  </si>
  <si>
    <t>DE BIGAULT DE CASANOVE</t>
  </si>
  <si>
    <t>ALICE</t>
  </si>
  <si>
    <t>STEINER</t>
  </si>
  <si>
    <t>ALEXIS</t>
  </si>
  <si>
    <t xml:space="preserve">MELGAREJO CARREÑO </t>
  </si>
  <si>
    <t>VLADIMIR AICARDO</t>
  </si>
  <si>
    <t>BONJOUR Eric</t>
  </si>
  <si>
    <t>RAKOTONDRANAIVO Auguste</t>
  </si>
  <si>
    <t>CAMARGO Mauricio</t>
  </si>
  <si>
    <t>TAKORABET Noureddine</t>
  </si>
  <si>
    <t>MOREL Laure</t>
  </si>
  <si>
    <t>FOURNIER Meriem</t>
  </si>
  <si>
    <t>MONTICOLO Davy</t>
  </si>
  <si>
    <t>MULLER Laurent</t>
  </si>
  <si>
    <t>HASSAN Alaa</t>
  </si>
  <si>
    <t>GALVEZ Daniel</t>
  </si>
  <si>
    <t>BOLY Vincent</t>
  </si>
  <si>
    <t>BARY Raphaël</t>
  </si>
  <si>
    <t>L. MOREL, D. GLAVEZ</t>
  </si>
  <si>
    <t>José Isamel PENA-REYES</t>
  </si>
  <si>
    <t>MAYER Fréderique</t>
  </si>
  <si>
    <t>E. BONJOUR, BRUN Armelle</t>
  </si>
  <si>
    <t>FALK Valérie, NAVAEZ Paulo</t>
  </si>
  <si>
    <t>BOUDAOUD Hakim</t>
  </si>
  <si>
    <t>DAYA El Mostafa</t>
  </si>
  <si>
    <t>DINET Jérome</t>
  </si>
  <si>
    <t>A20-1</t>
  </si>
  <si>
    <t>Code postal du site si l'unité est multi-site 1</t>
  </si>
  <si>
    <t>A20-2</t>
  </si>
  <si>
    <t>Code postal du site si l'unité est multi-site 2</t>
  </si>
  <si>
    <t>Génie industriel; Conception; Modélisation des systèmes complexes; Innovation; Apprentissage</t>
  </si>
  <si>
    <t>ÉCOLE NATIONALE SUPÉRIEURE DE TECHNIQUES AVANCÉES PARIS</t>
  </si>
  <si>
    <t>GUIDAT Claudine</t>
  </si>
  <si>
    <t>DE CASANOVE</t>
  </si>
  <si>
    <t>MOREL LAURE</t>
  </si>
  <si>
    <t>NEGNY Stéphane</t>
  </si>
  <si>
    <t xml:space="preserve">ESPINOZA PEREZ </t>
  </si>
  <si>
    <t xml:space="preserve">MARCHE </t>
  </si>
  <si>
    <t xml:space="preserve">SANCHEZ </t>
  </si>
  <si>
    <t>FELIPE</t>
  </si>
  <si>
    <t>JAVIER ANDRES</t>
  </si>
  <si>
    <t>MOREL L. /ORJUELA A.</t>
  </si>
  <si>
    <t>HAMEZ Gregory</t>
  </si>
  <si>
    <t xml:space="preserve">FONSECA GAMBOA </t>
  </si>
  <si>
    <t>JUAN</t>
  </si>
  <si>
    <t>NARVAEZ RINCON Paulo César/ FALK Véronique</t>
  </si>
  <si>
    <t>LECONTE</t>
  </si>
  <si>
    <t>DONIZETTI</t>
  </si>
  <si>
    <t>MARINE</t>
  </si>
  <si>
    <t>HAMADA MOHAMED ABDELKODOUS</t>
  </si>
  <si>
    <t>MOHAMED</t>
  </si>
  <si>
    <t>HASSANI</t>
  </si>
  <si>
    <t>MOUNA LAAZIRI</t>
  </si>
  <si>
    <t>SANTANDER TAPIA</t>
  </si>
  <si>
    <t>CHAVEZ BARRIOS</t>
  </si>
  <si>
    <t>SIDHOM Sahbi</t>
  </si>
  <si>
    <t>TRAN</t>
  </si>
  <si>
    <t>THI HOANG GIANG</t>
  </si>
  <si>
    <t>DUPONT Laurent</t>
  </si>
  <si>
    <t xml:space="preserve">KOZAK </t>
  </si>
  <si>
    <t>LÉA</t>
  </si>
  <si>
    <t>HUBERT</t>
  </si>
  <si>
    <t>LINDA STEFANY</t>
  </si>
  <si>
    <t>MOHAMMED OUSSAMA</t>
  </si>
  <si>
    <t>DAMIR</t>
  </si>
  <si>
    <t>MAXENCE</t>
  </si>
  <si>
    <t>LAMIA</t>
  </si>
  <si>
    <t>DIANA MARCELA</t>
  </si>
  <si>
    <t>LORENA</t>
  </si>
  <si>
    <t>ALLWELL BARIZA</t>
  </si>
  <si>
    <t>MARIE</t>
  </si>
  <si>
    <t>ANAELLE</t>
  </si>
  <si>
    <t xml:space="preserve">HUBET </t>
  </si>
  <si>
    <t>NICOLAS</t>
  </si>
  <si>
    <t>FLORENCE</t>
  </si>
  <si>
    <t>VALENTINE</t>
  </si>
  <si>
    <t>MARIELA</t>
  </si>
  <si>
    <t>CHEDHLI</t>
  </si>
  <si>
    <t>CARLOS ABRAHAM</t>
  </si>
  <si>
    <t>GUILLAUME</t>
  </si>
  <si>
    <t>MAXIM</t>
  </si>
  <si>
    <t>HALIMA</t>
  </si>
  <si>
    <t>JOSÉ-LUIS</t>
  </si>
  <si>
    <t>PAVLO JAVIER ALEJANDRO</t>
  </si>
  <si>
    <t>NEAL</t>
  </si>
  <si>
    <t>FANGKAI</t>
  </si>
  <si>
    <t>VILLEMIN Anne</t>
  </si>
  <si>
    <t>NARVAEZ RINCON Paulo César/ ALFARO Miguel</t>
  </si>
  <si>
    <t>FALK Laurent/ DARIO GIL CHAVES Ivan</t>
  </si>
  <si>
    <t>LEVRAT Eric</t>
  </si>
  <si>
    <t xml:space="preserve">KONE </t>
  </si>
  <si>
    <t xml:space="preserve">CORRIGEUX </t>
  </si>
  <si>
    <t>BRICE</t>
  </si>
  <si>
    <t>PRADO</t>
  </si>
  <si>
    <t>JOFFREY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</si>
</sst>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
    <numFmt numFmtId="165" formatCode="#,##0.0"/>
    <numFmt numFmtId="166" formatCode="_-* #,##0.00\ [$€]_-;\-* #,##0.00\ [$€]_-;_-* &quot;-&quot;??\ [$€]_-;_-@_-"/>
    <numFmt numFmtId="167" formatCode="mm/yy"/>
  </numFmts>
  <fonts count="57" x14ac:knownFonts="1">
    <font>
      <sz val="10"/>
      <name val="Arial"/>
    </font>
    <font>
      <sz val="11"/>
      <color theme="1"/>
      <name val="Calibri"/>
      <family val="2"/>
      <scheme val="minor"/>
    </font>
    <font>
      <sz val="10"/>
      <name val="Arial"/>
      <family val="2"/>
    </font>
    <font>
      <sz val="9"/>
      <name val="Arial"/>
      <family val="2"/>
    </font>
    <font>
      <sz val="10"/>
      <name val="Arial"/>
      <family val="2"/>
    </font>
    <font>
      <sz val="12"/>
      <color indexed="17"/>
      <name val="Calibri"/>
      <family val="2"/>
    </font>
    <font>
      <b/>
      <sz val="15"/>
      <color indexed="62"/>
      <name val="Calibri"/>
      <family val="2"/>
    </font>
    <font>
      <b/>
      <sz val="13"/>
      <color indexed="62"/>
      <name val="Calibri"/>
      <family val="2"/>
    </font>
    <font>
      <b/>
      <sz val="11"/>
      <color indexed="62"/>
      <name val="Calibri"/>
      <family val="2"/>
    </font>
    <font>
      <sz val="12"/>
      <color theme="1"/>
      <name val="Calibri"/>
      <family val="2"/>
      <scheme val="minor"/>
    </font>
    <font>
      <sz val="11"/>
      <name val="Century Gothic"/>
      <family val="2"/>
    </font>
    <font>
      <sz val="11"/>
      <color rgb="FFFF0066"/>
      <name val="Century Gothic"/>
      <family val="2"/>
    </font>
    <font>
      <b/>
      <sz val="14"/>
      <color rgb="FFED145B"/>
      <name val="Century Gothic"/>
      <family val="2"/>
    </font>
    <font>
      <sz val="10"/>
      <name val="Century Gothic"/>
      <family val="2"/>
    </font>
    <font>
      <b/>
      <sz val="10"/>
      <name val="Century Gothic"/>
      <family val="2"/>
    </font>
    <font>
      <b/>
      <sz val="12"/>
      <name val="Century Gothic"/>
      <family val="2"/>
    </font>
    <font>
      <sz val="9"/>
      <name val="Century Gothic"/>
      <family val="2"/>
    </font>
    <font>
      <b/>
      <sz val="11"/>
      <name val="Century Gothic"/>
      <family val="2"/>
    </font>
    <font>
      <b/>
      <i/>
      <sz val="10"/>
      <name val="Century Gothic"/>
      <family val="2"/>
    </font>
    <font>
      <b/>
      <i/>
      <sz val="10"/>
      <color theme="0"/>
      <name val="Century Gothic"/>
      <family val="2"/>
    </font>
    <font>
      <sz val="10"/>
      <color theme="0"/>
      <name val="Century Gothic"/>
      <family val="2"/>
    </font>
    <font>
      <sz val="10"/>
      <color indexed="41"/>
      <name val="Century Gothic"/>
      <family val="2"/>
    </font>
    <font>
      <sz val="8"/>
      <name val="Century Gothic"/>
      <family val="2"/>
    </font>
    <font>
      <u/>
      <sz val="10"/>
      <color theme="10"/>
      <name val="Arial"/>
      <family val="2"/>
    </font>
    <font>
      <u/>
      <sz val="10"/>
      <color theme="11"/>
      <name val="Arial"/>
      <family val="2"/>
    </font>
    <font>
      <b/>
      <sz val="10"/>
      <color rgb="FFFF0000"/>
      <name val="Century Gothic"/>
      <family val="2"/>
    </font>
    <font>
      <sz val="14"/>
      <color rgb="FFFF0066"/>
      <name val="Century Gothic"/>
      <family val="2"/>
    </font>
    <font>
      <b/>
      <sz val="12"/>
      <color rgb="FFED145B"/>
      <name val="Century Gothic"/>
      <family val="2"/>
    </font>
    <font>
      <sz val="12"/>
      <color rgb="FFED145B"/>
      <name val="Century Gothic"/>
      <family val="2"/>
    </font>
    <font>
      <b/>
      <i/>
      <sz val="11"/>
      <color theme="0"/>
      <name val="Century Gothic"/>
      <family val="2"/>
    </font>
    <font>
      <b/>
      <sz val="14"/>
      <color rgb="FFFF0066"/>
      <name val="Century Gothic"/>
      <family val="2"/>
    </font>
    <font>
      <b/>
      <sz val="10"/>
      <color rgb="FFFF0066"/>
      <name val="Century Gothic"/>
      <family val="2"/>
    </font>
    <font>
      <vertAlign val="superscript"/>
      <sz val="10"/>
      <name val="Century Gothic"/>
      <family val="2"/>
    </font>
    <font>
      <b/>
      <sz val="10"/>
      <color indexed="8"/>
      <name val="Century Gothic"/>
      <family val="2"/>
    </font>
    <font>
      <b/>
      <sz val="14"/>
      <name val="Century Gothic"/>
      <family val="2"/>
    </font>
    <font>
      <b/>
      <sz val="16"/>
      <color rgb="FFED145B"/>
      <name val="Century Gothic"/>
      <family val="2"/>
    </font>
    <font>
      <sz val="10"/>
      <color indexed="8"/>
      <name val="Arial"/>
      <family val="2"/>
    </font>
    <font>
      <b/>
      <sz val="11"/>
      <color indexed="9"/>
      <name val="Century Gothic"/>
      <family val="2"/>
    </font>
    <font>
      <sz val="11"/>
      <name val="Arial"/>
      <family val="2"/>
    </font>
    <font>
      <b/>
      <i/>
      <sz val="12"/>
      <name val="Century Gothic"/>
      <family val="2"/>
    </font>
    <font>
      <i/>
      <sz val="12"/>
      <name val="Century Gothic"/>
      <family val="2"/>
    </font>
    <font>
      <i/>
      <u/>
      <sz val="12"/>
      <name val="Century Gothic"/>
      <family val="2"/>
    </font>
    <font>
      <b/>
      <i/>
      <sz val="12"/>
      <color rgb="FF00B0F0"/>
      <name val="Century Gothic"/>
      <family val="2"/>
    </font>
    <font>
      <b/>
      <i/>
      <sz val="12"/>
      <color rgb="FFFF0000"/>
      <name val="Century Gothic"/>
      <family val="2"/>
    </font>
    <font>
      <b/>
      <u/>
      <sz val="11"/>
      <name val="Century Gothic"/>
      <family val="2"/>
    </font>
    <font>
      <b/>
      <sz val="11"/>
      <color indexed="8"/>
      <name val="Century Gothic"/>
      <family val="2"/>
    </font>
    <font>
      <b/>
      <sz val="10"/>
      <color theme="0"/>
      <name val="Century Gothic"/>
      <family val="2"/>
    </font>
    <font>
      <sz val="11"/>
      <color theme="0"/>
      <name val="Century Gothic"/>
      <family val="2"/>
    </font>
    <font>
      <sz val="10"/>
      <color theme="0"/>
      <name val="Arial"/>
      <family val="2"/>
    </font>
    <font>
      <b/>
      <u/>
      <sz val="10"/>
      <name val="Century Gothic"/>
      <family val="2"/>
    </font>
    <font>
      <b/>
      <sz val="9"/>
      <name val="Arial"/>
      <family val="2"/>
    </font>
    <font>
      <b/>
      <sz val="11"/>
      <color rgb="FFFF0000"/>
      <name val="Century Gothic"/>
      <family val="2"/>
    </font>
    <font>
      <sz val="11"/>
      <color theme="0"/>
      <name val="Calibri"/>
      <family val="2"/>
      <scheme val="minor"/>
    </font>
    <font>
      <b/>
      <sz val="14"/>
      <color rgb="FF7030A0"/>
      <name val="Century Gothic"/>
      <family val="2"/>
    </font>
    <font>
      <sz val="12"/>
      <color rgb="FF7030A0"/>
      <name val="Century Gothic"/>
      <family val="2"/>
    </font>
    <font>
      <sz val="10"/>
      <color theme="1"/>
      <name val="Century Gothic"/>
      <family val="2"/>
    </font>
    <font>
      <b/>
      <sz val="10"/>
      <color theme="1"/>
      <name val="Century Gothic"/>
      <family val="2"/>
    </font>
  </fonts>
  <fills count="14">
    <fill>
      <patternFill patternType="none"/>
    </fill>
    <fill>
      <patternFill patternType="gray125"/>
    </fill>
    <fill>
      <patternFill patternType="solid">
        <fgColor indexed="42"/>
      </patternFill>
    </fill>
    <fill>
      <patternFill patternType="solid">
        <fgColor theme="0"/>
        <bgColor indexed="64"/>
      </patternFill>
    </fill>
    <fill>
      <patternFill patternType="solid">
        <fgColor rgb="FFFF0066"/>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0" tint="-4.9989318521683403E-2"/>
        <bgColor indexed="64"/>
      </patternFill>
    </fill>
  </fills>
  <borders count="69">
    <border>
      <left/>
      <right/>
      <top/>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ck">
        <color auto="1"/>
      </bottom>
      <diagonal/>
    </border>
    <border>
      <left style="thin">
        <color auto="1"/>
      </left>
      <right style="thin">
        <color auto="1"/>
      </right>
      <top style="thick">
        <color auto="1"/>
      </top>
      <bottom style="thin">
        <color auto="1"/>
      </bottom>
      <diagonal/>
    </border>
    <border>
      <left style="thin">
        <color auto="1"/>
      </left>
      <right style="thin">
        <color auto="1"/>
      </right>
      <top style="thick">
        <color indexed="64"/>
      </top>
      <bottom style="thick">
        <color auto="1"/>
      </bottom>
      <diagonal/>
    </border>
    <border>
      <left/>
      <right style="thin">
        <color auto="1"/>
      </right>
      <top style="thin">
        <color auto="1"/>
      </top>
      <bottom style="thick">
        <color indexed="64"/>
      </bottom>
      <diagonal/>
    </border>
    <border>
      <left style="thin">
        <color auto="1"/>
      </left>
      <right style="thick">
        <color auto="1"/>
      </right>
      <top style="thin">
        <color auto="1"/>
      </top>
      <bottom style="thick">
        <color indexed="64"/>
      </bottom>
      <diagonal/>
    </border>
    <border>
      <left/>
      <right/>
      <top style="thick">
        <color auto="1"/>
      </top>
      <bottom/>
      <diagonal/>
    </border>
    <border>
      <left/>
      <right/>
      <top/>
      <bottom style="thick">
        <color auto="1"/>
      </bottom>
      <diagonal/>
    </border>
    <border>
      <left style="thick">
        <color auto="1"/>
      </left>
      <right/>
      <top style="thin">
        <color auto="1"/>
      </top>
      <bottom style="thin">
        <color auto="1"/>
      </bottom>
      <diagonal/>
    </border>
    <border>
      <left style="thick">
        <color auto="1"/>
      </left>
      <right/>
      <top style="thin">
        <color auto="1"/>
      </top>
      <bottom style="thick">
        <color auto="1"/>
      </bottom>
      <diagonal/>
    </border>
    <border>
      <left style="thin">
        <color auto="1"/>
      </left>
      <right style="thick">
        <color auto="1"/>
      </right>
      <top style="thick">
        <color indexed="64"/>
      </top>
      <bottom style="thick">
        <color auto="1"/>
      </bottom>
      <diagonal/>
    </border>
    <border>
      <left style="thin">
        <color auto="1"/>
      </left>
      <right style="thick">
        <color auto="1"/>
      </right>
      <top style="thick">
        <color auto="1"/>
      </top>
      <bottom style="thin">
        <color auto="1"/>
      </bottom>
      <diagonal/>
    </border>
    <border>
      <left style="thin">
        <color auto="1"/>
      </left>
      <right style="thick">
        <color auto="1"/>
      </right>
      <top style="thin">
        <color auto="1"/>
      </top>
      <bottom style="thin">
        <color auto="1"/>
      </bottom>
      <diagonal/>
    </border>
    <border>
      <left style="thin">
        <color auto="1"/>
      </left>
      <right style="thick">
        <color auto="1"/>
      </right>
      <top/>
      <bottom style="thin">
        <color auto="1"/>
      </bottom>
      <diagonal/>
    </border>
    <border>
      <left style="thin">
        <color auto="1"/>
      </left>
      <right style="thick">
        <color auto="1"/>
      </right>
      <top style="thin">
        <color auto="1"/>
      </top>
      <bottom/>
      <diagonal/>
    </border>
    <border>
      <left/>
      <right style="thick">
        <color auto="1"/>
      </right>
      <top/>
      <bottom style="thick">
        <color auto="1"/>
      </bottom>
      <diagonal/>
    </border>
    <border>
      <left/>
      <right style="thin">
        <color auto="1"/>
      </right>
      <top style="thick">
        <color auto="1"/>
      </top>
      <bottom style="thin">
        <color auto="1"/>
      </bottom>
      <diagonal/>
    </border>
    <border>
      <left/>
      <right style="thick">
        <color indexed="64"/>
      </right>
      <top style="thin">
        <color auto="1"/>
      </top>
      <bottom style="thick">
        <color indexed="64"/>
      </bottom>
      <diagonal/>
    </border>
    <border>
      <left style="thick">
        <color auto="1"/>
      </left>
      <right/>
      <top style="thick">
        <color auto="1"/>
      </top>
      <bottom style="thin">
        <color auto="1"/>
      </bottom>
      <diagonal/>
    </border>
    <border>
      <left style="thick">
        <color auto="1"/>
      </left>
      <right style="thin">
        <color auto="1"/>
      </right>
      <top style="thick">
        <color auto="1"/>
      </top>
      <bottom style="thin">
        <color auto="1"/>
      </bottom>
      <diagonal/>
    </border>
    <border>
      <left style="thin">
        <color auto="1"/>
      </left>
      <right/>
      <top style="thin">
        <color indexed="64"/>
      </top>
      <bottom style="thick">
        <color auto="1"/>
      </bottom>
      <diagonal/>
    </border>
    <border>
      <left style="thick">
        <color auto="1"/>
      </left>
      <right style="thin">
        <color auto="1"/>
      </right>
      <top style="thick">
        <color auto="1"/>
      </top>
      <bottom style="thick">
        <color auto="1"/>
      </bottom>
      <diagonal/>
    </border>
    <border>
      <left style="thick">
        <color auto="1"/>
      </left>
      <right style="thin">
        <color auto="1"/>
      </right>
      <top style="thick">
        <color auto="1"/>
      </top>
      <bottom/>
      <diagonal/>
    </border>
    <border>
      <left style="thick">
        <color auto="1"/>
      </left>
      <right style="thin">
        <color auto="1"/>
      </right>
      <top/>
      <bottom/>
      <diagonal/>
    </border>
    <border>
      <left style="thick">
        <color auto="1"/>
      </left>
      <right style="thin">
        <color auto="1"/>
      </right>
      <top/>
      <bottom style="thick">
        <color auto="1"/>
      </bottom>
      <diagonal/>
    </border>
    <border>
      <left style="thick">
        <color auto="1"/>
      </left>
      <right style="thin">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thin">
        <color auto="1"/>
      </left>
      <right style="medium">
        <color indexed="64"/>
      </right>
      <top/>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auto="1"/>
      </left>
      <right/>
      <top style="thin">
        <color auto="1"/>
      </top>
      <bottom/>
      <diagonal/>
    </border>
    <border>
      <left style="thin">
        <color auto="1"/>
      </left>
      <right/>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bottom style="medium">
        <color indexed="64"/>
      </bottom>
      <diagonal/>
    </border>
    <border>
      <left style="medium">
        <color indexed="64"/>
      </left>
      <right style="medium">
        <color indexed="64"/>
      </right>
      <top/>
      <bottom style="thin">
        <color auto="1"/>
      </bottom>
      <diagonal/>
    </border>
    <border>
      <left/>
      <right/>
      <top style="thin">
        <color auto="1"/>
      </top>
      <bottom/>
      <diagonal/>
    </border>
    <border>
      <left/>
      <right style="thin">
        <color auto="1"/>
      </right>
      <top/>
      <bottom/>
      <diagonal/>
    </border>
    <border>
      <left/>
      <right/>
      <top/>
      <bottom style="thin">
        <color auto="1"/>
      </bottom>
      <diagonal/>
    </border>
    <border>
      <left/>
      <right style="thin">
        <color indexed="64"/>
      </right>
      <top style="thin">
        <color indexed="64"/>
      </top>
      <bottom/>
      <diagonal/>
    </border>
  </borders>
  <cellStyleXfs count="85">
    <xf numFmtId="0" fontId="0" fillId="0" borderId="0"/>
    <xf numFmtId="0" fontId="5" fillId="2" borderId="0" applyNumberFormat="0" applyBorder="0" applyAlignment="0" applyProtection="0"/>
    <xf numFmtId="166" fontId="2" fillId="0" borderId="0" applyFont="0" applyFill="0" applyBorder="0" applyAlignment="0" applyProtection="0"/>
    <xf numFmtId="0" fontId="4" fillId="0" borderId="0"/>
    <xf numFmtId="0" fontId="6" fillId="0" borderId="1" applyNumberFormat="0" applyFill="0" applyAlignment="0" applyProtection="0"/>
    <xf numFmtId="0" fontId="7" fillId="0" borderId="2" applyNumberFormat="0" applyFill="0" applyAlignment="0" applyProtection="0"/>
    <xf numFmtId="0" fontId="8" fillId="0" borderId="3" applyNumberFormat="0" applyFill="0" applyAlignment="0" applyProtection="0"/>
    <xf numFmtId="0" fontId="8" fillId="0" borderId="0" applyNumberFormat="0" applyFill="0" applyBorder="0" applyAlignment="0" applyProtection="0"/>
    <xf numFmtId="0" fontId="9" fillId="0" borderId="0"/>
    <xf numFmtId="0" fontId="2" fillId="0" borderId="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36" fillId="0" borderId="0"/>
    <xf numFmtId="0" fontId="36" fillId="0" borderId="0"/>
    <xf numFmtId="0" fontId="1" fillId="0" borderId="0"/>
  </cellStyleXfs>
  <cellXfs count="381">
    <xf numFmtId="0" fontId="0" fillId="0" borderId="0" xfId="0"/>
    <xf numFmtId="0" fontId="16" fillId="0" borderId="4" xfId="0" applyFont="1" applyFill="1" applyBorder="1" applyAlignment="1" applyProtection="1">
      <alignment horizontal="center" vertical="center" wrapText="1"/>
      <protection locked="0"/>
    </xf>
    <xf numFmtId="49" fontId="13" fillId="0" borderId="4" xfId="0" applyNumberFormat="1" applyFont="1" applyFill="1" applyBorder="1" applyAlignment="1" applyProtection="1">
      <alignment horizontal="center" vertical="center" wrapText="1"/>
      <protection locked="0"/>
    </xf>
    <xf numFmtId="14" fontId="13" fillId="0" borderId="4" xfId="0" applyNumberFormat="1" applyFont="1" applyBorder="1" applyAlignment="1" applyProtection="1">
      <alignment horizontal="center" vertical="center" wrapText="1"/>
      <protection locked="0"/>
    </xf>
    <xf numFmtId="0" fontId="10" fillId="3" borderId="0" xfId="0" applyFont="1" applyFill="1" applyAlignment="1" applyProtection="1">
      <alignment vertical="center"/>
    </xf>
    <xf numFmtId="0" fontId="10" fillId="3" borderId="0" xfId="0" applyFont="1" applyFill="1" applyBorder="1" applyAlignment="1" applyProtection="1">
      <alignment vertical="center"/>
    </xf>
    <xf numFmtId="1" fontId="13" fillId="0" borderId="4" xfId="0" applyNumberFormat="1" applyFont="1" applyFill="1" applyBorder="1" applyAlignment="1" applyProtection="1">
      <alignment horizontal="center" vertical="center" wrapText="1"/>
      <protection locked="0"/>
    </xf>
    <xf numFmtId="3" fontId="13" fillId="0" borderId="4" xfId="0" applyNumberFormat="1" applyFont="1" applyBorder="1" applyAlignment="1" applyProtection="1">
      <alignment vertical="center"/>
      <protection locked="0"/>
    </xf>
    <xf numFmtId="0" fontId="13" fillId="3" borderId="0" xfId="0" applyFont="1" applyFill="1" applyAlignment="1" applyProtection="1">
      <alignment vertical="center"/>
    </xf>
    <xf numFmtId="0" fontId="13" fillId="0" borderId="0" xfId="0" applyFont="1" applyAlignment="1" applyProtection="1">
      <alignment vertical="center"/>
    </xf>
    <xf numFmtId="0" fontId="13" fillId="0" borderId="0" xfId="0" applyFont="1" applyBorder="1" applyAlignment="1" applyProtection="1">
      <alignment vertical="center"/>
    </xf>
    <xf numFmtId="0" fontId="12" fillId="3" borderId="0" xfId="0" applyFont="1" applyFill="1" applyAlignment="1" applyProtection="1">
      <alignment vertical="center"/>
    </xf>
    <xf numFmtId="49" fontId="10" fillId="3" borderId="0" xfId="0" applyNumberFormat="1" applyFont="1" applyFill="1" applyAlignment="1" applyProtection="1">
      <alignment vertical="center"/>
    </xf>
    <xf numFmtId="49" fontId="10" fillId="0" borderId="0" xfId="0" applyNumberFormat="1" applyFont="1" applyFill="1" applyAlignment="1" applyProtection="1">
      <alignment vertical="center"/>
    </xf>
    <xf numFmtId="49" fontId="13" fillId="0" borderId="0" xfId="0" applyNumberFormat="1" applyFont="1" applyAlignment="1" applyProtection="1">
      <alignment vertical="center"/>
    </xf>
    <xf numFmtId="0" fontId="13" fillId="0" borderId="0" xfId="0" applyFont="1" applyFill="1" applyAlignment="1" applyProtection="1">
      <alignment vertical="center"/>
    </xf>
    <xf numFmtId="49" fontId="11" fillId="3" borderId="0" xfId="0" applyNumberFormat="1" applyFont="1" applyFill="1" applyAlignment="1" applyProtection="1">
      <alignment vertical="center"/>
    </xf>
    <xf numFmtId="49" fontId="11" fillId="3" borderId="0" xfId="0" applyNumberFormat="1" applyFont="1" applyFill="1" applyBorder="1" applyAlignment="1" applyProtection="1">
      <alignment vertical="center"/>
    </xf>
    <xf numFmtId="49" fontId="11" fillId="0" borderId="0" xfId="0" applyNumberFormat="1" applyFont="1" applyFill="1" applyAlignment="1" applyProtection="1">
      <alignment vertical="center"/>
    </xf>
    <xf numFmtId="49" fontId="13" fillId="3" borderId="0" xfId="0" applyNumberFormat="1" applyFont="1" applyFill="1" applyAlignment="1" applyProtection="1">
      <alignment vertical="center"/>
    </xf>
    <xf numFmtId="49" fontId="13" fillId="0" borderId="0" xfId="0" applyNumberFormat="1" applyFont="1" applyAlignment="1" applyProtection="1">
      <alignment horizontal="center" vertical="center"/>
    </xf>
    <xf numFmtId="49" fontId="14" fillId="3" borderId="0" xfId="0" applyNumberFormat="1" applyFont="1" applyFill="1" applyAlignment="1" applyProtection="1">
      <alignment vertical="center"/>
    </xf>
    <xf numFmtId="49" fontId="13" fillId="3" borderId="0" xfId="0" applyNumberFormat="1" applyFont="1" applyFill="1" applyAlignment="1" applyProtection="1">
      <alignment horizontal="center" vertical="center"/>
    </xf>
    <xf numFmtId="49" fontId="18" fillId="3" borderId="0" xfId="0" applyNumberFormat="1" applyFont="1" applyFill="1" applyAlignment="1" applyProtection="1">
      <alignment vertical="center"/>
    </xf>
    <xf numFmtId="2" fontId="18" fillId="3" borderId="0" xfId="0" applyNumberFormat="1" applyFont="1" applyFill="1" applyAlignment="1" applyProtection="1">
      <alignment vertical="center"/>
    </xf>
    <xf numFmtId="49" fontId="18" fillId="0" borderId="0" xfId="0" applyNumberFormat="1" applyFont="1" applyAlignment="1" applyProtection="1">
      <alignment vertical="center"/>
    </xf>
    <xf numFmtId="0" fontId="13" fillId="0" borderId="4" xfId="0" applyFont="1" applyBorder="1" applyAlignment="1" applyProtection="1">
      <alignment vertical="center"/>
    </xf>
    <xf numFmtId="49" fontId="19" fillId="4" borderId="4" xfId="0" applyNumberFormat="1" applyFont="1" applyFill="1" applyBorder="1" applyAlignment="1" applyProtection="1">
      <alignment vertical="center"/>
    </xf>
    <xf numFmtId="49" fontId="20" fillId="4" borderId="4" xfId="0" applyNumberFormat="1" applyFont="1" applyFill="1" applyBorder="1" applyAlignment="1" applyProtection="1">
      <alignment vertical="center" wrapText="1"/>
    </xf>
    <xf numFmtId="49" fontId="20" fillId="4" borderId="4" xfId="0" applyNumberFormat="1" applyFont="1" applyFill="1" applyBorder="1" applyAlignment="1" applyProtection="1">
      <alignment horizontal="center" vertical="center" wrapText="1"/>
    </xf>
    <xf numFmtId="49" fontId="21" fillId="3" borderId="0" xfId="0" applyNumberFormat="1" applyFont="1" applyFill="1" applyBorder="1" applyAlignment="1" applyProtection="1">
      <alignment vertical="center" wrapText="1"/>
    </xf>
    <xf numFmtId="165" fontId="13" fillId="3" borderId="0" xfId="0" applyNumberFormat="1" applyFont="1" applyFill="1" applyBorder="1" applyAlignment="1" applyProtection="1">
      <alignment horizontal="center" vertical="center"/>
    </xf>
    <xf numFmtId="49" fontId="13" fillId="3" borderId="0" xfId="0" applyNumberFormat="1" applyFont="1" applyFill="1" applyBorder="1" applyAlignment="1" applyProtection="1">
      <alignment horizontal="center" vertical="center"/>
    </xf>
    <xf numFmtId="49" fontId="13" fillId="0" borderId="0" xfId="0" applyNumberFormat="1" applyFont="1" applyFill="1" applyAlignment="1" applyProtection="1">
      <alignment vertical="center"/>
    </xf>
    <xf numFmtId="3" fontId="14" fillId="3" borderId="0" xfId="0" applyNumberFormat="1" applyFont="1" applyFill="1" applyBorder="1" applyAlignment="1" applyProtection="1">
      <alignment horizontal="right" vertical="center" wrapText="1"/>
    </xf>
    <xf numFmtId="49" fontId="13" fillId="0" borderId="0" xfId="0" applyNumberFormat="1" applyFont="1" applyFill="1" applyAlignment="1" applyProtection="1">
      <alignment horizontal="center" vertical="center"/>
    </xf>
    <xf numFmtId="0" fontId="10" fillId="0" borderId="0" xfId="0" applyFont="1" applyAlignment="1" applyProtection="1">
      <alignment vertical="center"/>
    </xf>
    <xf numFmtId="49" fontId="10" fillId="0" borderId="0" xfId="0" applyNumberFormat="1" applyFont="1" applyFill="1" applyBorder="1" applyAlignment="1" applyProtection="1">
      <alignment vertical="center"/>
    </xf>
    <xf numFmtId="49" fontId="10" fillId="0" borderId="0" xfId="0" applyNumberFormat="1" applyFont="1" applyAlignment="1" applyProtection="1">
      <alignment vertical="center"/>
    </xf>
    <xf numFmtId="167" fontId="13" fillId="0" borderId="4" xfId="0" applyNumberFormat="1" applyFont="1" applyFill="1" applyBorder="1" applyAlignment="1" applyProtection="1">
      <alignment horizontal="center" vertical="center" wrapText="1"/>
      <protection locked="0"/>
    </xf>
    <xf numFmtId="0" fontId="13" fillId="0" borderId="4" xfId="0" applyNumberFormat="1" applyFont="1" applyFill="1" applyBorder="1" applyAlignment="1" applyProtection="1">
      <alignment horizontal="center" vertical="center" wrapText="1"/>
      <protection locked="0"/>
    </xf>
    <xf numFmtId="49" fontId="29" fillId="4" borderId="4" xfId="0" applyNumberFormat="1" applyFont="1" applyFill="1" applyBorder="1" applyAlignment="1" applyProtection="1">
      <alignment vertical="center"/>
    </xf>
    <xf numFmtId="49" fontId="31" fillId="0" borderId="0" xfId="0" applyNumberFormat="1" applyFont="1" applyAlignment="1" applyProtection="1">
      <alignment vertical="center"/>
    </xf>
    <xf numFmtId="0" fontId="13" fillId="0" borderId="6" xfId="0" applyFont="1" applyBorder="1" applyAlignment="1" applyProtection="1">
      <alignment vertical="center"/>
    </xf>
    <xf numFmtId="3" fontId="13" fillId="0" borderId="6" xfId="0" applyNumberFormat="1" applyFont="1" applyBorder="1" applyAlignment="1" applyProtection="1">
      <alignment vertical="center"/>
      <protection locked="0"/>
    </xf>
    <xf numFmtId="0" fontId="13" fillId="0" borderId="9" xfId="0" applyFont="1" applyBorder="1" applyAlignment="1" applyProtection="1">
      <alignment vertical="center"/>
    </xf>
    <xf numFmtId="3" fontId="13" fillId="0" borderId="9" xfId="0" applyNumberFormat="1" applyFont="1" applyBorder="1" applyAlignment="1" applyProtection="1">
      <alignment vertical="center"/>
      <protection locked="0"/>
    </xf>
    <xf numFmtId="0" fontId="14" fillId="0" borderId="10" xfId="0" applyFont="1" applyBorder="1" applyAlignment="1" applyProtection="1">
      <alignment vertical="center"/>
    </xf>
    <xf numFmtId="3" fontId="14" fillId="0" borderId="10" xfId="0" applyNumberFormat="1" applyFont="1" applyBorder="1" applyAlignment="1" applyProtection="1">
      <alignment vertical="center"/>
    </xf>
    <xf numFmtId="0" fontId="14" fillId="0" borderId="6" xfId="0" applyFont="1" applyBorder="1" applyAlignment="1" applyProtection="1">
      <alignment vertical="center"/>
    </xf>
    <xf numFmtId="0" fontId="13" fillId="0" borderId="11" xfId="0" applyFont="1" applyBorder="1" applyAlignment="1" applyProtection="1">
      <alignment vertical="center"/>
    </xf>
    <xf numFmtId="3" fontId="13" fillId="0" borderId="11" xfId="0" applyNumberFormat="1" applyFont="1" applyBorder="1" applyAlignment="1" applyProtection="1">
      <alignment vertical="center"/>
      <protection locked="0"/>
    </xf>
    <xf numFmtId="0" fontId="17" fillId="0" borderId="12" xfId="0" applyFont="1" applyBorder="1" applyAlignment="1" applyProtection="1">
      <alignment horizontal="center" vertical="center" wrapText="1"/>
    </xf>
    <xf numFmtId="0" fontId="17" fillId="0" borderId="11" xfId="0" applyFont="1" applyBorder="1" applyAlignment="1" applyProtection="1">
      <alignment horizontal="center" vertical="center" wrapText="1"/>
    </xf>
    <xf numFmtId="3" fontId="14" fillId="0" borderId="10" xfId="0" applyNumberFormat="1" applyFont="1" applyBorder="1" applyAlignment="1" applyProtection="1">
      <alignment vertical="center"/>
      <protection locked="0"/>
    </xf>
    <xf numFmtId="0" fontId="17" fillId="0" borderId="19" xfId="0" applyFont="1" applyFill="1" applyBorder="1" applyAlignment="1" applyProtection="1">
      <alignment horizontal="center" vertical="center" wrapText="1"/>
    </xf>
    <xf numFmtId="3" fontId="13" fillId="0" borderId="20" xfId="0" applyNumberFormat="1" applyFont="1" applyBorder="1" applyAlignment="1" applyProtection="1">
      <alignment vertical="center"/>
      <protection locked="0"/>
    </xf>
    <xf numFmtId="3" fontId="13" fillId="0" borderId="21" xfId="0" applyNumberFormat="1" applyFont="1" applyBorder="1" applyAlignment="1" applyProtection="1">
      <alignment vertical="center"/>
      <protection locked="0"/>
    </xf>
    <xf numFmtId="3" fontId="14" fillId="0" borderId="14" xfId="0" applyNumberFormat="1" applyFont="1" applyBorder="1" applyAlignment="1" applyProtection="1">
      <alignment vertical="center"/>
    </xf>
    <xf numFmtId="3" fontId="13" fillId="0" borderId="22" xfId="0" applyNumberFormat="1" applyFont="1" applyBorder="1" applyAlignment="1" applyProtection="1">
      <alignment vertical="center"/>
      <protection locked="0"/>
    </xf>
    <xf numFmtId="3" fontId="13" fillId="0" borderId="23" xfId="0" applyNumberFormat="1" applyFont="1" applyBorder="1" applyAlignment="1" applyProtection="1">
      <alignment vertical="center"/>
      <protection locked="0"/>
    </xf>
    <xf numFmtId="0" fontId="17" fillId="0" borderId="20" xfId="0" applyFont="1" applyBorder="1" applyAlignment="1" applyProtection="1">
      <alignment horizontal="center" vertical="center" wrapText="1"/>
    </xf>
    <xf numFmtId="0" fontId="17" fillId="3" borderId="18" xfId="0" applyFont="1" applyFill="1" applyBorder="1" applyAlignment="1" applyProtection="1">
      <alignment horizontal="left" vertical="center"/>
    </xf>
    <xf numFmtId="49" fontId="20" fillId="4" borderId="9" xfId="0" applyNumberFormat="1" applyFont="1" applyFill="1" applyBorder="1" applyAlignment="1" applyProtection="1">
      <alignment horizontal="center" vertical="center" wrapText="1"/>
    </xf>
    <xf numFmtId="0" fontId="13" fillId="0" borderId="4" xfId="0" applyFont="1" applyFill="1" applyBorder="1" applyAlignment="1" applyProtection="1">
      <alignment vertical="center"/>
    </xf>
    <xf numFmtId="0" fontId="14" fillId="0" borderId="29" xfId="0" applyFont="1" applyBorder="1" applyAlignment="1" applyProtection="1">
      <alignment vertical="center"/>
    </xf>
    <xf numFmtId="0" fontId="12" fillId="0" borderId="0" xfId="0" applyFont="1" applyFill="1" applyAlignment="1" applyProtection="1">
      <alignment vertical="center"/>
    </xf>
    <xf numFmtId="0" fontId="17" fillId="0" borderId="30" xfId="0" applyFont="1" applyBorder="1" applyAlignment="1" applyProtection="1">
      <alignment horizontal="center" vertical="center" wrapText="1"/>
    </xf>
    <xf numFmtId="0" fontId="13" fillId="0" borderId="34" xfId="0" applyFont="1" applyFill="1" applyBorder="1" applyAlignment="1">
      <alignment vertical="center"/>
    </xf>
    <xf numFmtId="0" fontId="13" fillId="0" borderId="34" xfId="0" applyFont="1" applyFill="1" applyBorder="1" applyAlignment="1">
      <alignment horizontal="left" vertical="center" indent="3"/>
    </xf>
    <xf numFmtId="49" fontId="20" fillId="0" borderId="0" xfId="0" applyNumberFormat="1" applyFont="1" applyFill="1" applyBorder="1" applyAlignment="1" applyProtection="1">
      <alignment horizontal="center" vertical="center" wrapText="1"/>
    </xf>
    <xf numFmtId="49" fontId="14" fillId="3" borderId="0" xfId="0" applyNumberFormat="1" applyFont="1" applyFill="1" applyAlignment="1" applyProtection="1">
      <alignment vertical="center" wrapText="1"/>
    </xf>
    <xf numFmtId="49" fontId="14" fillId="7" borderId="4" xfId="0" applyNumberFormat="1" applyFont="1" applyFill="1" applyBorder="1" applyAlignment="1" applyProtection="1">
      <alignment horizontal="center" vertical="center"/>
    </xf>
    <xf numFmtId="49" fontId="14" fillId="7" borderId="4" xfId="0" applyNumberFormat="1" applyFont="1" applyFill="1" applyBorder="1" applyAlignment="1" applyProtection="1">
      <alignment horizontal="center" vertical="center" wrapText="1"/>
    </xf>
    <xf numFmtId="0" fontId="17" fillId="0" borderId="28" xfId="0" applyFont="1" applyFill="1" applyBorder="1" applyAlignment="1" applyProtection="1">
      <alignment horizontal="center" vertical="center" wrapText="1"/>
    </xf>
    <xf numFmtId="0" fontId="10" fillId="0" borderId="0" xfId="0" applyFont="1" applyFill="1" applyAlignment="1" applyProtection="1">
      <alignment vertical="center"/>
    </xf>
    <xf numFmtId="0" fontId="10" fillId="0" borderId="0" xfId="0" applyFont="1" applyAlignment="1">
      <alignment vertical="center"/>
    </xf>
    <xf numFmtId="0" fontId="10" fillId="3" borderId="0" xfId="0" applyFont="1" applyFill="1" applyAlignment="1">
      <alignment vertical="center"/>
    </xf>
    <xf numFmtId="0" fontId="35" fillId="3" borderId="0" xfId="0" applyFont="1" applyFill="1" applyAlignment="1" applyProtection="1">
      <alignment vertical="center"/>
    </xf>
    <xf numFmtId="0" fontId="37" fillId="4" borderId="0" xfId="9" applyFont="1" applyFill="1" applyAlignment="1">
      <alignment horizontal="left" vertical="center"/>
    </xf>
    <xf numFmtId="0" fontId="37" fillId="4" borderId="0" xfId="82" applyFont="1" applyFill="1" applyBorder="1" applyAlignment="1">
      <alignment horizontal="left" vertical="center"/>
    </xf>
    <xf numFmtId="0" fontId="12" fillId="8" borderId="0" xfId="0" applyFont="1" applyFill="1" applyAlignment="1" applyProtection="1">
      <alignment vertical="center"/>
    </xf>
    <xf numFmtId="0" fontId="10" fillId="8" borderId="0" xfId="0" applyFont="1" applyFill="1" applyAlignment="1">
      <alignment vertical="center"/>
    </xf>
    <xf numFmtId="0" fontId="10" fillId="8" borderId="0" xfId="0" applyFont="1" applyFill="1" applyAlignment="1">
      <alignment horizontal="right" vertical="center"/>
    </xf>
    <xf numFmtId="0" fontId="36" fillId="8" borderId="4" xfId="83" applyFont="1" applyFill="1" applyBorder="1" applyAlignment="1">
      <alignment horizontal="center" vertical="center" wrapText="1"/>
    </xf>
    <xf numFmtId="0" fontId="2" fillId="8" borderId="4" xfId="9" applyFill="1" applyBorder="1" applyAlignment="1">
      <alignment vertical="center"/>
    </xf>
    <xf numFmtId="0" fontId="2" fillId="8" borderId="4" xfId="9" applyFill="1" applyBorder="1" applyAlignment="1">
      <alignment horizontal="center" vertical="center"/>
    </xf>
    <xf numFmtId="0" fontId="10" fillId="8" borderId="4" xfId="0" applyFont="1" applyFill="1" applyBorder="1" applyAlignment="1">
      <alignment vertical="center"/>
    </xf>
    <xf numFmtId="0" fontId="2" fillId="8" borderId="4" xfId="83" applyFont="1" applyFill="1" applyBorder="1" applyAlignment="1">
      <alignment horizontal="center" vertical="center" wrapText="1"/>
    </xf>
    <xf numFmtId="0" fontId="2" fillId="8" borderId="4" xfId="9" applyFont="1" applyFill="1" applyBorder="1" applyAlignment="1">
      <alignment horizontal="center" vertical="center"/>
    </xf>
    <xf numFmtId="0" fontId="0" fillId="8" borderId="4" xfId="0" applyFill="1" applyBorder="1" applyAlignment="1">
      <alignment horizontal="center" vertical="center"/>
    </xf>
    <xf numFmtId="0" fontId="0" fillId="8" borderId="4" xfId="83" applyFont="1" applyFill="1" applyBorder="1" applyAlignment="1">
      <alignment horizontal="center" vertical="center" wrapText="1"/>
    </xf>
    <xf numFmtId="0" fontId="2" fillId="8" borderId="4" xfId="9" applyFont="1" applyFill="1" applyBorder="1" applyAlignment="1">
      <alignment horizontal="center" vertical="center" wrapText="1"/>
    </xf>
    <xf numFmtId="0" fontId="0" fillId="8" borderId="4" xfId="82" applyFont="1" applyFill="1" applyBorder="1" applyAlignment="1">
      <alignment horizontal="center" vertical="center"/>
    </xf>
    <xf numFmtId="0" fontId="2" fillId="8" borderId="4" xfId="83" applyFont="1" applyFill="1" applyBorder="1" applyAlignment="1">
      <alignment horizontal="center" vertical="center"/>
    </xf>
    <xf numFmtId="0" fontId="37" fillId="4" borderId="0" xfId="82" applyFont="1" applyFill="1" applyBorder="1" applyAlignment="1">
      <alignment horizontal="left" vertical="center" wrapText="1"/>
    </xf>
    <xf numFmtId="0" fontId="37" fillId="4" borderId="0" xfId="9" applyFont="1" applyFill="1" applyAlignment="1">
      <alignment horizontal="left" vertical="center" wrapText="1"/>
    </xf>
    <xf numFmtId="0" fontId="12" fillId="9" borderId="0" xfId="0" applyFont="1" applyFill="1" applyAlignment="1" applyProtection="1">
      <alignment vertical="center"/>
    </xf>
    <xf numFmtId="0" fontId="10" fillId="9" borderId="0" xfId="0" applyFont="1" applyFill="1" applyAlignment="1">
      <alignment vertical="center"/>
    </xf>
    <xf numFmtId="0" fontId="10" fillId="9" borderId="0" xfId="0" applyFont="1" applyFill="1" applyAlignment="1">
      <alignment horizontal="right" vertical="center"/>
    </xf>
    <xf numFmtId="0" fontId="10" fillId="9" borderId="4" xfId="0" applyFont="1" applyFill="1" applyBorder="1" applyAlignment="1">
      <alignment vertical="center"/>
    </xf>
    <xf numFmtId="0" fontId="12" fillId="10" borderId="0" xfId="0" applyFont="1" applyFill="1" applyAlignment="1" applyProtection="1">
      <alignment vertical="center"/>
    </xf>
    <xf numFmtId="0" fontId="10" fillId="10" borderId="0" xfId="0" applyFont="1" applyFill="1" applyAlignment="1">
      <alignment vertical="center"/>
    </xf>
    <xf numFmtId="0" fontId="10" fillId="10" borderId="0" xfId="0" applyFont="1" applyFill="1" applyAlignment="1">
      <alignment horizontal="right" vertical="center"/>
    </xf>
    <xf numFmtId="0" fontId="12" fillId="11" borderId="0" xfId="0" applyFont="1" applyFill="1" applyAlignment="1" applyProtection="1">
      <alignment vertical="center"/>
    </xf>
    <xf numFmtId="0" fontId="10" fillId="11" borderId="0" xfId="0" applyFont="1" applyFill="1" applyAlignment="1">
      <alignment vertical="center"/>
    </xf>
    <xf numFmtId="0" fontId="10" fillId="11" borderId="0" xfId="0" applyFont="1" applyFill="1" applyAlignment="1">
      <alignment horizontal="right" vertical="center"/>
    </xf>
    <xf numFmtId="0" fontId="10" fillId="10" borderId="4" xfId="0" applyFont="1" applyFill="1" applyBorder="1" applyAlignment="1">
      <alignment vertical="center"/>
    </xf>
    <xf numFmtId="0" fontId="10" fillId="10" borderId="36" xfId="0" applyFont="1" applyFill="1" applyBorder="1" applyAlignment="1">
      <alignment vertical="center"/>
    </xf>
    <xf numFmtId="0" fontId="10" fillId="10" borderId="7" xfId="0" applyFont="1" applyFill="1" applyBorder="1" applyAlignment="1">
      <alignment vertical="center"/>
    </xf>
    <xf numFmtId="0" fontId="10" fillId="10" borderId="6" xfId="0" applyFont="1" applyFill="1" applyBorder="1" applyAlignment="1">
      <alignment vertical="center"/>
    </xf>
    <xf numFmtId="0" fontId="10" fillId="10" borderId="9" xfId="0" applyFont="1" applyFill="1" applyBorder="1" applyAlignment="1">
      <alignment vertical="center"/>
    </xf>
    <xf numFmtId="0" fontId="10" fillId="9" borderId="4" xfId="0" applyFont="1" applyFill="1" applyBorder="1" applyAlignment="1">
      <alignment horizontal="center" vertical="center"/>
    </xf>
    <xf numFmtId="0" fontId="37" fillId="4" borderId="0" xfId="9" applyFont="1" applyFill="1" applyAlignment="1">
      <alignment horizontal="center" vertical="center"/>
    </xf>
    <xf numFmtId="0" fontId="17" fillId="10" borderId="4" xfId="0" applyFont="1" applyFill="1" applyBorder="1" applyAlignment="1">
      <alignment vertical="center"/>
    </xf>
    <xf numFmtId="0" fontId="17" fillId="0" borderId="4" xfId="0" applyFont="1" applyBorder="1" applyAlignment="1">
      <alignment vertical="center"/>
    </xf>
    <xf numFmtId="0" fontId="10" fillId="10" borderId="4" xfId="0" applyFont="1" applyFill="1" applyBorder="1" applyAlignment="1">
      <alignment horizontal="center" vertical="center" wrapText="1"/>
    </xf>
    <xf numFmtId="0" fontId="17" fillId="10" borderId="6" xfId="0" applyFont="1" applyFill="1" applyBorder="1" applyAlignment="1">
      <alignment vertical="center"/>
    </xf>
    <xf numFmtId="0" fontId="17" fillId="10" borderId="40" xfId="0" applyFont="1" applyFill="1" applyBorder="1" applyAlignment="1">
      <alignment vertical="center"/>
    </xf>
    <xf numFmtId="0" fontId="10" fillId="10" borderId="40" xfId="0" applyFont="1" applyFill="1" applyBorder="1" applyAlignment="1">
      <alignment vertical="center"/>
    </xf>
    <xf numFmtId="0" fontId="10" fillId="10" borderId="41" xfId="0" applyFont="1" applyFill="1" applyBorder="1" applyAlignment="1">
      <alignment vertical="center"/>
    </xf>
    <xf numFmtId="0" fontId="10" fillId="10" borderId="43" xfId="0" applyFont="1" applyFill="1" applyBorder="1" applyAlignment="1">
      <alignment vertical="center"/>
    </xf>
    <xf numFmtId="0" fontId="17" fillId="10" borderId="46" xfId="0" applyFont="1" applyFill="1" applyBorder="1" applyAlignment="1">
      <alignment vertical="center"/>
    </xf>
    <xf numFmtId="0" fontId="10" fillId="10" borderId="46" xfId="0" applyFont="1" applyFill="1" applyBorder="1" applyAlignment="1">
      <alignment vertical="center"/>
    </xf>
    <xf numFmtId="0" fontId="10" fillId="10" borderId="47" xfId="0" applyFont="1" applyFill="1" applyBorder="1" applyAlignment="1">
      <alignment vertical="center"/>
    </xf>
    <xf numFmtId="0" fontId="10" fillId="10" borderId="48" xfId="0" applyFont="1" applyFill="1" applyBorder="1" applyAlignment="1">
      <alignment vertical="center"/>
    </xf>
    <xf numFmtId="0" fontId="10" fillId="10" borderId="51" xfId="0" applyFont="1" applyFill="1" applyBorder="1" applyAlignment="1">
      <alignment vertical="center"/>
    </xf>
    <xf numFmtId="0" fontId="10" fillId="10" borderId="52" xfId="0" applyFont="1" applyFill="1" applyBorder="1" applyAlignment="1">
      <alignment vertical="center"/>
    </xf>
    <xf numFmtId="0" fontId="17" fillId="10" borderId="53" xfId="0" applyFont="1" applyFill="1" applyBorder="1" applyAlignment="1">
      <alignment vertical="center"/>
    </xf>
    <xf numFmtId="0" fontId="10" fillId="10" borderId="53" xfId="0" applyFont="1" applyFill="1" applyBorder="1" applyAlignment="1">
      <alignment vertical="center"/>
    </xf>
    <xf numFmtId="0" fontId="10" fillId="10" borderId="54" xfId="0" applyFont="1" applyFill="1" applyBorder="1" applyAlignment="1">
      <alignment vertical="center"/>
    </xf>
    <xf numFmtId="0" fontId="10" fillId="10" borderId="0" xfId="0" applyFont="1" applyFill="1" applyBorder="1" applyAlignment="1">
      <alignment vertical="center"/>
    </xf>
    <xf numFmtId="0" fontId="12" fillId="12" borderId="0" xfId="0" applyFont="1" applyFill="1" applyAlignment="1" applyProtection="1">
      <alignment vertical="center"/>
    </xf>
    <xf numFmtId="0" fontId="10" fillId="12" borderId="0" xfId="0" applyFont="1" applyFill="1" applyAlignment="1">
      <alignment vertical="center"/>
    </xf>
    <xf numFmtId="0" fontId="10" fillId="12" borderId="0" xfId="0" applyFont="1" applyFill="1" applyAlignment="1">
      <alignment horizontal="right" vertical="center"/>
    </xf>
    <xf numFmtId="0" fontId="12" fillId="13" borderId="0" xfId="0" applyFont="1" applyFill="1" applyAlignment="1" applyProtection="1">
      <alignment vertical="center"/>
    </xf>
    <xf numFmtId="0" fontId="10" fillId="13" borderId="0" xfId="0" applyFont="1" applyFill="1" applyAlignment="1">
      <alignment vertical="center"/>
    </xf>
    <xf numFmtId="0" fontId="10" fillId="13" borderId="0" xfId="0" applyFont="1" applyFill="1" applyAlignment="1">
      <alignment horizontal="right" vertical="center"/>
    </xf>
    <xf numFmtId="0" fontId="12" fillId="8" borderId="0" xfId="0" applyFont="1" applyFill="1" applyAlignment="1" applyProtection="1">
      <alignment horizontal="right" vertical="center"/>
    </xf>
    <xf numFmtId="0" fontId="12" fillId="9" borderId="0" xfId="0" applyFont="1" applyFill="1" applyAlignment="1" applyProtection="1">
      <alignment horizontal="right" vertical="center"/>
    </xf>
    <xf numFmtId="0" fontId="12" fillId="10" borderId="0" xfId="0" applyFont="1" applyFill="1" applyAlignment="1" applyProtection="1">
      <alignment horizontal="right" vertical="center"/>
    </xf>
    <xf numFmtId="0" fontId="12" fillId="12" borderId="0" xfId="0" applyFont="1" applyFill="1" applyAlignment="1" applyProtection="1">
      <alignment horizontal="right" vertical="center"/>
    </xf>
    <xf numFmtId="0" fontId="12" fillId="11" borderId="0" xfId="0" applyFont="1" applyFill="1" applyAlignment="1" applyProtection="1">
      <alignment horizontal="right" vertical="center"/>
    </xf>
    <xf numFmtId="0" fontId="12" fillId="13" borderId="0" xfId="0" applyFont="1" applyFill="1" applyAlignment="1" applyProtection="1">
      <alignment horizontal="right" vertical="center"/>
    </xf>
    <xf numFmtId="0" fontId="10" fillId="12" borderId="4" xfId="0" applyFont="1" applyFill="1" applyBorder="1" applyAlignment="1">
      <alignment vertical="center"/>
    </xf>
    <xf numFmtId="0" fontId="17" fillId="10" borderId="36" xfId="0" applyFont="1" applyFill="1" applyBorder="1" applyAlignment="1">
      <alignment vertical="center"/>
    </xf>
    <xf numFmtId="0" fontId="10" fillId="11" borderId="4" xfId="0" applyFont="1" applyFill="1" applyBorder="1" applyAlignment="1">
      <alignment horizontal="left" vertical="center"/>
    </xf>
    <xf numFmtId="0" fontId="10" fillId="9" borderId="0" xfId="0" quotePrefix="1" applyFont="1" applyFill="1" applyAlignment="1">
      <alignment horizontal="right" vertical="center"/>
    </xf>
    <xf numFmtId="0" fontId="37" fillId="4" borderId="0" xfId="82" applyFont="1" applyFill="1" applyBorder="1" applyAlignment="1">
      <alignment horizontal="center" vertical="center"/>
    </xf>
    <xf numFmtId="0" fontId="13" fillId="0" borderId="0" xfId="0" applyNumberFormat="1" applyFont="1" applyAlignment="1" applyProtection="1">
      <alignment vertical="center"/>
    </xf>
    <xf numFmtId="49" fontId="13" fillId="0" borderId="0" xfId="0" applyNumberFormat="1" applyFont="1" applyBorder="1" applyAlignment="1" applyProtection="1">
      <alignment vertical="center"/>
    </xf>
    <xf numFmtId="0" fontId="10" fillId="6" borderId="4" xfId="0" applyFont="1" applyFill="1" applyBorder="1" applyAlignment="1">
      <alignment vertical="center"/>
    </xf>
    <xf numFmtId="0" fontId="2" fillId="8" borderId="0" xfId="9" applyFill="1" applyBorder="1" applyAlignment="1">
      <alignment horizontal="center" vertical="center"/>
    </xf>
    <xf numFmtId="14" fontId="13" fillId="0" borderId="4" xfId="0" applyNumberFormat="1" applyFont="1" applyFill="1" applyBorder="1" applyAlignment="1" applyProtection="1">
      <alignment horizontal="center" vertical="center" wrapText="1"/>
      <protection locked="0"/>
    </xf>
    <xf numFmtId="14" fontId="13" fillId="3" borderId="4" xfId="0" applyNumberFormat="1" applyFont="1" applyFill="1" applyBorder="1" applyAlignment="1" applyProtection="1">
      <alignment horizontal="center" vertical="center" wrapText="1"/>
      <protection locked="0"/>
    </xf>
    <xf numFmtId="49" fontId="31" fillId="3" borderId="0" xfId="0" applyNumberFormat="1" applyFont="1" applyFill="1" applyAlignment="1" applyProtection="1">
      <alignment vertical="center"/>
    </xf>
    <xf numFmtId="0" fontId="13" fillId="0" borderId="4" xfId="0" applyFont="1" applyBorder="1" applyAlignment="1" applyProtection="1">
      <alignment horizontal="center" vertical="center" wrapText="1"/>
      <protection locked="0"/>
    </xf>
    <xf numFmtId="49" fontId="13" fillId="0" borderId="4" xfId="0" applyNumberFormat="1" applyFont="1" applyBorder="1" applyAlignment="1" applyProtection="1">
      <alignment horizontal="center" vertical="center" wrapText="1"/>
      <protection locked="0"/>
    </xf>
    <xf numFmtId="0" fontId="27" fillId="3" borderId="15" xfId="0" applyFont="1" applyFill="1" applyBorder="1" applyAlignment="1" applyProtection="1">
      <alignment horizontal="center" vertical="center"/>
    </xf>
    <xf numFmtId="0" fontId="13" fillId="3" borderId="0" xfId="0" applyFont="1" applyFill="1" applyBorder="1" applyAlignment="1" applyProtection="1">
      <alignment horizontal="left" vertical="center" wrapText="1"/>
    </xf>
    <xf numFmtId="0" fontId="17" fillId="3" borderId="0" xfId="0" applyFont="1" applyFill="1" applyBorder="1" applyAlignment="1" applyProtection="1">
      <alignment horizontal="left" vertical="center"/>
    </xf>
    <xf numFmtId="0" fontId="27" fillId="3" borderId="16" xfId="0" applyFont="1" applyFill="1" applyBorder="1" applyAlignment="1" applyProtection="1">
      <alignment horizontal="center" vertical="center"/>
    </xf>
    <xf numFmtId="0" fontId="27" fillId="3" borderId="24" xfId="0" applyFont="1" applyFill="1" applyBorder="1" applyAlignment="1" applyProtection="1">
      <alignment horizontal="center" vertical="center"/>
    </xf>
    <xf numFmtId="0" fontId="30" fillId="3" borderId="0" xfId="0" applyFont="1" applyFill="1" applyAlignment="1" applyProtection="1">
      <alignment horizontal="left" vertical="center"/>
    </xf>
    <xf numFmtId="164" fontId="16" fillId="0" borderId="4" xfId="0" applyNumberFormat="1" applyFont="1" applyFill="1" applyBorder="1" applyAlignment="1" applyProtection="1">
      <alignment horizontal="center" vertical="center" wrapText="1"/>
      <protection locked="0"/>
    </xf>
    <xf numFmtId="0" fontId="16" fillId="3" borderId="4" xfId="0" applyFont="1" applyFill="1" applyBorder="1" applyAlignment="1" applyProtection="1">
      <alignment horizontal="center" vertical="center" wrapText="1"/>
      <protection locked="0"/>
    </xf>
    <xf numFmtId="0" fontId="10" fillId="11" borderId="7" xfId="0" applyFont="1" applyFill="1" applyBorder="1" applyAlignment="1">
      <alignment vertical="center"/>
    </xf>
    <xf numFmtId="0" fontId="10" fillId="11" borderId="60" xfId="0" applyFont="1" applyFill="1" applyBorder="1" applyAlignment="1">
      <alignment horizontal="center" vertical="center"/>
    </xf>
    <xf numFmtId="0" fontId="10" fillId="11" borderId="61" xfId="0" applyFont="1" applyFill="1" applyBorder="1" applyAlignment="1">
      <alignment horizontal="center" vertical="center"/>
    </xf>
    <xf numFmtId="0" fontId="10" fillId="11" borderId="62" xfId="0" applyFont="1" applyFill="1" applyBorder="1" applyAlignment="1">
      <alignment horizontal="center" vertical="center"/>
    </xf>
    <xf numFmtId="0" fontId="10" fillId="11" borderId="60" xfId="0" applyFont="1" applyFill="1" applyBorder="1" applyAlignment="1">
      <alignment vertical="center"/>
    </xf>
    <xf numFmtId="0" fontId="10" fillId="11" borderId="61" xfId="0" applyFont="1" applyFill="1" applyBorder="1" applyAlignment="1">
      <alignment vertical="center"/>
    </xf>
    <xf numFmtId="0" fontId="10" fillId="11" borderId="62" xfId="0" applyFont="1" applyFill="1" applyBorder="1" applyAlignment="1">
      <alignment vertical="center"/>
    </xf>
    <xf numFmtId="0" fontId="10" fillId="11" borderId="7" xfId="0" applyFont="1" applyFill="1" applyBorder="1" applyAlignment="1">
      <alignment horizontal="left" vertical="center"/>
    </xf>
    <xf numFmtId="0" fontId="10" fillId="11" borderId="64" xfId="0" applyFont="1" applyFill="1" applyBorder="1" applyAlignment="1">
      <alignment horizontal="center" vertical="center"/>
    </xf>
    <xf numFmtId="0" fontId="10" fillId="11" borderId="58" xfId="0" applyFont="1" applyFill="1" applyBorder="1" applyAlignment="1" applyProtection="1">
      <alignment vertical="center"/>
    </xf>
    <xf numFmtId="0" fontId="10" fillId="11" borderId="59" xfId="0" applyFont="1" applyFill="1" applyBorder="1" applyAlignment="1" applyProtection="1">
      <alignment vertical="center"/>
    </xf>
    <xf numFmtId="0" fontId="10" fillId="11" borderId="7" xfId="0" applyFont="1" applyFill="1" applyBorder="1" applyAlignment="1" applyProtection="1">
      <alignment vertical="center"/>
    </xf>
    <xf numFmtId="0" fontId="10" fillId="11" borderId="60" xfId="0" applyFont="1" applyFill="1" applyBorder="1" applyAlignment="1" applyProtection="1">
      <alignment horizontal="center" vertical="center"/>
    </xf>
    <xf numFmtId="0" fontId="10" fillId="11" borderId="61" xfId="0" applyFont="1" applyFill="1" applyBorder="1" applyAlignment="1" applyProtection="1">
      <alignment horizontal="center" vertical="center"/>
    </xf>
    <xf numFmtId="0" fontId="10" fillId="11" borderId="62" xfId="0" applyFont="1" applyFill="1" applyBorder="1" applyAlignment="1" applyProtection="1">
      <alignment horizontal="center" vertical="center"/>
    </xf>
    <xf numFmtId="49" fontId="15" fillId="3" borderId="0" xfId="0" applyNumberFormat="1" applyFont="1" applyFill="1" applyAlignment="1" applyProtection="1">
      <alignment vertical="center"/>
    </xf>
    <xf numFmtId="49" fontId="17" fillId="3" borderId="0" xfId="0" applyNumberFormat="1" applyFont="1" applyFill="1" applyAlignment="1" applyProtection="1">
      <alignment vertical="center"/>
    </xf>
    <xf numFmtId="0" fontId="10" fillId="0" borderId="0" xfId="0" applyFont="1" applyFill="1" applyAlignment="1">
      <alignment vertical="center"/>
    </xf>
    <xf numFmtId="0" fontId="17" fillId="3" borderId="28" xfId="0" applyFont="1" applyFill="1" applyBorder="1" applyAlignment="1" applyProtection="1">
      <alignment horizontal="center" vertical="center" wrapText="1"/>
    </xf>
    <xf numFmtId="0" fontId="17" fillId="3" borderId="11" xfId="0" applyFont="1" applyFill="1" applyBorder="1" applyAlignment="1" applyProtection="1">
      <alignment horizontal="center" vertical="center" wrapText="1"/>
    </xf>
    <xf numFmtId="0" fontId="17" fillId="3" borderId="20" xfId="0" applyFont="1" applyFill="1" applyBorder="1" applyAlignment="1" applyProtection="1">
      <alignment horizontal="center" vertical="center" wrapText="1"/>
    </xf>
    <xf numFmtId="0" fontId="10" fillId="13" borderId="0" xfId="0" applyFont="1" applyFill="1" applyAlignment="1" applyProtection="1">
      <alignment vertical="center"/>
    </xf>
    <xf numFmtId="0" fontId="10" fillId="13" borderId="0" xfId="0" applyFont="1" applyFill="1" applyAlignment="1">
      <alignment horizontal="center" vertical="center"/>
    </xf>
    <xf numFmtId="0" fontId="10" fillId="13" borderId="0" xfId="0" applyFont="1" applyFill="1" applyAlignment="1" applyProtection="1">
      <alignment horizontal="center" vertical="center"/>
    </xf>
    <xf numFmtId="0" fontId="17" fillId="3" borderId="0" xfId="0" applyFont="1" applyFill="1" applyBorder="1" applyAlignment="1" applyProtection="1">
      <alignment horizontal="center" vertical="center"/>
    </xf>
    <xf numFmtId="0" fontId="17" fillId="0" borderId="0" xfId="0" applyFont="1" applyFill="1" applyBorder="1" applyAlignment="1" applyProtection="1">
      <alignment horizontal="center" vertical="center"/>
    </xf>
    <xf numFmtId="0" fontId="17" fillId="0" borderId="0" xfId="9" applyFont="1" applyFill="1" applyBorder="1" applyAlignment="1" applyProtection="1">
      <alignment horizontal="center" vertical="center" wrapText="1"/>
    </xf>
    <xf numFmtId="0" fontId="10" fillId="0" borderId="0" xfId="0" applyFont="1" applyFill="1" applyBorder="1" applyAlignment="1" applyProtection="1">
      <alignment vertical="center"/>
    </xf>
    <xf numFmtId="0" fontId="38" fillId="0" borderId="0" xfId="0" applyFont="1"/>
    <xf numFmtId="0" fontId="38" fillId="0" borderId="0" xfId="0" applyFont="1" applyFill="1"/>
    <xf numFmtId="0" fontId="10" fillId="0" borderId="0" xfId="0" applyFont="1" applyFill="1" applyBorder="1" applyAlignment="1" applyProtection="1">
      <alignment vertical="center" wrapText="1"/>
    </xf>
    <xf numFmtId="3" fontId="14" fillId="0" borderId="14" xfId="0" applyNumberFormat="1" applyFont="1" applyBorder="1" applyAlignment="1" applyProtection="1">
      <alignment vertical="center"/>
      <protection locked="0"/>
    </xf>
    <xf numFmtId="0" fontId="27" fillId="3" borderId="0" xfId="0" applyFont="1" applyFill="1" applyBorder="1" applyAlignment="1" applyProtection="1">
      <alignment horizontal="center" vertical="center"/>
    </xf>
    <xf numFmtId="0" fontId="13" fillId="0" borderId="0" xfId="0" applyNumberFormat="1" applyFont="1" applyBorder="1" applyAlignment="1" applyProtection="1">
      <alignment vertical="center"/>
    </xf>
    <xf numFmtId="0" fontId="13" fillId="3" borderId="0" xfId="0" applyNumberFormat="1" applyFont="1" applyFill="1" applyAlignment="1" applyProtection="1">
      <alignment vertical="center"/>
    </xf>
    <xf numFmtId="0" fontId="10" fillId="0" borderId="0" xfId="0" applyNumberFormat="1" applyFont="1" applyFill="1" applyBorder="1" applyAlignment="1" applyProtection="1">
      <alignment vertical="center"/>
    </xf>
    <xf numFmtId="0" fontId="12" fillId="3" borderId="0" xfId="0" applyNumberFormat="1" applyFont="1" applyFill="1" applyAlignment="1" applyProtection="1">
      <alignment vertical="center"/>
    </xf>
    <xf numFmtId="0" fontId="10" fillId="3" borderId="0" xfId="0" applyNumberFormat="1" applyFont="1" applyFill="1" applyAlignment="1" applyProtection="1">
      <alignment vertical="center"/>
    </xf>
    <xf numFmtId="0" fontId="10" fillId="0" borderId="0" xfId="0" applyNumberFormat="1" applyFont="1" applyFill="1" applyAlignment="1" applyProtection="1">
      <alignment vertical="center"/>
    </xf>
    <xf numFmtId="0" fontId="13" fillId="3" borderId="0" xfId="9" applyNumberFormat="1" applyFont="1" applyFill="1" applyBorder="1" applyAlignment="1" applyProtection="1">
      <alignment vertical="center"/>
    </xf>
    <xf numFmtId="0" fontId="13" fillId="0" borderId="0" xfId="9" applyNumberFormat="1" applyFont="1" applyBorder="1" applyAlignment="1" applyProtection="1">
      <alignment vertical="center"/>
    </xf>
    <xf numFmtId="0" fontId="13" fillId="0" borderId="0" xfId="9" applyNumberFormat="1" applyFont="1" applyAlignment="1" applyProtection="1">
      <alignment vertical="center"/>
    </xf>
    <xf numFmtId="0" fontId="17" fillId="3" borderId="0" xfId="9" applyNumberFormat="1" applyFont="1" applyFill="1" applyBorder="1" applyAlignment="1" applyProtection="1">
      <alignment horizontal="right" vertical="center" wrapText="1"/>
    </xf>
    <xf numFmtId="0" fontId="13" fillId="0" borderId="0" xfId="9" applyNumberFormat="1" applyFont="1" applyFill="1" applyBorder="1" applyAlignment="1" applyProtection="1">
      <alignment vertical="center"/>
    </xf>
    <xf numFmtId="0" fontId="13" fillId="0" borderId="0" xfId="9" applyNumberFormat="1" applyFont="1" applyFill="1" applyAlignment="1" applyProtection="1">
      <alignment vertical="center"/>
    </xf>
    <xf numFmtId="0" fontId="45" fillId="3" borderId="0" xfId="9" applyNumberFormat="1" applyFont="1" applyFill="1" applyBorder="1" applyAlignment="1" applyProtection="1">
      <alignment horizontal="right" vertical="center" wrapText="1"/>
    </xf>
    <xf numFmtId="0" fontId="16" fillId="3" borderId="0" xfId="9" applyNumberFormat="1" applyFont="1" applyFill="1" applyBorder="1" applyAlignment="1" applyProtection="1">
      <alignment horizontal="left" vertical="center" wrapText="1"/>
    </xf>
    <xf numFmtId="0" fontId="16" fillId="0" borderId="0" xfId="9" applyNumberFormat="1" applyFont="1" applyAlignment="1" applyProtection="1">
      <alignment vertical="center"/>
    </xf>
    <xf numFmtId="0" fontId="14" fillId="3" borderId="0" xfId="9" applyNumberFormat="1" applyFont="1" applyFill="1" applyBorder="1" applyAlignment="1" applyProtection="1">
      <alignment vertical="center"/>
    </xf>
    <xf numFmtId="0" fontId="14" fillId="3" borderId="0" xfId="9" applyNumberFormat="1" applyFont="1" applyFill="1" applyAlignment="1" applyProtection="1">
      <alignment vertical="center"/>
    </xf>
    <xf numFmtId="0" fontId="17" fillId="3" borderId="0" xfId="9" applyNumberFormat="1" applyFont="1" applyFill="1" applyBorder="1" applyAlignment="1" applyProtection="1">
      <alignment horizontal="right" vertical="center"/>
    </xf>
    <xf numFmtId="0" fontId="43" fillId="3" borderId="0" xfId="9" applyNumberFormat="1" applyFont="1" applyFill="1" applyBorder="1" applyAlignment="1" applyProtection="1">
      <alignment horizontal="left" vertical="center"/>
    </xf>
    <xf numFmtId="0" fontId="13" fillId="0" borderId="0" xfId="9" applyNumberFormat="1" applyFont="1" applyAlignment="1" applyProtection="1">
      <alignment horizontal="left" vertical="center"/>
    </xf>
    <xf numFmtId="0" fontId="14" fillId="3" borderId="0" xfId="9" applyNumberFormat="1" applyFont="1" applyFill="1" applyAlignment="1" applyProtection="1">
      <alignment horizontal="left" vertical="center"/>
    </xf>
    <xf numFmtId="0" fontId="14" fillId="3" borderId="0" xfId="9" applyNumberFormat="1" applyFont="1" applyFill="1" applyBorder="1" applyAlignment="1" applyProtection="1">
      <alignment horizontal="center" vertical="center" wrapText="1"/>
    </xf>
    <xf numFmtId="0" fontId="17" fillId="0" borderId="0" xfId="9" applyNumberFormat="1" applyFont="1" applyFill="1" applyBorder="1" applyAlignment="1" applyProtection="1">
      <alignment horizontal="right" vertical="center" wrapText="1"/>
    </xf>
    <xf numFmtId="0" fontId="17" fillId="0" borderId="0" xfId="9" applyNumberFormat="1" applyFont="1" applyFill="1" applyBorder="1" applyAlignment="1" applyProtection="1">
      <alignment horizontal="right" vertical="center"/>
    </xf>
    <xf numFmtId="0" fontId="14" fillId="3" borderId="4" xfId="9" applyNumberFormat="1" applyFont="1" applyFill="1" applyBorder="1" applyAlignment="1" applyProtection="1">
      <alignment horizontal="left" vertical="center"/>
      <protection locked="0"/>
    </xf>
    <xf numFmtId="0" fontId="14" fillId="3" borderId="4" xfId="9" applyNumberFormat="1" applyFont="1" applyFill="1" applyBorder="1" applyAlignment="1" applyProtection="1">
      <alignment horizontal="left" vertical="center" wrapText="1"/>
      <protection locked="0"/>
    </xf>
    <xf numFmtId="49" fontId="13" fillId="0" borderId="0" xfId="0" applyNumberFormat="1" applyFont="1" applyBorder="1" applyAlignment="1" applyProtection="1">
      <alignment vertical="center" wrapText="1"/>
    </xf>
    <xf numFmtId="14" fontId="13" fillId="0" borderId="0" xfId="0" applyNumberFormat="1" applyFont="1" applyBorder="1" applyAlignment="1" applyProtection="1">
      <alignment horizontal="center" vertical="center" wrapText="1"/>
    </xf>
    <xf numFmtId="0" fontId="13" fillId="0" borderId="0" xfId="0" applyFont="1" applyBorder="1" applyAlignment="1" applyProtection="1">
      <alignment horizontal="center" vertical="center"/>
    </xf>
    <xf numFmtId="0" fontId="16" fillId="0" borderId="0" xfId="0" applyFont="1" applyFill="1" applyBorder="1" applyAlignment="1" applyProtection="1">
      <alignment horizontal="left" vertical="center" wrapText="1"/>
    </xf>
    <xf numFmtId="164" fontId="16" fillId="0" borderId="0" xfId="0" applyNumberFormat="1" applyFont="1" applyFill="1" applyBorder="1" applyAlignment="1" applyProtection="1">
      <alignment horizontal="left" vertical="center" wrapText="1"/>
    </xf>
    <xf numFmtId="0" fontId="16" fillId="0" borderId="0" xfId="0" applyFont="1" applyFill="1" applyBorder="1" applyAlignment="1" applyProtection="1">
      <alignment horizontal="center" vertical="center" wrapText="1"/>
    </xf>
    <xf numFmtId="167" fontId="13" fillId="0" borderId="0" xfId="0" applyNumberFormat="1" applyFont="1" applyFill="1" applyBorder="1" applyAlignment="1" applyProtection="1">
      <alignment horizontal="center" vertical="center" wrapText="1"/>
    </xf>
    <xf numFmtId="0" fontId="13" fillId="0" borderId="0" xfId="0" applyNumberFormat="1" applyFont="1" applyFill="1" applyBorder="1" applyAlignment="1" applyProtection="1">
      <alignment horizontal="center" vertical="center" wrapText="1"/>
    </xf>
    <xf numFmtId="167" fontId="13" fillId="3" borderId="0" xfId="0" applyNumberFormat="1" applyFont="1" applyFill="1" applyBorder="1" applyAlignment="1" applyProtection="1">
      <alignment horizontal="center" vertical="center" wrapText="1"/>
    </xf>
    <xf numFmtId="0" fontId="0" fillId="3" borderId="0" xfId="0" applyFill="1" applyProtection="1"/>
    <xf numFmtId="0" fontId="0" fillId="0" borderId="0" xfId="0" applyProtection="1"/>
    <xf numFmtId="49" fontId="13" fillId="3" borderId="0" xfId="0" applyNumberFormat="1" applyFont="1" applyFill="1" applyBorder="1" applyAlignment="1" applyProtection="1">
      <alignment vertical="center" wrapText="1"/>
    </xf>
    <xf numFmtId="14" fontId="13" fillId="3" borderId="0" xfId="0" applyNumberFormat="1" applyFont="1" applyFill="1" applyBorder="1" applyAlignment="1" applyProtection="1">
      <alignment horizontal="center" vertical="center" wrapText="1"/>
    </xf>
    <xf numFmtId="0" fontId="13" fillId="3" borderId="0" xfId="0" applyFont="1" applyFill="1" applyBorder="1" applyAlignment="1" applyProtection="1">
      <alignment vertical="center"/>
    </xf>
    <xf numFmtId="0" fontId="13" fillId="3" borderId="0" xfId="0" applyFont="1" applyFill="1" applyBorder="1" applyAlignment="1" applyProtection="1">
      <alignment horizontal="center" vertical="center"/>
    </xf>
    <xf numFmtId="0" fontId="16" fillId="3" borderId="0" xfId="0" applyFont="1" applyFill="1" applyBorder="1" applyAlignment="1" applyProtection="1">
      <alignment horizontal="left" vertical="center" wrapText="1"/>
    </xf>
    <xf numFmtId="164" fontId="16" fillId="3" borderId="0" xfId="0" applyNumberFormat="1" applyFont="1" applyFill="1" applyBorder="1" applyAlignment="1" applyProtection="1">
      <alignment horizontal="left" vertical="center" wrapText="1"/>
    </xf>
    <xf numFmtId="0" fontId="16" fillId="3" borderId="0" xfId="0" applyFont="1" applyFill="1" applyBorder="1" applyAlignment="1" applyProtection="1">
      <alignment horizontal="center" vertical="center" wrapText="1"/>
    </xf>
    <xf numFmtId="1" fontId="13" fillId="3" borderId="0" xfId="0" applyNumberFormat="1" applyFont="1" applyFill="1" applyBorder="1" applyAlignment="1" applyProtection="1">
      <alignment horizontal="center" vertical="center" wrapText="1"/>
    </xf>
    <xf numFmtId="0" fontId="10" fillId="3" borderId="0" xfId="0" applyFont="1" applyFill="1" applyAlignment="1" applyProtection="1">
      <alignment horizontal="left" vertical="center"/>
    </xf>
    <xf numFmtId="0" fontId="16" fillId="3" borderId="13" xfId="0" applyFont="1" applyFill="1" applyBorder="1" applyAlignment="1" applyProtection="1">
      <alignment horizontal="left" vertical="center" wrapText="1"/>
    </xf>
    <xf numFmtId="3" fontId="14" fillId="3" borderId="0" xfId="0" applyNumberFormat="1" applyFont="1" applyFill="1" applyBorder="1" applyAlignment="1" applyProtection="1">
      <alignment vertical="center"/>
    </xf>
    <xf numFmtId="3" fontId="13" fillId="5" borderId="4" xfId="0" applyNumberFormat="1" applyFont="1" applyFill="1" applyBorder="1" applyAlignment="1" applyProtection="1">
      <alignment vertical="center"/>
      <protection locked="0"/>
    </xf>
    <xf numFmtId="3" fontId="13" fillId="0" borderId="21" xfId="0" applyNumberFormat="1" applyFont="1" applyFill="1" applyBorder="1" applyAlignment="1" applyProtection="1">
      <alignment vertical="center"/>
      <protection locked="0"/>
    </xf>
    <xf numFmtId="3" fontId="14" fillId="0" borderId="6" xfId="0" applyNumberFormat="1" applyFont="1" applyBorder="1" applyAlignment="1" applyProtection="1">
      <alignment vertical="center"/>
      <protection locked="0"/>
    </xf>
    <xf numFmtId="3" fontId="14" fillId="0" borderId="23" xfId="0" applyNumberFormat="1" applyFont="1" applyBorder="1" applyAlignment="1" applyProtection="1">
      <alignment vertical="center"/>
      <protection locked="0"/>
    </xf>
    <xf numFmtId="3" fontId="17" fillId="0" borderId="4" xfId="0" applyNumberFormat="1" applyFont="1" applyBorder="1" applyAlignment="1" applyProtection="1">
      <alignment vertical="center"/>
      <protection locked="0"/>
    </xf>
    <xf numFmtId="3" fontId="17" fillId="0" borderId="21" xfId="0" applyNumberFormat="1" applyFont="1" applyBorder="1" applyAlignment="1" applyProtection="1">
      <alignment vertical="center"/>
      <protection locked="0"/>
    </xf>
    <xf numFmtId="0" fontId="10" fillId="0" borderId="0" xfId="0" applyFont="1" applyBorder="1" applyAlignment="1" applyProtection="1">
      <alignment vertical="center"/>
    </xf>
    <xf numFmtId="3" fontId="13" fillId="0" borderId="0" xfId="0" applyNumberFormat="1" applyFont="1" applyBorder="1" applyAlignment="1" applyProtection="1">
      <alignment vertical="center"/>
      <protection locked="0"/>
    </xf>
    <xf numFmtId="3" fontId="14" fillId="0" borderId="0" xfId="0" applyNumberFormat="1" applyFont="1" applyBorder="1" applyAlignment="1" applyProtection="1">
      <alignment vertical="center"/>
    </xf>
    <xf numFmtId="0" fontId="37" fillId="4" borderId="58" xfId="9" applyFont="1" applyFill="1" applyBorder="1" applyAlignment="1">
      <alignment horizontal="center" vertical="center" wrapText="1"/>
    </xf>
    <xf numFmtId="0" fontId="46" fillId="3" borderId="0" xfId="0" applyNumberFormat="1" applyFont="1" applyFill="1" applyBorder="1" applyAlignment="1" applyProtection="1">
      <alignment horizontal="center" vertical="center" wrapText="1"/>
    </xf>
    <xf numFmtId="0" fontId="20" fillId="3" borderId="0" xfId="0" applyNumberFormat="1" applyFont="1" applyFill="1" applyBorder="1" applyAlignment="1" applyProtection="1">
      <alignment horizontal="center" vertical="center"/>
    </xf>
    <xf numFmtId="49" fontId="46" fillId="3" borderId="0" xfId="0" applyNumberFormat="1" applyFont="1" applyFill="1" applyBorder="1" applyAlignment="1" applyProtection="1">
      <alignment horizontal="center" vertical="center" wrapText="1"/>
    </xf>
    <xf numFmtId="0" fontId="47" fillId="3" borderId="0" xfId="0" applyFont="1" applyFill="1" applyBorder="1" applyAlignment="1" applyProtection="1">
      <alignment vertical="center"/>
    </xf>
    <xf numFmtId="0" fontId="13" fillId="13" borderId="27" xfId="0" applyFont="1" applyFill="1" applyBorder="1" applyAlignment="1" applyProtection="1">
      <alignment vertical="center"/>
    </xf>
    <xf numFmtId="0" fontId="13" fillId="13" borderId="8" xfId="0" applyFont="1" applyFill="1" applyBorder="1" applyAlignment="1" applyProtection="1">
      <alignment vertical="center"/>
    </xf>
    <xf numFmtId="3" fontId="13" fillId="13" borderId="4" xfId="0" applyNumberFormat="1" applyFont="1" applyFill="1" applyBorder="1" applyAlignment="1" applyProtection="1">
      <alignment vertical="center"/>
    </xf>
    <xf numFmtId="3" fontId="13" fillId="13" borderId="21" xfId="0" applyNumberFormat="1" applyFont="1" applyFill="1" applyBorder="1" applyAlignment="1" applyProtection="1">
      <alignment vertical="center"/>
    </xf>
    <xf numFmtId="0" fontId="13" fillId="13" borderId="17" xfId="0" applyFont="1" applyFill="1" applyBorder="1" applyAlignment="1" applyProtection="1">
      <alignment vertical="center"/>
    </xf>
    <xf numFmtId="0" fontId="15" fillId="13" borderId="7" xfId="0" applyFont="1" applyFill="1" applyBorder="1" applyAlignment="1" applyProtection="1">
      <alignment horizontal="right" vertical="center"/>
    </xf>
    <xf numFmtId="0" fontId="17" fillId="13" borderId="18" xfId="0" applyFont="1" applyFill="1" applyBorder="1" applyAlignment="1" applyProtection="1">
      <alignment horizontal="left" vertical="center"/>
    </xf>
    <xf numFmtId="0" fontId="10" fillId="13" borderId="13" xfId="0" applyFont="1" applyFill="1" applyBorder="1" applyAlignment="1" applyProtection="1">
      <alignment vertical="center"/>
    </xf>
    <xf numFmtId="3" fontId="17" fillId="13" borderId="10" xfId="0" applyNumberFormat="1" applyFont="1" applyFill="1" applyBorder="1" applyAlignment="1" applyProtection="1">
      <alignment vertical="center"/>
    </xf>
    <xf numFmtId="3" fontId="17" fillId="13" borderId="26" xfId="0" applyNumberFormat="1" applyFont="1" applyFill="1" applyBorder="1" applyAlignment="1" applyProtection="1">
      <alignment vertical="center"/>
    </xf>
    <xf numFmtId="0" fontId="17" fillId="13" borderId="25" xfId="0" applyFont="1" applyFill="1" applyBorder="1" applyAlignment="1" applyProtection="1">
      <alignment horizontal="center" vertical="center" wrapText="1"/>
    </xf>
    <xf numFmtId="0" fontId="17" fillId="13" borderId="11" xfId="0" applyFont="1" applyFill="1" applyBorder="1" applyAlignment="1" applyProtection="1">
      <alignment horizontal="center" vertical="center" wrapText="1"/>
    </xf>
    <xf numFmtId="0" fontId="17" fillId="13" borderId="20" xfId="0" applyFont="1" applyFill="1" applyBorder="1" applyAlignment="1" applyProtection="1">
      <alignment horizontal="center" vertical="center" wrapText="1"/>
    </xf>
    <xf numFmtId="49" fontId="46" fillId="3" borderId="66" xfId="0" applyNumberFormat="1" applyFont="1" applyFill="1" applyBorder="1" applyAlignment="1" applyProtection="1">
      <alignment horizontal="center" vertical="center" wrapText="1"/>
    </xf>
    <xf numFmtId="0" fontId="48" fillId="3" borderId="66" xfId="0" applyFont="1" applyFill="1" applyBorder="1" applyProtection="1"/>
    <xf numFmtId="0" fontId="10" fillId="10" borderId="5" xfId="0" applyFont="1" applyFill="1" applyBorder="1" applyAlignment="1">
      <alignment vertical="center"/>
    </xf>
    <xf numFmtId="14" fontId="13" fillId="0" borderId="6" xfId="0" applyNumberFormat="1" applyFont="1" applyFill="1" applyBorder="1" applyAlignment="1" applyProtection="1">
      <alignment horizontal="left" vertical="center"/>
      <protection locked="0"/>
    </xf>
    <xf numFmtId="0" fontId="17" fillId="13" borderId="0" xfId="0" applyFont="1" applyFill="1" applyAlignment="1">
      <alignment horizontal="center" vertical="center"/>
    </xf>
    <xf numFmtId="0" fontId="10" fillId="11" borderId="0" xfId="0" applyFont="1" applyFill="1" applyBorder="1" applyAlignment="1">
      <alignment vertical="center"/>
    </xf>
    <xf numFmtId="0" fontId="17" fillId="11" borderId="58" xfId="0" applyFont="1" applyFill="1" applyBorder="1" applyAlignment="1">
      <alignment horizontal="center" vertical="center"/>
    </xf>
    <xf numFmtId="0" fontId="17" fillId="8" borderId="4" xfId="0" applyFont="1" applyFill="1" applyBorder="1" applyAlignment="1">
      <alignment vertical="center"/>
    </xf>
    <xf numFmtId="0" fontId="10" fillId="6" borderId="0" xfId="0" applyFont="1" applyFill="1" applyBorder="1" applyAlignment="1" applyProtection="1">
      <alignment vertical="center"/>
    </xf>
    <xf numFmtId="0" fontId="40" fillId="3" borderId="0" xfId="9" applyNumberFormat="1" applyFont="1" applyFill="1" applyBorder="1" applyAlignment="1" applyProtection="1">
      <alignment horizontal="left" vertical="center"/>
    </xf>
    <xf numFmtId="49" fontId="20" fillId="3" borderId="66" xfId="0" applyNumberFormat="1" applyFont="1" applyFill="1" applyBorder="1" applyAlignment="1" applyProtection="1">
      <alignment horizontal="center" vertical="center" wrapText="1"/>
    </xf>
    <xf numFmtId="0" fontId="0" fillId="0" borderId="0" xfId="0" applyAlignment="1" applyProtection="1">
      <alignment vertical="center"/>
    </xf>
    <xf numFmtId="0" fontId="0" fillId="0" borderId="0" xfId="0" applyFill="1" applyAlignment="1" applyProtection="1">
      <alignment vertical="center"/>
    </xf>
    <xf numFmtId="0" fontId="48" fillId="3" borderId="0" xfId="0" applyFont="1" applyFill="1" applyBorder="1" applyAlignment="1" applyProtection="1">
      <alignment vertical="center"/>
    </xf>
    <xf numFmtId="0" fontId="13" fillId="0" borderId="28" xfId="0" applyFont="1" applyFill="1" applyBorder="1" applyAlignment="1" applyProtection="1">
      <alignment vertical="center"/>
    </xf>
    <xf numFmtId="0" fontId="13" fillId="0" borderId="34" xfId="0" applyFont="1" applyFill="1" applyBorder="1" applyAlignment="1" applyProtection="1">
      <alignment vertical="center"/>
    </xf>
    <xf numFmtId="0" fontId="13" fillId="0" borderId="34" xfId="0" applyFont="1" applyFill="1" applyBorder="1" applyAlignment="1" applyProtection="1">
      <alignment horizontal="left" vertical="center" indent="3"/>
    </xf>
    <xf numFmtId="0" fontId="13" fillId="0" borderId="35" xfId="0" applyFont="1" applyFill="1" applyBorder="1" applyAlignment="1" applyProtection="1">
      <alignment horizontal="left" vertical="center" indent="3"/>
    </xf>
    <xf numFmtId="0" fontId="33" fillId="3" borderId="4" xfId="9" applyNumberFormat="1" applyFont="1" applyFill="1" applyBorder="1" applyAlignment="1" applyProtection="1">
      <alignment vertical="center" wrapText="1"/>
      <protection locked="0"/>
    </xf>
    <xf numFmtId="0" fontId="14" fillId="3" borderId="4" xfId="9" applyNumberFormat="1" applyFont="1" applyFill="1" applyBorder="1" applyAlignment="1" applyProtection="1">
      <alignment vertical="center" wrapText="1"/>
      <protection locked="0"/>
    </xf>
    <xf numFmtId="0" fontId="14" fillId="0" borderId="4" xfId="9" applyNumberFormat="1" applyFont="1" applyFill="1" applyBorder="1" applyAlignment="1" applyProtection="1">
      <alignment vertical="center" wrapText="1"/>
      <protection locked="0"/>
    </xf>
    <xf numFmtId="0" fontId="33" fillId="3" borderId="4" xfId="9" quotePrefix="1" applyNumberFormat="1" applyFont="1" applyFill="1" applyBorder="1" applyAlignment="1" applyProtection="1">
      <alignment vertical="center" wrapText="1"/>
      <protection locked="0"/>
    </xf>
    <xf numFmtId="0" fontId="33" fillId="3" borderId="4" xfId="9" quotePrefix="1" applyNumberFormat="1" applyFont="1" applyFill="1" applyBorder="1" applyAlignment="1" applyProtection="1">
      <alignment vertical="center" wrapText="1"/>
    </xf>
    <xf numFmtId="0" fontId="14" fillId="13" borderId="4" xfId="9" applyNumberFormat="1" applyFont="1" applyFill="1" applyBorder="1" applyAlignment="1" applyProtection="1">
      <alignment horizontal="left" vertical="center" wrapText="1"/>
    </xf>
    <xf numFmtId="49" fontId="14" fillId="7" borderId="9" xfId="0" applyNumberFormat="1" applyFont="1" applyFill="1" applyBorder="1" applyAlignment="1" applyProtection="1">
      <alignment horizontal="center" vertical="center" wrapText="1"/>
    </xf>
    <xf numFmtId="0" fontId="10" fillId="3" borderId="4" xfId="0" applyFont="1" applyFill="1" applyBorder="1" applyAlignment="1">
      <alignment vertical="center"/>
    </xf>
    <xf numFmtId="0" fontId="3" fillId="0" borderId="20" xfId="0" applyFont="1" applyFill="1" applyBorder="1" applyAlignment="1" applyProtection="1">
      <alignment horizontal="center" vertical="center"/>
      <protection locked="0"/>
    </xf>
    <xf numFmtId="0" fontId="3" fillId="0" borderId="21" xfId="0" applyFont="1" applyFill="1" applyBorder="1" applyAlignment="1" applyProtection="1">
      <alignment horizontal="center" vertical="center"/>
      <protection locked="0"/>
    </xf>
    <xf numFmtId="0" fontId="50" fillId="7" borderId="21" xfId="0" applyFont="1" applyFill="1" applyBorder="1" applyAlignment="1" applyProtection="1">
      <alignment horizontal="center" vertical="center"/>
    </xf>
    <xf numFmtId="0" fontId="3" fillId="0" borderId="14" xfId="0" applyFont="1" applyFill="1" applyBorder="1" applyAlignment="1" applyProtection="1">
      <alignment horizontal="center" vertical="center"/>
      <protection locked="0"/>
    </xf>
    <xf numFmtId="0" fontId="52" fillId="3" borderId="0" xfId="84" applyFont="1" applyFill="1" applyProtection="1"/>
    <xf numFmtId="0" fontId="1" fillId="3" borderId="0" xfId="84" applyFill="1" applyProtection="1"/>
    <xf numFmtId="0" fontId="53" fillId="3" borderId="0" xfId="84" applyFont="1" applyFill="1" applyAlignment="1" applyProtection="1">
      <alignment vertical="center"/>
    </xf>
    <xf numFmtId="0" fontId="54" fillId="3" borderId="0" xfId="84" applyFont="1" applyFill="1" applyAlignment="1" applyProtection="1">
      <alignment vertical="center"/>
    </xf>
    <xf numFmtId="0" fontId="55" fillId="3" borderId="0" xfId="84" applyFont="1" applyFill="1" applyProtection="1"/>
    <xf numFmtId="0" fontId="56" fillId="3" borderId="0" xfId="84" applyFont="1" applyFill="1" applyProtection="1"/>
    <xf numFmtId="0" fontId="1" fillId="0" borderId="0" xfId="84" applyProtection="1"/>
    <xf numFmtId="0" fontId="15" fillId="3" borderId="0" xfId="0" applyFont="1" applyFill="1" applyAlignment="1" applyProtection="1">
      <alignment vertical="center"/>
    </xf>
    <xf numFmtId="0" fontId="40" fillId="3" borderId="0" xfId="9" applyNumberFormat="1" applyFont="1" applyFill="1" applyBorder="1" applyAlignment="1" applyProtection="1">
      <alignment horizontal="left" vertical="center"/>
    </xf>
    <xf numFmtId="49" fontId="13" fillId="0" borderId="0" xfId="0" applyNumberFormat="1" applyFont="1" applyAlignment="1" applyProtection="1">
      <alignment vertical="center"/>
      <protection locked="0"/>
    </xf>
    <xf numFmtId="0" fontId="55" fillId="0" borderId="4" xfId="0" applyFont="1" applyBorder="1" applyAlignment="1" applyProtection="1">
      <alignment horizontal="center" vertical="center"/>
      <protection locked="0"/>
    </xf>
    <xf numFmtId="49" fontId="13" fillId="0" borderId="4" xfId="0" applyNumberFormat="1" applyFont="1" applyBorder="1" applyAlignment="1" applyProtection="1">
      <alignment horizontal="center" vertical="center"/>
      <protection locked="0"/>
    </xf>
    <xf numFmtId="49" fontId="13" fillId="0" borderId="4" xfId="0" applyNumberFormat="1" applyFont="1" applyFill="1" applyBorder="1" applyAlignment="1" applyProtection="1">
      <alignment horizontal="center" vertical="center"/>
      <protection locked="0"/>
    </xf>
    <xf numFmtId="14" fontId="13" fillId="0" borderId="4" xfId="0" applyNumberFormat="1" applyFont="1" applyBorder="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6" fillId="3" borderId="4" xfId="0" applyFont="1" applyFill="1" applyBorder="1" applyAlignment="1" applyProtection="1">
      <alignment horizontal="center" vertical="center"/>
      <protection locked="0"/>
    </xf>
    <xf numFmtId="0" fontId="16" fillId="0" borderId="4" xfId="0" applyFont="1" applyFill="1" applyBorder="1" applyAlignment="1" applyProtection="1">
      <alignment horizontal="center" vertical="center"/>
      <protection locked="0"/>
    </xf>
    <xf numFmtId="164" fontId="16" fillId="0" borderId="4" xfId="0" applyNumberFormat="1" applyFont="1" applyFill="1" applyBorder="1" applyAlignment="1" applyProtection="1">
      <alignment horizontal="center" vertical="center"/>
      <protection locked="0"/>
    </xf>
    <xf numFmtId="167" fontId="13" fillId="0" borderId="4" xfId="0" applyNumberFormat="1" applyFont="1" applyFill="1" applyBorder="1" applyAlignment="1" applyProtection="1">
      <alignment horizontal="center" vertical="center"/>
      <protection locked="0"/>
    </xf>
    <xf numFmtId="14" fontId="13" fillId="3" borderId="4" xfId="0" applyNumberFormat="1" applyFont="1" applyFill="1" applyBorder="1" applyAlignment="1" applyProtection="1">
      <alignment horizontal="center" vertical="center"/>
      <protection locked="0"/>
    </xf>
    <xf numFmtId="0" fontId="13" fillId="0" borderId="4" xfId="0" applyNumberFormat="1" applyFont="1" applyFill="1" applyBorder="1" applyAlignment="1" applyProtection="1">
      <alignment horizontal="center" vertical="center"/>
      <protection locked="0"/>
    </xf>
    <xf numFmtId="167" fontId="13" fillId="3" borderId="4" xfId="0" applyNumberFormat="1" applyFont="1" applyFill="1" applyBorder="1" applyAlignment="1" applyProtection="1">
      <alignment horizontal="center" vertical="center"/>
      <protection locked="0"/>
    </xf>
    <xf numFmtId="14" fontId="13" fillId="0" borderId="4" xfId="0" applyNumberFormat="1" applyFont="1" applyFill="1" applyBorder="1" applyAlignment="1" applyProtection="1">
      <alignment horizontal="center" vertical="center"/>
      <protection locked="0"/>
    </xf>
    <xf numFmtId="0" fontId="40" fillId="3" borderId="55" xfId="9" applyNumberFormat="1" applyFont="1" applyFill="1" applyBorder="1" applyAlignment="1" applyProtection="1">
      <alignment horizontal="left" vertical="center"/>
    </xf>
    <xf numFmtId="0" fontId="40" fillId="3" borderId="65" xfId="9" applyNumberFormat="1" applyFont="1" applyFill="1" applyBorder="1" applyAlignment="1" applyProtection="1">
      <alignment horizontal="left" vertical="center"/>
    </xf>
    <xf numFmtId="0" fontId="40" fillId="3" borderId="5" xfId="9" applyNumberFormat="1" applyFont="1" applyFill="1" applyBorder="1" applyAlignment="1" applyProtection="1">
      <alignment horizontal="left" vertical="center"/>
    </xf>
    <xf numFmtId="0" fontId="40" fillId="3" borderId="0" xfId="9" applyNumberFormat="1" applyFont="1" applyFill="1" applyBorder="1" applyAlignment="1" applyProtection="1">
      <alignment horizontal="left" vertical="center"/>
    </xf>
    <xf numFmtId="0" fontId="34" fillId="3" borderId="0" xfId="0" applyNumberFormat="1" applyFont="1" applyFill="1" applyAlignment="1" applyProtection="1">
      <alignment horizontal="center" vertical="center"/>
    </xf>
    <xf numFmtId="0" fontId="14" fillId="7" borderId="55" xfId="0" applyNumberFormat="1" applyFont="1" applyFill="1" applyBorder="1" applyAlignment="1" applyProtection="1">
      <alignment horizontal="center" vertical="center" wrapText="1"/>
    </xf>
    <xf numFmtId="0" fontId="14" fillId="7" borderId="65" xfId="0" applyNumberFormat="1" applyFont="1" applyFill="1" applyBorder="1" applyAlignment="1" applyProtection="1">
      <alignment horizontal="center" vertical="center" wrapText="1"/>
    </xf>
    <xf numFmtId="0" fontId="14" fillId="7" borderId="68" xfId="0" applyNumberFormat="1" applyFont="1" applyFill="1" applyBorder="1" applyAlignment="1" applyProtection="1">
      <alignment horizontal="center" vertical="center" wrapText="1"/>
    </xf>
    <xf numFmtId="0" fontId="14" fillId="7" borderId="5" xfId="0" applyNumberFormat="1" applyFont="1" applyFill="1" applyBorder="1" applyAlignment="1" applyProtection="1">
      <alignment horizontal="center" vertical="center" wrapText="1"/>
    </xf>
    <xf numFmtId="0" fontId="14" fillId="7" borderId="0" xfId="0" applyNumberFormat="1" applyFont="1" applyFill="1" applyBorder="1" applyAlignment="1" applyProtection="1">
      <alignment horizontal="center" vertical="center" wrapText="1"/>
    </xf>
    <xf numFmtId="0" fontId="14" fillId="7" borderId="66" xfId="0" applyNumberFormat="1" applyFont="1" applyFill="1" applyBorder="1" applyAlignment="1" applyProtection="1">
      <alignment horizontal="center" vertical="center" wrapText="1"/>
    </xf>
    <xf numFmtId="0" fontId="14" fillId="7" borderId="56" xfId="0" applyNumberFormat="1" applyFont="1" applyFill="1" applyBorder="1" applyAlignment="1" applyProtection="1">
      <alignment horizontal="center" vertical="center" wrapText="1"/>
    </xf>
    <xf numFmtId="0" fontId="14" fillId="7" borderId="67" xfId="0" applyNumberFormat="1" applyFont="1" applyFill="1" applyBorder="1" applyAlignment="1" applyProtection="1">
      <alignment horizontal="center" vertical="center" wrapText="1"/>
    </xf>
    <xf numFmtId="0" fontId="14" fillId="7" borderId="8" xfId="0" applyNumberFormat="1" applyFont="1" applyFill="1" applyBorder="1" applyAlignment="1" applyProtection="1">
      <alignment horizontal="center" vertical="center" wrapText="1"/>
    </xf>
    <xf numFmtId="0" fontId="17" fillId="3" borderId="0" xfId="0" applyFont="1" applyFill="1" applyAlignment="1" applyProtection="1">
      <alignment horizontal="center" vertical="center"/>
    </xf>
    <xf numFmtId="0" fontId="13" fillId="0" borderId="17" xfId="0" applyFont="1" applyBorder="1" applyAlignment="1" applyProtection="1">
      <alignment horizontal="left" vertical="center" wrapText="1"/>
    </xf>
    <xf numFmtId="0" fontId="13" fillId="0" borderId="7" xfId="0" applyFont="1" applyBorder="1" applyAlignment="1" applyProtection="1">
      <alignment horizontal="left" vertical="center" wrapText="1"/>
    </xf>
    <xf numFmtId="0" fontId="13" fillId="3" borderId="31" xfId="0" applyFont="1" applyFill="1" applyBorder="1" applyAlignment="1" applyProtection="1">
      <alignment horizontal="left" vertical="top" wrapText="1"/>
      <protection locked="0"/>
    </xf>
    <xf numFmtId="0" fontId="13" fillId="3" borderId="32" xfId="0" applyFont="1" applyFill="1" applyBorder="1" applyAlignment="1" applyProtection="1">
      <alignment horizontal="left" vertical="top" wrapText="1"/>
      <protection locked="0"/>
    </xf>
    <xf numFmtId="0" fontId="13" fillId="3" borderId="33" xfId="0" applyFont="1" applyFill="1" applyBorder="1" applyAlignment="1" applyProtection="1">
      <alignment horizontal="left" vertical="top" wrapText="1"/>
      <protection locked="0"/>
    </xf>
    <xf numFmtId="0" fontId="27" fillId="3" borderId="0" xfId="0" applyFont="1" applyFill="1" applyBorder="1" applyAlignment="1" applyProtection="1">
      <alignment horizontal="center" vertical="center"/>
    </xf>
    <xf numFmtId="0" fontId="13" fillId="0" borderId="27" xfId="0" applyFont="1" applyBorder="1" applyAlignment="1" applyProtection="1">
      <alignment horizontal="left" vertical="center" wrapText="1"/>
    </xf>
    <xf numFmtId="0" fontId="13" fillId="0" borderId="25" xfId="0" applyFont="1" applyBorder="1" applyAlignment="1" applyProtection="1">
      <alignment horizontal="left" vertical="center" wrapText="1"/>
    </xf>
    <xf numFmtId="0" fontId="16" fillId="3" borderId="16" xfId="0" applyFont="1" applyFill="1" applyBorder="1" applyAlignment="1" applyProtection="1">
      <alignment vertical="center" wrapText="1"/>
    </xf>
    <xf numFmtId="0" fontId="16" fillId="3" borderId="24" xfId="0" applyFont="1" applyFill="1" applyBorder="1" applyAlignment="1" applyProtection="1">
      <alignment vertical="center" wrapText="1"/>
    </xf>
    <xf numFmtId="0" fontId="13" fillId="0" borderId="0" xfId="0" applyFont="1" applyBorder="1" applyAlignment="1" applyProtection="1">
      <alignment horizontal="left" vertical="center" wrapText="1"/>
    </xf>
    <xf numFmtId="0" fontId="10" fillId="11" borderId="6" xfId="0" applyFont="1" applyFill="1" applyBorder="1" applyAlignment="1">
      <alignment horizontal="center" vertical="center" wrapText="1"/>
    </xf>
    <xf numFmtId="0" fontId="10" fillId="11" borderId="9" xfId="0" applyFont="1" applyFill="1" applyBorder="1" applyAlignment="1">
      <alignment horizontal="center" vertical="center" wrapText="1"/>
    </xf>
    <xf numFmtId="0" fontId="10" fillId="11" borderId="37" xfId="0" applyFont="1" applyFill="1" applyBorder="1" applyAlignment="1">
      <alignment horizontal="center" vertical="center" wrapText="1"/>
    </xf>
    <xf numFmtId="0" fontId="10" fillId="0" borderId="6" xfId="0" applyFont="1" applyBorder="1" applyAlignment="1">
      <alignment horizontal="center" vertical="center" wrapText="1"/>
    </xf>
    <xf numFmtId="0" fontId="10" fillId="0" borderId="37" xfId="0" applyFont="1" applyBorder="1" applyAlignment="1">
      <alignment horizontal="center" vertical="center" wrapText="1"/>
    </xf>
    <xf numFmtId="0" fontId="10" fillId="0" borderId="9" xfId="0" applyFont="1" applyBorder="1" applyAlignment="1">
      <alignment horizontal="center" vertical="center" wrapText="1"/>
    </xf>
    <xf numFmtId="0" fontId="10" fillId="10" borderId="6" xfId="0" applyFont="1" applyFill="1" applyBorder="1" applyAlignment="1">
      <alignment horizontal="center" vertical="center" wrapText="1"/>
    </xf>
    <xf numFmtId="0" fontId="10" fillId="10" borderId="37" xfId="0" applyFont="1" applyFill="1" applyBorder="1" applyAlignment="1">
      <alignment horizontal="center" vertical="center" wrapText="1"/>
    </xf>
    <xf numFmtId="0" fontId="10" fillId="10" borderId="9" xfId="0" applyFont="1" applyFill="1" applyBorder="1" applyAlignment="1">
      <alignment horizontal="center" vertical="center" wrapText="1"/>
    </xf>
    <xf numFmtId="0" fontId="10" fillId="10" borderId="38" xfId="0" applyFont="1" applyFill="1" applyBorder="1" applyAlignment="1">
      <alignment horizontal="center" vertical="center" wrapText="1"/>
    </xf>
    <xf numFmtId="0" fontId="10" fillId="10" borderId="42" xfId="0" applyFont="1" applyFill="1" applyBorder="1" applyAlignment="1">
      <alignment horizontal="center" vertical="center" wrapText="1"/>
    </xf>
    <xf numFmtId="0" fontId="10" fillId="10" borderId="39" xfId="0" applyFont="1" applyFill="1" applyBorder="1" applyAlignment="1">
      <alignment horizontal="center" vertical="center" wrapText="1"/>
    </xf>
    <xf numFmtId="0" fontId="10" fillId="10" borderId="44" xfId="0" applyFont="1" applyFill="1" applyBorder="1" applyAlignment="1">
      <alignment horizontal="center" vertical="center" wrapText="1"/>
    </xf>
    <xf numFmtId="0" fontId="10" fillId="10" borderId="45" xfId="0" applyFont="1" applyFill="1" applyBorder="1" applyAlignment="1">
      <alignment horizontal="center" vertical="center" wrapText="1"/>
    </xf>
    <xf numFmtId="0" fontId="10" fillId="10" borderId="48" xfId="0" applyFont="1" applyFill="1" applyBorder="1" applyAlignment="1">
      <alignment horizontal="left" vertical="center" wrapText="1"/>
    </xf>
    <xf numFmtId="0" fontId="10" fillId="10" borderId="49" xfId="0" applyFont="1" applyFill="1" applyBorder="1" applyAlignment="1">
      <alignment horizontal="left" vertical="center" wrapText="1"/>
    </xf>
    <xf numFmtId="0" fontId="10" fillId="10" borderId="50" xfId="0" applyFont="1" applyFill="1" applyBorder="1" applyAlignment="1">
      <alignment horizontal="left" vertical="center" wrapText="1"/>
    </xf>
    <xf numFmtId="0" fontId="17" fillId="10" borderId="37" xfId="0" applyFont="1" applyFill="1" applyBorder="1" applyAlignment="1">
      <alignment horizontal="center" vertical="center" wrapText="1"/>
    </xf>
    <xf numFmtId="0" fontId="17" fillId="10" borderId="9" xfId="0" applyFont="1" applyFill="1" applyBorder="1" applyAlignment="1">
      <alignment horizontal="center" vertical="center" wrapText="1"/>
    </xf>
    <xf numFmtId="0" fontId="17" fillId="10" borderId="55" xfId="0" applyFont="1" applyFill="1" applyBorder="1" applyAlignment="1">
      <alignment horizontal="center" vertical="center" wrapText="1"/>
    </xf>
    <xf numFmtId="0" fontId="17" fillId="10" borderId="5" xfId="0" applyFont="1" applyFill="1" applyBorder="1" applyAlignment="1">
      <alignment horizontal="center" vertical="center" wrapText="1"/>
    </xf>
    <xf numFmtId="0" fontId="17" fillId="10" borderId="56" xfId="0" applyFont="1" applyFill="1" applyBorder="1" applyAlignment="1">
      <alignment horizontal="center" vertical="center" wrapText="1"/>
    </xf>
    <xf numFmtId="0" fontId="37" fillId="4" borderId="57" xfId="9" applyFont="1" applyFill="1" applyBorder="1" applyAlignment="1">
      <alignment horizontal="center" vertical="center" wrapText="1"/>
    </xf>
    <xf numFmtId="0" fontId="37" fillId="4" borderId="58" xfId="9" applyFont="1" applyFill="1" applyBorder="1" applyAlignment="1">
      <alignment horizontal="center" vertical="center" wrapText="1"/>
    </xf>
    <xf numFmtId="0" fontId="37" fillId="4" borderId="59" xfId="9" applyFont="1" applyFill="1" applyBorder="1" applyAlignment="1">
      <alignment horizontal="center" vertical="center" wrapText="1"/>
    </xf>
    <xf numFmtId="0" fontId="37" fillId="4" borderId="0" xfId="9" applyFont="1" applyFill="1" applyBorder="1" applyAlignment="1">
      <alignment horizontal="center" vertical="center" wrapText="1"/>
    </xf>
    <xf numFmtId="0" fontId="37" fillId="4" borderId="63" xfId="9" applyFont="1" applyFill="1" applyBorder="1" applyAlignment="1">
      <alignment horizontal="center" vertical="center" wrapText="1"/>
    </xf>
    <xf numFmtId="14" fontId="13" fillId="0" borderId="0" xfId="0" applyNumberFormat="1" applyFont="1" applyAlignment="1" applyProtection="1">
      <alignment vertical="center"/>
      <protection locked="0"/>
    </xf>
  </cellXfs>
  <cellStyles count="85">
    <cellStyle name="Bon" xfId="1" xr:uid="{00000000-0005-0000-0000-000000000000}"/>
    <cellStyle name="Euro" xfId="2" xr:uid="{00000000-0005-0000-0000-000001000000}"/>
    <cellStyle name="Lien hypertexte" xfId="10" builtinId="8" hidden="1"/>
    <cellStyle name="Lien hypertexte" xfId="12" builtinId="8" hidden="1"/>
    <cellStyle name="Lien hypertexte" xfId="14" builtinId="8" hidden="1"/>
    <cellStyle name="Lien hypertexte" xfId="16" builtinId="8" hidden="1"/>
    <cellStyle name="Lien hypertexte" xfId="18" builtinId="8" hidden="1"/>
    <cellStyle name="Lien hypertexte" xfId="20" builtinId="8" hidden="1"/>
    <cellStyle name="Lien hypertexte" xfId="22" builtinId="8" hidden="1"/>
    <cellStyle name="Lien hypertexte" xfId="24" builtinId="8" hidden="1"/>
    <cellStyle name="Lien hypertexte" xfId="26" builtinId="8" hidden="1"/>
    <cellStyle name="Lien hypertexte" xfId="28" builtinId="8" hidden="1"/>
    <cellStyle name="Lien hypertexte" xfId="30" builtinId="8" hidden="1"/>
    <cellStyle name="Lien hypertexte" xfId="32" builtinId="8" hidden="1"/>
    <cellStyle name="Lien hypertexte" xfId="34" builtinId="8" hidden="1"/>
    <cellStyle name="Lien hypertexte" xfId="36" builtinId="8" hidden="1"/>
    <cellStyle name="Lien hypertexte" xfId="38" builtinId="8" hidden="1"/>
    <cellStyle name="Lien hypertexte" xfId="40" builtinId="8" hidden="1"/>
    <cellStyle name="Lien hypertexte" xfId="42" builtinId="8" hidden="1"/>
    <cellStyle name="Lien hypertexte" xfId="44" builtinId="8" hidden="1"/>
    <cellStyle name="Lien hypertexte" xfId="46" builtinId="8" hidden="1"/>
    <cellStyle name="Lien hypertexte" xfId="48" builtinId="8" hidden="1"/>
    <cellStyle name="Lien hypertexte" xfId="50" builtinId="8" hidden="1"/>
    <cellStyle name="Lien hypertexte" xfId="52" builtinId="8" hidden="1"/>
    <cellStyle name="Lien hypertexte" xfId="54" builtinId="8" hidden="1"/>
    <cellStyle name="Lien hypertexte" xfId="56" builtinId="8" hidden="1"/>
    <cellStyle name="Lien hypertexte" xfId="58" builtinId="8" hidden="1"/>
    <cellStyle name="Lien hypertexte" xfId="60" builtinId="8" hidden="1"/>
    <cellStyle name="Lien hypertexte" xfId="62" builtinId="8" hidden="1"/>
    <cellStyle name="Lien hypertexte" xfId="64" builtinId="8" hidden="1"/>
    <cellStyle name="Lien hypertexte" xfId="66" builtinId="8" hidden="1"/>
    <cellStyle name="Lien hypertexte" xfId="68" builtinId="8" hidden="1"/>
    <cellStyle name="Lien hypertexte" xfId="70" builtinId="8" hidden="1"/>
    <cellStyle name="Lien hypertexte" xfId="72" builtinId="8" hidden="1"/>
    <cellStyle name="Lien hypertexte" xfId="74" builtinId="8" hidden="1"/>
    <cellStyle name="Lien hypertexte" xfId="76" builtinId="8" hidden="1"/>
    <cellStyle name="Lien hypertexte" xfId="78" builtinId="8" hidden="1"/>
    <cellStyle name="Lien hypertexte" xfId="80" builtinId="8" hidden="1"/>
    <cellStyle name="Lien hypertexte visité" xfId="11" builtinId="9" hidden="1"/>
    <cellStyle name="Lien hypertexte visité" xfId="13" builtinId="9" hidden="1"/>
    <cellStyle name="Lien hypertexte visité" xfId="15" builtinId="9" hidden="1"/>
    <cellStyle name="Lien hypertexte visité" xfId="17" builtinId="9" hidden="1"/>
    <cellStyle name="Lien hypertexte visité" xfId="19" builtinId="9" hidden="1"/>
    <cellStyle name="Lien hypertexte visité" xfId="21" builtinId="9" hidden="1"/>
    <cellStyle name="Lien hypertexte visité" xfId="23" builtinId="9" hidden="1"/>
    <cellStyle name="Lien hypertexte visité" xfId="25" builtinId="9" hidden="1"/>
    <cellStyle name="Lien hypertexte visité" xfId="27" builtinId="9" hidden="1"/>
    <cellStyle name="Lien hypertexte visité" xfId="29" builtinId="9" hidden="1"/>
    <cellStyle name="Lien hypertexte visité" xfId="31" builtinId="9" hidden="1"/>
    <cellStyle name="Lien hypertexte visité" xfId="33" builtinId="9" hidden="1"/>
    <cellStyle name="Lien hypertexte visité" xfId="35" builtinId="9" hidden="1"/>
    <cellStyle name="Lien hypertexte visité" xfId="37" builtinId="9" hidden="1"/>
    <cellStyle name="Lien hypertexte visité" xfId="39" builtinId="9" hidden="1"/>
    <cellStyle name="Lien hypertexte visité" xfId="41" builtinId="9" hidden="1"/>
    <cellStyle name="Lien hypertexte visité" xfId="43" builtinId="9" hidden="1"/>
    <cellStyle name="Lien hypertexte visité" xfId="45" builtinId="9" hidden="1"/>
    <cellStyle name="Lien hypertexte visité" xfId="47" builtinId="9" hidden="1"/>
    <cellStyle name="Lien hypertexte visité" xfId="49" builtinId="9" hidden="1"/>
    <cellStyle name="Lien hypertexte visité" xfId="51" builtinId="9" hidden="1"/>
    <cellStyle name="Lien hypertexte visité" xfId="53" builtinId="9" hidden="1"/>
    <cellStyle name="Lien hypertexte visité" xfId="55" builtinId="9" hidden="1"/>
    <cellStyle name="Lien hypertexte visité" xfId="57" builtinId="9" hidden="1"/>
    <cellStyle name="Lien hypertexte visité" xfId="59" builtinId="9" hidden="1"/>
    <cellStyle name="Lien hypertexte visité" xfId="61" builtinId="9" hidden="1"/>
    <cellStyle name="Lien hypertexte visité" xfId="63" builtinId="9" hidden="1"/>
    <cellStyle name="Lien hypertexte visité" xfId="65" builtinId="9" hidden="1"/>
    <cellStyle name="Lien hypertexte visité" xfId="67" builtinId="9" hidden="1"/>
    <cellStyle name="Lien hypertexte visité" xfId="69" builtinId="9" hidden="1"/>
    <cellStyle name="Lien hypertexte visité" xfId="71" builtinId="9" hidden="1"/>
    <cellStyle name="Lien hypertexte visité" xfId="73" builtinId="9" hidden="1"/>
    <cellStyle name="Lien hypertexte visité" xfId="75" builtinId="9" hidden="1"/>
    <cellStyle name="Lien hypertexte visité" xfId="77" builtinId="9" hidden="1"/>
    <cellStyle name="Lien hypertexte visité" xfId="79" builtinId="9" hidden="1"/>
    <cellStyle name="Lien hypertexte visité" xfId="81" builtinId="9" hidden="1"/>
    <cellStyle name="Normal" xfId="0" builtinId="0"/>
    <cellStyle name="Normal 2" xfId="3" xr:uid="{00000000-0005-0000-0000-00004B000000}"/>
    <cellStyle name="Normal 2 2" xfId="9" xr:uid="{00000000-0005-0000-0000-00004C000000}"/>
    <cellStyle name="Normal 3" xfId="8" xr:uid="{00000000-0005-0000-0000-00004D000000}"/>
    <cellStyle name="Normal 4" xfId="84" xr:uid="{00000000-0005-0000-0000-00004E000000}"/>
    <cellStyle name="Normal_annexe" xfId="83" xr:uid="{00000000-0005-0000-0000-00004F000000}"/>
    <cellStyle name="Normal_Feuil1" xfId="82" xr:uid="{00000000-0005-0000-0000-000050000000}"/>
    <cellStyle name="Titre 1" xfId="4" xr:uid="{00000000-0005-0000-0000-000051000000}"/>
    <cellStyle name="Titre 2" xfId="5" xr:uid="{00000000-0005-0000-0000-000052000000}"/>
    <cellStyle name="Titre 3" xfId="6" xr:uid="{00000000-0005-0000-0000-000053000000}"/>
    <cellStyle name="Titre 4" xfId="7" xr:uid="{00000000-0005-0000-0000-000054000000}"/>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D145B"/>
      <color rgb="FFFF0066"/>
      <color rgb="FFED5B1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2</xdr:col>
      <xdr:colOff>555625</xdr:colOff>
      <xdr:row>2</xdr:row>
      <xdr:rowOff>155575</xdr:rowOff>
    </xdr:from>
    <xdr:to>
      <xdr:col>9</xdr:col>
      <xdr:colOff>647700</xdr:colOff>
      <xdr:row>6</xdr:row>
      <xdr:rowOff>161925</xdr:rowOff>
    </xdr:to>
    <xdr:sp macro="" textlink="">
      <xdr:nvSpPr>
        <xdr:cNvPr id="2" name="Zone de texte 6">
          <a:extLst>
            <a:ext uri="{FF2B5EF4-FFF2-40B4-BE49-F238E27FC236}">
              <a16:creationId xmlns:a16="http://schemas.microsoft.com/office/drawing/2014/main" id="{C98732AB-3F49-564C-B00C-CD8B6AC3A6F2}"/>
            </a:ext>
          </a:extLst>
        </xdr:cNvPr>
        <xdr:cNvSpPr txBox="1">
          <a:spLocks noChangeArrowheads="1"/>
        </xdr:cNvSpPr>
      </xdr:nvSpPr>
      <xdr:spPr bwMode="auto">
        <a:xfrm>
          <a:off x="1555750" y="536575"/>
          <a:ext cx="5797550" cy="768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27432" tIns="27432" rIns="0" bIns="0" anchor="t" upright="1"/>
        <a:lstStyle/>
        <a:p>
          <a:pPr algn="l">
            <a:spcBef>
              <a:spcPts val="600"/>
            </a:spcBef>
            <a:spcAft>
              <a:spcPts val="0"/>
            </a:spcAft>
          </a:pPr>
          <a:r>
            <a:rPr lang="fr-FR" sz="1800" kern="50" cap="all">
              <a:solidFill>
                <a:srgbClr val="5C2D91"/>
              </a:solidFill>
              <a:effectLst/>
              <a:latin typeface="Century Gothic" panose="020B0502020202020204" pitchFamily="34" charset="0"/>
              <a:ea typeface="WenQuanYi Micro Hei"/>
              <a:cs typeface="Lohit Hindi"/>
            </a:rPr>
            <a:t>département d’Évaluation DE LA RECHERCHE</a:t>
          </a:r>
          <a:endParaRPr lang="fr-FR" sz="1200" kern="50">
            <a:effectLst/>
            <a:latin typeface="Century Gothic" panose="020B0502020202020204" pitchFamily="34" charset="0"/>
            <a:ea typeface="WenQuanYi Micro Hei"/>
            <a:cs typeface="Lohit Hindi"/>
          </a:endParaRPr>
        </a:p>
      </xdr:txBody>
    </xdr:sp>
    <xdr:clientData/>
  </xdr:twoCellAnchor>
  <xdr:twoCellAnchor editAs="oneCell">
    <xdr:from>
      <xdr:col>0</xdr:col>
      <xdr:colOff>0</xdr:colOff>
      <xdr:row>0</xdr:row>
      <xdr:rowOff>0</xdr:rowOff>
    </xdr:from>
    <xdr:to>
      <xdr:col>2</xdr:col>
      <xdr:colOff>295275</xdr:colOff>
      <xdr:row>7</xdr:row>
      <xdr:rowOff>12246</xdr:rowOff>
    </xdr:to>
    <xdr:pic>
      <xdr:nvPicPr>
        <xdr:cNvPr id="3" name="Image 2">
          <a:extLst>
            <a:ext uri="{FF2B5EF4-FFF2-40B4-BE49-F238E27FC236}">
              <a16:creationId xmlns:a16="http://schemas.microsoft.com/office/drawing/2014/main" id="{173F4B88-8AF8-1145-80CE-8FBD4914910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295400" cy="134574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2952751</xdr:colOff>
      <xdr:row>0</xdr:row>
      <xdr:rowOff>73025</xdr:rowOff>
    </xdr:from>
    <xdr:to>
      <xdr:col>4</xdr:col>
      <xdr:colOff>69274</xdr:colOff>
      <xdr:row>9</xdr:row>
      <xdr:rowOff>57150</xdr:rowOff>
    </xdr:to>
    <xdr:sp macro="" textlink="">
      <xdr:nvSpPr>
        <xdr:cNvPr id="18525" name="Text Box 1">
          <a:extLst>
            <a:ext uri="{FF2B5EF4-FFF2-40B4-BE49-F238E27FC236}">
              <a16:creationId xmlns:a16="http://schemas.microsoft.com/office/drawing/2014/main" id="{00000000-0008-0000-0100-00005D480000}"/>
            </a:ext>
          </a:extLst>
        </xdr:cNvPr>
        <xdr:cNvSpPr txBox="1">
          <a:spLocks noChangeArrowheads="1"/>
        </xdr:cNvSpPr>
      </xdr:nvSpPr>
      <xdr:spPr bwMode="auto">
        <a:xfrm>
          <a:off x="2952751" y="73025"/>
          <a:ext cx="7966364" cy="1854489"/>
        </a:xfrm>
        <a:prstGeom prst="rect">
          <a:avLst/>
        </a:prstGeom>
        <a:noFill/>
        <a:ln w="19050">
          <a:solidFill>
            <a:srgbClr val="FF0066"/>
          </a:solidFill>
          <a:miter lim="800000"/>
          <a:headEnd/>
          <a:tailEnd/>
        </a:ln>
      </xdr:spPr>
      <xdr:txBody>
        <a:bodyPr vertOverflow="clip" wrap="square" lIns="27432" tIns="22860" rIns="27432" bIns="0" anchor="ctr" upright="1"/>
        <a:lstStyle/>
        <a:p>
          <a:pPr algn="ctr" rtl="0">
            <a:defRPr sz="1000"/>
          </a:pPr>
          <a:r>
            <a:rPr lang="fr-FR" sz="1600" b="1" i="0" u="none" strike="noStrike" baseline="0">
              <a:solidFill>
                <a:srgbClr val="ED145B"/>
              </a:solidFill>
              <a:latin typeface="Century Gothic"/>
              <a:ea typeface="Century Gothic"/>
              <a:cs typeface="Century Gothic"/>
            </a:rPr>
            <a:t>Vague C : campagne d'évaluation 2022 - 2023</a:t>
          </a:r>
        </a:p>
        <a:p>
          <a:pPr algn="ctr" rtl="0">
            <a:defRPr sz="1000"/>
          </a:pPr>
          <a:endParaRPr lang="fr-FR" sz="1600" b="1" i="0" u="none" strike="noStrike" baseline="0">
            <a:solidFill>
              <a:srgbClr val="ED145B"/>
            </a:solidFill>
            <a:latin typeface="Century Gothic"/>
            <a:ea typeface="Century Gothic"/>
            <a:cs typeface="Century Gothic"/>
          </a:endParaRPr>
        </a:p>
        <a:p>
          <a:pPr algn="ctr" rtl="0">
            <a:defRPr sz="1000"/>
          </a:pPr>
          <a:r>
            <a:rPr lang="fr-FR" sz="1600" b="1" i="0" u="none" strike="noStrike" baseline="0">
              <a:solidFill>
                <a:srgbClr val="ED145B"/>
              </a:solidFill>
              <a:latin typeface="Century Gothic"/>
              <a:ea typeface="Century Gothic"/>
              <a:cs typeface="Century Gothic"/>
            </a:rPr>
            <a:t>Dossier d'autoévaluation des unités de recherche</a:t>
          </a:r>
        </a:p>
        <a:p>
          <a:pPr algn="ctr" rtl="0">
            <a:defRPr sz="1000"/>
          </a:pPr>
          <a:r>
            <a:rPr lang="fr-FR" sz="1000" b="1" i="0" u="none" strike="noStrike" baseline="0">
              <a:solidFill>
                <a:srgbClr val="ED145B"/>
              </a:solidFill>
              <a:latin typeface="Century Gothic"/>
              <a:ea typeface="Century Gothic"/>
              <a:cs typeface="Century Gothic"/>
            </a:rPr>
            <a:t> </a:t>
          </a:r>
        </a:p>
        <a:p>
          <a:pPr algn="ctr" rtl="0">
            <a:defRPr sz="1000"/>
          </a:pPr>
          <a:r>
            <a:rPr lang="fr-FR" sz="1600" b="1" i="0" u="none" strike="noStrike" baseline="0">
              <a:solidFill>
                <a:srgbClr val="ED145B"/>
              </a:solidFill>
              <a:latin typeface="Century Gothic"/>
              <a:ea typeface="Century Gothic"/>
              <a:cs typeface="Century Gothic"/>
            </a:rPr>
            <a:t>Données de caractérisation </a:t>
          </a:r>
        </a:p>
      </xdr:txBody>
    </xdr:sp>
    <xdr:clientData/>
  </xdr:twoCellAnchor>
  <xdr:twoCellAnchor editAs="oneCell">
    <xdr:from>
      <xdr:col>1</xdr:col>
      <xdr:colOff>599440</xdr:colOff>
      <xdr:row>0</xdr:row>
      <xdr:rowOff>16349</xdr:rowOff>
    </xdr:from>
    <xdr:to>
      <xdr:col>1</xdr:col>
      <xdr:colOff>2354580</xdr:colOff>
      <xdr:row>8</xdr:row>
      <xdr:rowOff>23844</xdr:rowOff>
    </xdr:to>
    <xdr:pic>
      <xdr:nvPicPr>
        <xdr:cNvPr id="4" name="Image 4">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1440" y="16349"/>
          <a:ext cx="1755140" cy="16743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2952751</xdr:colOff>
      <xdr:row>0</xdr:row>
      <xdr:rowOff>73025</xdr:rowOff>
    </xdr:from>
    <xdr:to>
      <xdr:col>4</xdr:col>
      <xdr:colOff>69274</xdr:colOff>
      <xdr:row>9</xdr:row>
      <xdr:rowOff>57150</xdr:rowOff>
    </xdr:to>
    <xdr:sp macro="" textlink="">
      <xdr:nvSpPr>
        <xdr:cNvPr id="5" name="Text Box 1">
          <a:extLst>
            <a:ext uri="{FF2B5EF4-FFF2-40B4-BE49-F238E27FC236}">
              <a16:creationId xmlns:a16="http://schemas.microsoft.com/office/drawing/2014/main" id="{00000000-0008-0000-0100-000005000000}"/>
            </a:ext>
          </a:extLst>
        </xdr:cNvPr>
        <xdr:cNvSpPr txBox="1">
          <a:spLocks noChangeArrowheads="1"/>
        </xdr:cNvSpPr>
      </xdr:nvSpPr>
      <xdr:spPr bwMode="auto">
        <a:xfrm>
          <a:off x="3524251" y="73025"/>
          <a:ext cx="7470198" cy="1841500"/>
        </a:xfrm>
        <a:prstGeom prst="rect">
          <a:avLst/>
        </a:prstGeom>
        <a:noFill/>
        <a:ln w="19050">
          <a:solidFill>
            <a:srgbClr val="FF0066"/>
          </a:solidFill>
          <a:miter lim="800000"/>
          <a:headEnd/>
          <a:tailEnd/>
        </a:ln>
      </xdr:spPr>
      <xdr:txBody>
        <a:bodyPr vertOverflow="clip" wrap="square" lIns="27432" tIns="22860" rIns="27432" bIns="0" anchor="ctr" upright="1"/>
        <a:lstStyle/>
        <a:p>
          <a:pPr algn="ctr" rtl="0">
            <a:defRPr sz="1000"/>
          </a:pPr>
          <a:r>
            <a:rPr lang="fr-FR" sz="1600" b="1" i="0" u="none" strike="noStrike" baseline="0">
              <a:solidFill>
                <a:srgbClr val="ED145B"/>
              </a:solidFill>
              <a:latin typeface="Century Gothic"/>
              <a:ea typeface="Century Gothic"/>
              <a:cs typeface="Century Gothic"/>
            </a:rPr>
            <a:t>Vague C : campagne d'évaluation 2022 - 2023</a:t>
          </a:r>
        </a:p>
        <a:p>
          <a:pPr algn="ctr" rtl="0">
            <a:defRPr sz="1000"/>
          </a:pPr>
          <a:endParaRPr lang="fr-FR" sz="1600" b="1" i="0" u="none" strike="noStrike" baseline="0">
            <a:solidFill>
              <a:srgbClr val="ED145B"/>
            </a:solidFill>
            <a:latin typeface="Century Gothic"/>
            <a:ea typeface="Century Gothic"/>
            <a:cs typeface="Century Gothic"/>
          </a:endParaRPr>
        </a:p>
        <a:p>
          <a:pPr algn="ctr" rtl="0">
            <a:defRPr sz="1000"/>
          </a:pPr>
          <a:r>
            <a:rPr lang="fr-FR" sz="1600" b="1" i="0" u="none" strike="noStrike" baseline="0">
              <a:solidFill>
                <a:srgbClr val="ED145B"/>
              </a:solidFill>
              <a:latin typeface="Century Gothic"/>
              <a:ea typeface="Century Gothic"/>
              <a:cs typeface="Century Gothic"/>
            </a:rPr>
            <a:t>Dossier d'autoévaluation des unités de recherche</a:t>
          </a:r>
        </a:p>
        <a:p>
          <a:pPr algn="ctr" rtl="0">
            <a:defRPr sz="1000"/>
          </a:pPr>
          <a:r>
            <a:rPr lang="fr-FR" sz="1000" b="1" i="0" u="none" strike="noStrike" baseline="0">
              <a:solidFill>
                <a:srgbClr val="ED145B"/>
              </a:solidFill>
              <a:latin typeface="Century Gothic"/>
              <a:ea typeface="Century Gothic"/>
              <a:cs typeface="Century Gothic"/>
            </a:rPr>
            <a:t> </a:t>
          </a:r>
        </a:p>
        <a:p>
          <a:pPr algn="ctr" rtl="0">
            <a:defRPr sz="1000"/>
          </a:pPr>
          <a:r>
            <a:rPr lang="fr-FR" sz="1600" b="1" i="0" u="none" strike="noStrike" baseline="0">
              <a:solidFill>
                <a:srgbClr val="ED145B"/>
              </a:solidFill>
              <a:latin typeface="Century Gothic"/>
              <a:ea typeface="Century Gothic"/>
              <a:cs typeface="Century Gothic"/>
            </a:rPr>
            <a:t>Données de caractérisation </a:t>
          </a:r>
        </a:p>
      </xdr:txBody>
    </xdr:sp>
    <xdr:clientData/>
  </xdr:twoCellAnchor>
  <xdr:twoCellAnchor editAs="oneCell">
    <xdr:from>
      <xdr:col>1</xdr:col>
      <xdr:colOff>599440</xdr:colOff>
      <xdr:row>0</xdr:row>
      <xdr:rowOff>16349</xdr:rowOff>
    </xdr:from>
    <xdr:to>
      <xdr:col>1</xdr:col>
      <xdr:colOff>2354580</xdr:colOff>
      <xdr:row>8</xdr:row>
      <xdr:rowOff>23844</xdr:rowOff>
    </xdr:to>
    <xdr:pic>
      <xdr:nvPicPr>
        <xdr:cNvPr id="6" name="Image 4">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70940" y="16349"/>
          <a:ext cx="1755140" cy="1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2952751</xdr:colOff>
      <xdr:row>0</xdr:row>
      <xdr:rowOff>73025</xdr:rowOff>
    </xdr:from>
    <xdr:to>
      <xdr:col>4</xdr:col>
      <xdr:colOff>69274</xdr:colOff>
      <xdr:row>9</xdr:row>
      <xdr:rowOff>57150</xdr:rowOff>
    </xdr:to>
    <xdr:sp macro="" textlink="">
      <xdr:nvSpPr>
        <xdr:cNvPr id="7" name="Text Box 1">
          <a:extLst>
            <a:ext uri="{FF2B5EF4-FFF2-40B4-BE49-F238E27FC236}">
              <a16:creationId xmlns:a16="http://schemas.microsoft.com/office/drawing/2014/main" id="{00000000-0008-0000-0100-000007000000}"/>
            </a:ext>
          </a:extLst>
        </xdr:cNvPr>
        <xdr:cNvSpPr txBox="1">
          <a:spLocks noChangeArrowheads="1"/>
        </xdr:cNvSpPr>
      </xdr:nvSpPr>
      <xdr:spPr bwMode="auto">
        <a:xfrm>
          <a:off x="3524251" y="73025"/>
          <a:ext cx="7470198" cy="1841500"/>
        </a:xfrm>
        <a:prstGeom prst="rect">
          <a:avLst/>
        </a:prstGeom>
        <a:noFill/>
        <a:ln w="19050">
          <a:solidFill>
            <a:srgbClr val="FF0066"/>
          </a:solidFill>
          <a:miter lim="800000"/>
          <a:headEnd/>
          <a:tailEnd/>
        </a:ln>
      </xdr:spPr>
      <xdr:txBody>
        <a:bodyPr vertOverflow="clip" wrap="square" lIns="27432" tIns="22860" rIns="27432" bIns="0" anchor="ctr" upright="1"/>
        <a:lstStyle/>
        <a:p>
          <a:pPr algn="ctr" rtl="0">
            <a:defRPr sz="1000"/>
          </a:pPr>
          <a:r>
            <a:rPr lang="fr-FR" sz="1600" b="1" i="0" u="none" strike="noStrike" baseline="0">
              <a:solidFill>
                <a:srgbClr val="ED145B"/>
              </a:solidFill>
              <a:latin typeface="Century Gothic"/>
              <a:ea typeface="Century Gothic"/>
              <a:cs typeface="Century Gothic"/>
            </a:rPr>
            <a:t>Vague C : campagne d'évaluation 2022 - 2023</a:t>
          </a:r>
        </a:p>
        <a:p>
          <a:pPr algn="ctr" rtl="0">
            <a:defRPr sz="1000"/>
          </a:pPr>
          <a:endParaRPr lang="fr-FR" sz="1600" b="1" i="0" u="none" strike="noStrike" baseline="0">
            <a:solidFill>
              <a:srgbClr val="ED145B"/>
            </a:solidFill>
            <a:latin typeface="Century Gothic"/>
            <a:ea typeface="Century Gothic"/>
            <a:cs typeface="Century Gothic"/>
          </a:endParaRPr>
        </a:p>
        <a:p>
          <a:pPr algn="ctr" rtl="0">
            <a:defRPr sz="1000"/>
          </a:pPr>
          <a:r>
            <a:rPr lang="fr-FR" sz="1600" b="1" i="0" u="none" strike="noStrike" baseline="0">
              <a:solidFill>
                <a:srgbClr val="ED145B"/>
              </a:solidFill>
              <a:latin typeface="Century Gothic"/>
              <a:ea typeface="Century Gothic"/>
              <a:cs typeface="Century Gothic"/>
            </a:rPr>
            <a:t>Dossier d'autoévaluation des unités de recherche</a:t>
          </a:r>
        </a:p>
        <a:p>
          <a:pPr algn="ctr" rtl="0">
            <a:defRPr sz="1000"/>
          </a:pPr>
          <a:r>
            <a:rPr lang="fr-FR" sz="1000" b="1" i="0" u="none" strike="noStrike" baseline="0">
              <a:solidFill>
                <a:srgbClr val="ED145B"/>
              </a:solidFill>
              <a:latin typeface="Century Gothic"/>
              <a:ea typeface="Century Gothic"/>
              <a:cs typeface="Century Gothic"/>
            </a:rPr>
            <a:t> </a:t>
          </a:r>
        </a:p>
        <a:p>
          <a:pPr algn="ctr" rtl="0">
            <a:defRPr sz="1000"/>
          </a:pPr>
          <a:r>
            <a:rPr lang="fr-FR" sz="1600" b="1" i="0" u="none" strike="noStrike" baseline="0">
              <a:solidFill>
                <a:srgbClr val="ED145B"/>
              </a:solidFill>
              <a:latin typeface="Century Gothic"/>
              <a:ea typeface="Century Gothic"/>
              <a:cs typeface="Century Gothic"/>
            </a:rPr>
            <a:t>Données de caractérisation </a:t>
          </a:r>
        </a:p>
      </xdr:txBody>
    </xdr:sp>
    <xdr:clientData/>
  </xdr:twoCellAnchor>
  <xdr:twoCellAnchor editAs="oneCell">
    <xdr:from>
      <xdr:col>1</xdr:col>
      <xdr:colOff>599440</xdr:colOff>
      <xdr:row>0</xdr:row>
      <xdr:rowOff>16349</xdr:rowOff>
    </xdr:from>
    <xdr:to>
      <xdr:col>1</xdr:col>
      <xdr:colOff>2354580</xdr:colOff>
      <xdr:row>8</xdr:row>
      <xdr:rowOff>23844</xdr:rowOff>
    </xdr:to>
    <xdr:pic>
      <xdr:nvPicPr>
        <xdr:cNvPr id="8" name="Image 4">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70940" y="16349"/>
          <a:ext cx="1755140" cy="1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2952751</xdr:colOff>
      <xdr:row>0</xdr:row>
      <xdr:rowOff>73025</xdr:rowOff>
    </xdr:from>
    <xdr:to>
      <xdr:col>4</xdr:col>
      <xdr:colOff>69274</xdr:colOff>
      <xdr:row>9</xdr:row>
      <xdr:rowOff>57150</xdr:rowOff>
    </xdr:to>
    <xdr:sp macro="" textlink="">
      <xdr:nvSpPr>
        <xdr:cNvPr id="9" name="Text Box 1">
          <a:extLst>
            <a:ext uri="{FF2B5EF4-FFF2-40B4-BE49-F238E27FC236}">
              <a16:creationId xmlns:a16="http://schemas.microsoft.com/office/drawing/2014/main" id="{00000000-0008-0000-0100-000009000000}"/>
            </a:ext>
          </a:extLst>
        </xdr:cNvPr>
        <xdr:cNvSpPr txBox="1">
          <a:spLocks noChangeArrowheads="1"/>
        </xdr:cNvSpPr>
      </xdr:nvSpPr>
      <xdr:spPr bwMode="auto">
        <a:xfrm>
          <a:off x="3524251" y="73025"/>
          <a:ext cx="7470198" cy="1841500"/>
        </a:xfrm>
        <a:prstGeom prst="rect">
          <a:avLst/>
        </a:prstGeom>
        <a:noFill/>
        <a:ln w="19050">
          <a:solidFill>
            <a:srgbClr val="FF0066"/>
          </a:solidFill>
          <a:miter lim="800000"/>
          <a:headEnd/>
          <a:tailEnd/>
        </a:ln>
      </xdr:spPr>
      <xdr:txBody>
        <a:bodyPr vertOverflow="clip" wrap="square" lIns="27432" tIns="22860" rIns="27432" bIns="0" anchor="ctr" upright="1"/>
        <a:lstStyle/>
        <a:p>
          <a:pPr algn="ctr" rtl="0">
            <a:defRPr sz="1000"/>
          </a:pPr>
          <a:r>
            <a:rPr lang="fr-FR" sz="1600" b="1" i="0" u="none" strike="noStrike" baseline="0">
              <a:solidFill>
                <a:srgbClr val="ED145B"/>
              </a:solidFill>
              <a:latin typeface="Century Gothic"/>
              <a:ea typeface="Century Gothic"/>
              <a:cs typeface="Century Gothic"/>
            </a:rPr>
            <a:t>Vague C : campagne d'évaluation 2022 - 2023</a:t>
          </a:r>
        </a:p>
        <a:p>
          <a:pPr algn="ctr" rtl="0">
            <a:defRPr sz="1000"/>
          </a:pPr>
          <a:endParaRPr lang="fr-FR" sz="1600" b="1" i="0" u="none" strike="noStrike" baseline="0">
            <a:solidFill>
              <a:srgbClr val="ED145B"/>
            </a:solidFill>
            <a:latin typeface="Century Gothic"/>
            <a:ea typeface="Century Gothic"/>
            <a:cs typeface="Century Gothic"/>
          </a:endParaRPr>
        </a:p>
        <a:p>
          <a:pPr algn="ctr" rtl="0">
            <a:defRPr sz="1000"/>
          </a:pPr>
          <a:r>
            <a:rPr lang="fr-FR" sz="1600" b="1" i="0" u="none" strike="noStrike" baseline="0">
              <a:solidFill>
                <a:srgbClr val="ED145B"/>
              </a:solidFill>
              <a:latin typeface="Century Gothic"/>
              <a:ea typeface="Century Gothic"/>
              <a:cs typeface="Century Gothic"/>
            </a:rPr>
            <a:t>Dossier d'autoévaluation des unités de recherche</a:t>
          </a:r>
        </a:p>
        <a:p>
          <a:pPr algn="ctr" rtl="0">
            <a:defRPr sz="1000"/>
          </a:pPr>
          <a:r>
            <a:rPr lang="fr-FR" sz="1000" b="1" i="0" u="none" strike="noStrike" baseline="0">
              <a:solidFill>
                <a:srgbClr val="ED145B"/>
              </a:solidFill>
              <a:latin typeface="Century Gothic"/>
              <a:ea typeface="Century Gothic"/>
              <a:cs typeface="Century Gothic"/>
            </a:rPr>
            <a:t> </a:t>
          </a:r>
        </a:p>
        <a:p>
          <a:pPr algn="ctr" rtl="0">
            <a:defRPr sz="1000"/>
          </a:pPr>
          <a:r>
            <a:rPr lang="fr-FR" sz="1600" b="1" i="0" u="none" strike="noStrike" baseline="0">
              <a:solidFill>
                <a:srgbClr val="ED145B"/>
              </a:solidFill>
              <a:latin typeface="Century Gothic"/>
              <a:ea typeface="Century Gothic"/>
              <a:cs typeface="Century Gothic"/>
            </a:rPr>
            <a:t>Données de caractérisation </a:t>
          </a:r>
        </a:p>
      </xdr:txBody>
    </xdr:sp>
    <xdr:clientData/>
  </xdr:twoCellAnchor>
  <xdr:twoCellAnchor editAs="oneCell">
    <xdr:from>
      <xdr:col>1</xdr:col>
      <xdr:colOff>599440</xdr:colOff>
      <xdr:row>0</xdr:row>
      <xdr:rowOff>16349</xdr:rowOff>
    </xdr:from>
    <xdr:to>
      <xdr:col>1</xdr:col>
      <xdr:colOff>2354580</xdr:colOff>
      <xdr:row>8</xdr:row>
      <xdr:rowOff>23844</xdr:rowOff>
    </xdr:to>
    <xdr:pic>
      <xdr:nvPicPr>
        <xdr:cNvPr id="10" name="Image 4">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70940" y="16349"/>
          <a:ext cx="1755140" cy="1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1000126</xdr:colOff>
      <xdr:row>0</xdr:row>
      <xdr:rowOff>136526</xdr:rowOff>
    </xdr:from>
    <xdr:to>
      <xdr:col>8</xdr:col>
      <xdr:colOff>1162050</xdr:colOff>
      <xdr:row>6</xdr:row>
      <xdr:rowOff>264583</xdr:rowOff>
    </xdr:to>
    <xdr:sp macro="" textlink="">
      <xdr:nvSpPr>
        <xdr:cNvPr id="20" name="Text Box 1">
          <a:extLst>
            <a:ext uri="{FF2B5EF4-FFF2-40B4-BE49-F238E27FC236}">
              <a16:creationId xmlns:a16="http://schemas.microsoft.com/office/drawing/2014/main" id="{00000000-0008-0000-0300-000014000000}"/>
            </a:ext>
          </a:extLst>
        </xdr:cNvPr>
        <xdr:cNvSpPr txBox="1">
          <a:spLocks noChangeArrowheads="1"/>
        </xdr:cNvSpPr>
      </xdr:nvSpPr>
      <xdr:spPr bwMode="auto">
        <a:xfrm>
          <a:off x="2571751" y="136526"/>
          <a:ext cx="7096124" cy="1785407"/>
        </a:xfrm>
        <a:prstGeom prst="rect">
          <a:avLst/>
        </a:prstGeom>
        <a:noFill/>
        <a:ln w="19050">
          <a:solidFill>
            <a:srgbClr val="FF0066"/>
          </a:solidFill>
          <a:miter lim="800000"/>
          <a:headEnd/>
          <a:tailEnd/>
        </a:ln>
      </xdr:spPr>
      <xdr:txBody>
        <a:bodyPr vertOverflow="clip" wrap="square" lIns="27432" tIns="22860" rIns="27432" bIns="0" anchor="ctr" upright="1"/>
        <a:lstStyle/>
        <a:p>
          <a:pPr algn="ctr" rtl="0">
            <a:defRPr sz="1000"/>
          </a:pPr>
          <a:r>
            <a:rPr lang="fr-FR" sz="1600" b="1" i="0" u="none" strike="noStrike" baseline="0">
              <a:solidFill>
                <a:srgbClr val="ED145B"/>
              </a:solidFill>
              <a:latin typeface="Century Gothic"/>
              <a:ea typeface="Century Gothic"/>
              <a:cs typeface="Century Gothic"/>
            </a:rPr>
            <a:t>Vague C</a:t>
          </a:r>
          <a:r>
            <a:rPr lang="fr-FR" sz="1600" b="1" i="0" u="none" strike="noStrike" baseline="0">
              <a:solidFill>
                <a:srgbClr val="FF0066"/>
              </a:solidFill>
              <a:latin typeface="Century Gothic"/>
              <a:ea typeface="Century Gothic"/>
              <a:cs typeface="Century Gothic"/>
            </a:rPr>
            <a:t> : campagne d'évaluation 2022 - 2023</a:t>
          </a:r>
        </a:p>
        <a:p>
          <a:pPr algn="ctr" rtl="0">
            <a:defRPr sz="1000"/>
          </a:pPr>
          <a:endParaRPr lang="fr-FR" sz="1600" b="1" i="0" u="none" strike="noStrike" baseline="0">
            <a:solidFill>
              <a:srgbClr val="FF0066"/>
            </a:solidFill>
            <a:latin typeface="Century Gothic"/>
            <a:ea typeface="Century Gothic"/>
            <a:cs typeface="Century Gothic"/>
          </a:endParaRPr>
        </a:p>
        <a:p>
          <a:pPr algn="ctr" rtl="0">
            <a:defRPr sz="1000"/>
          </a:pPr>
          <a:r>
            <a:rPr lang="fr-FR" sz="1600" b="1" i="0" u="none" strike="noStrike" baseline="0">
              <a:solidFill>
                <a:srgbClr val="ED145B"/>
              </a:solidFill>
              <a:latin typeface="Century Gothic"/>
              <a:ea typeface="Century Gothic"/>
              <a:cs typeface="Century Gothic"/>
            </a:rPr>
            <a:t>Dossier d'autoévaluation des unités de recherche</a:t>
          </a:r>
        </a:p>
        <a:p>
          <a:pPr algn="ctr" rtl="0">
            <a:defRPr sz="1000"/>
          </a:pPr>
          <a:r>
            <a:rPr lang="fr-FR" sz="1000" b="1" i="0" u="none" strike="noStrike" baseline="0">
              <a:solidFill>
                <a:srgbClr val="ED145B"/>
              </a:solidFill>
              <a:latin typeface="Century Gothic"/>
              <a:ea typeface="Century Gothic"/>
              <a:cs typeface="Century Gothic"/>
            </a:rPr>
            <a:t> </a:t>
          </a:r>
        </a:p>
        <a:p>
          <a:pPr algn="ctr" rtl="0">
            <a:defRPr sz="1000"/>
          </a:pPr>
          <a:r>
            <a:rPr lang="fr-FR" sz="1600" b="1" i="0" u="none" strike="noStrike" baseline="0">
              <a:solidFill>
                <a:srgbClr val="ED145B"/>
              </a:solidFill>
              <a:latin typeface="Century Gothic"/>
              <a:ea typeface="Century Gothic"/>
              <a:cs typeface="Century Gothic"/>
            </a:rPr>
            <a:t>Données de caractérisation </a:t>
          </a:r>
        </a:p>
      </xdr:txBody>
    </xdr:sp>
    <xdr:clientData/>
  </xdr:twoCellAnchor>
  <xdr:twoCellAnchor editAs="oneCell">
    <xdr:from>
      <xdr:col>1</xdr:col>
      <xdr:colOff>159866</xdr:colOff>
      <xdr:row>0</xdr:row>
      <xdr:rowOff>81517</xdr:rowOff>
    </xdr:from>
    <xdr:to>
      <xdr:col>1</xdr:col>
      <xdr:colOff>1419225</xdr:colOff>
      <xdr:row>4</xdr:row>
      <xdr:rowOff>194758</xdr:rowOff>
    </xdr:to>
    <xdr:pic>
      <xdr:nvPicPr>
        <xdr:cNvPr id="22" name="Image 4">
          <a:extLst>
            <a:ext uri="{FF2B5EF4-FFF2-40B4-BE49-F238E27FC236}">
              <a16:creationId xmlns:a16="http://schemas.microsoft.com/office/drawing/2014/main" id="{00000000-0008-0000-03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866" y="81517"/>
          <a:ext cx="1259359"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1000126</xdr:colOff>
      <xdr:row>0</xdr:row>
      <xdr:rowOff>136526</xdr:rowOff>
    </xdr:from>
    <xdr:to>
      <xdr:col>8</xdr:col>
      <xdr:colOff>1162050</xdr:colOff>
      <xdr:row>6</xdr:row>
      <xdr:rowOff>264583</xdr:rowOff>
    </xdr:to>
    <xdr:sp macro="" textlink="">
      <xdr:nvSpPr>
        <xdr:cNvPr id="6" name="Text Box 1">
          <a:extLst>
            <a:ext uri="{FF2B5EF4-FFF2-40B4-BE49-F238E27FC236}">
              <a16:creationId xmlns:a16="http://schemas.microsoft.com/office/drawing/2014/main" id="{00000000-0008-0000-0400-000006000000}"/>
            </a:ext>
          </a:extLst>
        </xdr:cNvPr>
        <xdr:cNvSpPr txBox="1">
          <a:spLocks noChangeArrowheads="1"/>
        </xdr:cNvSpPr>
      </xdr:nvSpPr>
      <xdr:spPr bwMode="auto">
        <a:xfrm>
          <a:off x="2615566" y="136526"/>
          <a:ext cx="7088504" cy="1773977"/>
        </a:xfrm>
        <a:prstGeom prst="rect">
          <a:avLst/>
        </a:prstGeom>
        <a:noFill/>
        <a:ln w="19050">
          <a:solidFill>
            <a:srgbClr val="FF0066"/>
          </a:solidFill>
          <a:miter lim="800000"/>
          <a:headEnd/>
          <a:tailEnd/>
        </a:ln>
      </xdr:spPr>
      <xdr:txBody>
        <a:bodyPr vertOverflow="clip" wrap="square" lIns="27432" tIns="22860" rIns="27432" bIns="0" anchor="ctr" upright="1"/>
        <a:lstStyle/>
        <a:p>
          <a:pPr algn="ctr" rtl="0">
            <a:defRPr sz="1000"/>
          </a:pPr>
          <a:r>
            <a:rPr lang="fr-FR" sz="1600" b="1" i="0" u="none" strike="noStrike" baseline="0">
              <a:solidFill>
                <a:srgbClr val="ED145B"/>
              </a:solidFill>
              <a:latin typeface="Century Gothic"/>
              <a:ea typeface="Century Gothic"/>
              <a:cs typeface="Century Gothic"/>
            </a:rPr>
            <a:t>Vague C</a:t>
          </a:r>
          <a:r>
            <a:rPr lang="fr-FR" sz="1600" b="1" i="0" u="none" strike="noStrike" baseline="0">
              <a:solidFill>
                <a:srgbClr val="FF0066"/>
              </a:solidFill>
              <a:latin typeface="Century Gothic"/>
              <a:ea typeface="Century Gothic"/>
              <a:cs typeface="Century Gothic"/>
            </a:rPr>
            <a:t> : campagne d'évaluation 2022 - 2023</a:t>
          </a:r>
        </a:p>
        <a:p>
          <a:pPr algn="ctr" rtl="0">
            <a:defRPr sz="1000"/>
          </a:pPr>
          <a:endParaRPr lang="fr-FR" sz="1600" b="1" i="0" u="none" strike="noStrike" baseline="0">
            <a:solidFill>
              <a:srgbClr val="FF0066"/>
            </a:solidFill>
            <a:latin typeface="Century Gothic"/>
            <a:ea typeface="Century Gothic"/>
            <a:cs typeface="Century Gothic"/>
          </a:endParaRPr>
        </a:p>
        <a:p>
          <a:pPr algn="ctr" rtl="0">
            <a:defRPr sz="1000"/>
          </a:pPr>
          <a:r>
            <a:rPr lang="fr-FR" sz="1600" b="1" i="0" u="none" strike="noStrike" baseline="0">
              <a:solidFill>
                <a:srgbClr val="ED145B"/>
              </a:solidFill>
              <a:latin typeface="Century Gothic"/>
              <a:ea typeface="Century Gothic"/>
              <a:cs typeface="Century Gothic"/>
            </a:rPr>
            <a:t>Dossier d'autoévaluation des unités de recherche</a:t>
          </a:r>
        </a:p>
        <a:p>
          <a:pPr algn="ctr" rtl="0">
            <a:defRPr sz="1000"/>
          </a:pPr>
          <a:r>
            <a:rPr lang="fr-FR" sz="1000" b="1" i="0" u="none" strike="noStrike" baseline="0">
              <a:solidFill>
                <a:srgbClr val="ED145B"/>
              </a:solidFill>
              <a:latin typeface="Century Gothic"/>
              <a:ea typeface="Century Gothic"/>
              <a:cs typeface="Century Gothic"/>
            </a:rPr>
            <a:t> </a:t>
          </a:r>
        </a:p>
        <a:p>
          <a:pPr algn="ctr" rtl="0">
            <a:defRPr sz="1000"/>
          </a:pPr>
          <a:r>
            <a:rPr lang="fr-FR" sz="1600" b="1" i="0" u="none" strike="noStrike" baseline="0">
              <a:solidFill>
                <a:srgbClr val="ED145B"/>
              </a:solidFill>
              <a:latin typeface="Century Gothic"/>
              <a:ea typeface="Century Gothic"/>
              <a:cs typeface="Century Gothic"/>
            </a:rPr>
            <a:t>Données de caractérisation </a:t>
          </a:r>
        </a:p>
      </xdr:txBody>
    </xdr:sp>
    <xdr:clientData/>
  </xdr:twoCellAnchor>
  <xdr:twoCellAnchor editAs="oneCell">
    <xdr:from>
      <xdr:col>1</xdr:col>
      <xdr:colOff>342900</xdr:colOff>
      <xdr:row>0</xdr:row>
      <xdr:rowOff>106680</xdr:rowOff>
    </xdr:from>
    <xdr:to>
      <xdr:col>2</xdr:col>
      <xdr:colOff>169699</xdr:colOff>
      <xdr:row>4</xdr:row>
      <xdr:rowOff>219921</xdr:rowOff>
    </xdr:to>
    <xdr:pic>
      <xdr:nvPicPr>
        <xdr:cNvPr id="10" name="Image 4">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 y="106680"/>
          <a:ext cx="1259359" cy="12105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323850</xdr:colOff>
      <xdr:row>0</xdr:row>
      <xdr:rowOff>123827</xdr:rowOff>
    </xdr:from>
    <xdr:to>
      <xdr:col>7</xdr:col>
      <xdr:colOff>1076325</xdr:colOff>
      <xdr:row>9</xdr:row>
      <xdr:rowOff>200025</xdr:rowOff>
    </xdr:to>
    <xdr:sp macro="" textlink="">
      <xdr:nvSpPr>
        <xdr:cNvPr id="5" name="Text Box 1">
          <a:extLst>
            <a:ext uri="{FF2B5EF4-FFF2-40B4-BE49-F238E27FC236}">
              <a16:creationId xmlns:a16="http://schemas.microsoft.com/office/drawing/2014/main" id="{00000000-0008-0000-0500-000005000000}"/>
            </a:ext>
          </a:extLst>
        </xdr:cNvPr>
        <xdr:cNvSpPr txBox="1">
          <a:spLocks noChangeArrowheads="1"/>
        </xdr:cNvSpPr>
      </xdr:nvSpPr>
      <xdr:spPr bwMode="auto">
        <a:xfrm>
          <a:off x="1971675" y="123827"/>
          <a:ext cx="8410575" cy="1619248"/>
        </a:xfrm>
        <a:prstGeom prst="rect">
          <a:avLst/>
        </a:prstGeom>
        <a:noFill/>
        <a:ln w="19050">
          <a:solidFill>
            <a:srgbClr val="FF0066"/>
          </a:solidFill>
          <a:miter lim="800000"/>
          <a:headEnd/>
          <a:tailEnd/>
        </a:ln>
      </xdr:spPr>
      <xdr:txBody>
        <a:bodyPr vertOverflow="clip" wrap="square" lIns="27432" tIns="22860" rIns="27432" bIns="0" anchor="ctr" upright="1"/>
        <a:lstStyle/>
        <a:p>
          <a:pPr algn="ctr" rtl="0">
            <a:defRPr sz="1000"/>
          </a:pPr>
          <a:r>
            <a:rPr lang="fr-FR" sz="1600" b="1" i="0" u="none" strike="noStrike" baseline="0">
              <a:solidFill>
                <a:srgbClr val="FF0066"/>
              </a:solidFill>
              <a:latin typeface="Century Gothic"/>
              <a:ea typeface="Century Gothic"/>
              <a:cs typeface="Century Gothic"/>
            </a:rPr>
            <a:t>Vague C : campagne d'évaluation 2022 - 2023</a:t>
          </a:r>
        </a:p>
        <a:p>
          <a:pPr algn="ctr" rtl="0">
            <a:defRPr sz="1000"/>
          </a:pPr>
          <a:endParaRPr lang="fr-FR" sz="1600" b="1" i="0" u="none" strike="noStrike" baseline="0">
            <a:solidFill>
              <a:srgbClr val="FF0066"/>
            </a:solidFill>
            <a:latin typeface="Century Gothic"/>
            <a:ea typeface="Century Gothic"/>
            <a:cs typeface="Century Gothic"/>
          </a:endParaRPr>
        </a:p>
        <a:p>
          <a:pPr algn="ctr" rtl="0">
            <a:defRPr sz="1000"/>
          </a:pPr>
          <a:r>
            <a:rPr lang="fr-FR" sz="1600" b="1" i="0" u="none" strike="noStrike" baseline="0">
              <a:solidFill>
                <a:srgbClr val="FF0066"/>
              </a:solidFill>
              <a:latin typeface="Century Gothic"/>
              <a:ea typeface="Century Gothic"/>
              <a:cs typeface="Century Gothic"/>
            </a:rPr>
            <a:t>Dossier d'autoévaluation des unités de recherche</a:t>
          </a:r>
        </a:p>
        <a:p>
          <a:pPr algn="ctr" rtl="0">
            <a:defRPr sz="1000"/>
          </a:pPr>
          <a:r>
            <a:rPr lang="fr-FR" sz="1000" b="1" i="0" u="none" strike="noStrike" baseline="0">
              <a:solidFill>
                <a:srgbClr val="ED145B"/>
              </a:solidFill>
              <a:latin typeface="Century Gothic"/>
              <a:ea typeface="Century Gothic"/>
              <a:cs typeface="Century Gothic"/>
            </a:rPr>
            <a:t> </a:t>
          </a:r>
        </a:p>
        <a:p>
          <a:pPr algn="ctr" rtl="0">
            <a:defRPr sz="1000"/>
          </a:pPr>
          <a:r>
            <a:rPr lang="fr-FR" sz="1600" b="1" i="0" u="none" strike="noStrike" baseline="0">
              <a:solidFill>
                <a:srgbClr val="ED145B"/>
              </a:solidFill>
              <a:latin typeface="Century Gothic"/>
              <a:ea typeface="Century Gothic"/>
              <a:cs typeface="Century Gothic"/>
            </a:rPr>
            <a:t>Données de caractérisation </a:t>
          </a:r>
        </a:p>
      </xdr:txBody>
    </xdr:sp>
    <xdr:clientData/>
  </xdr:twoCellAnchor>
  <xdr:twoCellAnchor editAs="oneCell">
    <xdr:from>
      <xdr:col>1</xdr:col>
      <xdr:colOff>323849</xdr:colOff>
      <xdr:row>0</xdr:row>
      <xdr:rowOff>171449</xdr:rowOff>
    </xdr:from>
    <xdr:to>
      <xdr:col>2</xdr:col>
      <xdr:colOff>47625</xdr:colOff>
      <xdr:row>8</xdr:row>
      <xdr:rowOff>161924</xdr:rowOff>
    </xdr:to>
    <xdr:pic>
      <xdr:nvPicPr>
        <xdr:cNvPr id="6" name="Image 4">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49" y="171449"/>
          <a:ext cx="1371601"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485774</xdr:colOff>
      <xdr:row>1</xdr:row>
      <xdr:rowOff>19050</xdr:rowOff>
    </xdr:from>
    <xdr:to>
      <xdr:col>1</xdr:col>
      <xdr:colOff>1488564</xdr:colOff>
      <xdr:row>9</xdr:row>
      <xdr:rowOff>133350</xdr:rowOff>
    </xdr:to>
    <xdr:pic>
      <xdr:nvPicPr>
        <xdr:cNvPr id="2" name="Image 4">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5774" y="180975"/>
          <a:ext cx="1488565" cy="1409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1847851</xdr:colOff>
      <xdr:row>1</xdr:row>
      <xdr:rowOff>28575</xdr:rowOff>
    </xdr:from>
    <xdr:to>
      <xdr:col>2</xdr:col>
      <xdr:colOff>3171826</xdr:colOff>
      <xdr:row>11</xdr:row>
      <xdr:rowOff>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1847851" y="190500"/>
          <a:ext cx="6153150" cy="1619248"/>
        </a:xfrm>
        <a:prstGeom prst="rect">
          <a:avLst/>
        </a:prstGeom>
        <a:noFill/>
        <a:ln w="19050">
          <a:solidFill>
            <a:srgbClr val="FF0066"/>
          </a:solidFill>
          <a:miter lim="800000"/>
          <a:headEnd/>
          <a:tailEnd/>
        </a:ln>
      </xdr:spPr>
      <xdr:txBody>
        <a:bodyPr vertOverflow="clip" wrap="square" lIns="27432" tIns="22860" rIns="27432" bIns="0" anchor="ctr" upright="1"/>
        <a:lstStyle/>
        <a:p>
          <a:pPr algn="ctr" rtl="0">
            <a:defRPr sz="1000"/>
          </a:pPr>
          <a:r>
            <a:rPr lang="fr-FR" sz="1600" b="1" i="0" u="none" strike="noStrike" baseline="0">
              <a:solidFill>
                <a:srgbClr val="FF0066"/>
              </a:solidFill>
              <a:latin typeface="Century Gothic"/>
              <a:ea typeface="Century Gothic"/>
              <a:cs typeface="Century Gothic"/>
            </a:rPr>
            <a:t>Vague C : campagne d'évaluation 2022 - 2023</a:t>
          </a:r>
        </a:p>
        <a:p>
          <a:pPr algn="ctr" rtl="0">
            <a:defRPr sz="1000"/>
          </a:pPr>
          <a:endParaRPr lang="fr-FR" sz="1600" b="1" i="0" u="none" strike="noStrike" baseline="0">
            <a:solidFill>
              <a:srgbClr val="FF0066"/>
            </a:solidFill>
            <a:latin typeface="Century Gothic"/>
            <a:ea typeface="Century Gothic"/>
            <a:cs typeface="Century Gothic"/>
          </a:endParaRPr>
        </a:p>
        <a:p>
          <a:pPr algn="ctr" rtl="0">
            <a:defRPr sz="1000"/>
          </a:pPr>
          <a:r>
            <a:rPr lang="fr-FR" sz="1600" b="1" i="0" u="none" strike="noStrike" baseline="0">
              <a:solidFill>
                <a:srgbClr val="FF0066"/>
              </a:solidFill>
              <a:latin typeface="Century Gothic"/>
              <a:ea typeface="Century Gothic"/>
              <a:cs typeface="Century Gothic"/>
            </a:rPr>
            <a:t>Dossier d'autoévaluation des unités de recherche</a:t>
          </a:r>
        </a:p>
        <a:p>
          <a:pPr algn="ctr" rtl="0">
            <a:defRPr sz="1000"/>
          </a:pPr>
          <a:r>
            <a:rPr lang="fr-FR" sz="1000" b="1" i="0" u="none" strike="noStrike" baseline="0">
              <a:solidFill>
                <a:srgbClr val="ED145B"/>
              </a:solidFill>
              <a:latin typeface="Century Gothic"/>
              <a:ea typeface="Century Gothic"/>
              <a:cs typeface="Century Gothic"/>
            </a:rPr>
            <a:t> </a:t>
          </a:r>
        </a:p>
        <a:p>
          <a:pPr algn="ctr" rtl="0">
            <a:defRPr sz="1000"/>
          </a:pPr>
          <a:r>
            <a:rPr lang="fr-FR" sz="1600" b="1" i="0" u="none" strike="noStrike" baseline="0">
              <a:solidFill>
                <a:srgbClr val="ED145B"/>
              </a:solidFill>
              <a:latin typeface="Century Gothic"/>
              <a:ea typeface="Century Gothic"/>
              <a:cs typeface="Century Gothic"/>
            </a:rPr>
            <a:t>Données de caractérisation </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85725</xdr:colOff>
      <xdr:row>0</xdr:row>
      <xdr:rowOff>133349</xdr:rowOff>
    </xdr:from>
    <xdr:to>
      <xdr:col>1</xdr:col>
      <xdr:colOff>714375</xdr:colOff>
      <xdr:row>6</xdr:row>
      <xdr:rowOff>199003</xdr:rowOff>
    </xdr:to>
    <xdr:pic>
      <xdr:nvPicPr>
        <xdr:cNvPr id="2" name="Image 4">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33349"/>
          <a:ext cx="1503218" cy="13645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85725</xdr:colOff>
      <xdr:row>0</xdr:row>
      <xdr:rowOff>133349</xdr:rowOff>
    </xdr:from>
    <xdr:to>
      <xdr:col>1</xdr:col>
      <xdr:colOff>714375</xdr:colOff>
      <xdr:row>6</xdr:row>
      <xdr:rowOff>199003</xdr:rowOff>
    </xdr:to>
    <xdr:pic>
      <xdr:nvPicPr>
        <xdr:cNvPr id="3" name="Image 4">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33349"/>
          <a:ext cx="1504950" cy="1370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85725</xdr:colOff>
      <xdr:row>0</xdr:row>
      <xdr:rowOff>133349</xdr:rowOff>
    </xdr:from>
    <xdr:to>
      <xdr:col>1</xdr:col>
      <xdr:colOff>714375</xdr:colOff>
      <xdr:row>6</xdr:row>
      <xdr:rowOff>199003</xdr:rowOff>
    </xdr:to>
    <xdr:pic>
      <xdr:nvPicPr>
        <xdr:cNvPr id="4" name="Image 4">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33349"/>
          <a:ext cx="1504950" cy="1370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85725</xdr:colOff>
      <xdr:row>0</xdr:row>
      <xdr:rowOff>133349</xdr:rowOff>
    </xdr:from>
    <xdr:to>
      <xdr:col>1</xdr:col>
      <xdr:colOff>714375</xdr:colOff>
      <xdr:row>6</xdr:row>
      <xdr:rowOff>199003</xdr:rowOff>
    </xdr:to>
    <xdr:pic>
      <xdr:nvPicPr>
        <xdr:cNvPr id="5" name="Image 4">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33349"/>
          <a:ext cx="1504950" cy="1370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85725</xdr:colOff>
      <xdr:row>0</xdr:row>
      <xdr:rowOff>133349</xdr:rowOff>
    </xdr:from>
    <xdr:to>
      <xdr:col>1</xdr:col>
      <xdr:colOff>714375</xdr:colOff>
      <xdr:row>6</xdr:row>
      <xdr:rowOff>199003</xdr:rowOff>
    </xdr:to>
    <xdr:pic>
      <xdr:nvPicPr>
        <xdr:cNvPr id="6" name="Image 4">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33349"/>
          <a:ext cx="1504950" cy="1370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85725</xdr:colOff>
      <xdr:row>0</xdr:row>
      <xdr:rowOff>133349</xdr:rowOff>
    </xdr:from>
    <xdr:to>
      <xdr:col>1</xdr:col>
      <xdr:colOff>714375</xdr:colOff>
      <xdr:row>6</xdr:row>
      <xdr:rowOff>199003</xdr:rowOff>
    </xdr:to>
    <xdr:pic>
      <xdr:nvPicPr>
        <xdr:cNvPr id="7" name="Image 4">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33349"/>
          <a:ext cx="1504950" cy="1370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85725</xdr:colOff>
      <xdr:row>0</xdr:row>
      <xdr:rowOff>133349</xdr:rowOff>
    </xdr:from>
    <xdr:to>
      <xdr:col>1</xdr:col>
      <xdr:colOff>714375</xdr:colOff>
      <xdr:row>6</xdr:row>
      <xdr:rowOff>199003</xdr:rowOff>
    </xdr:to>
    <xdr:pic>
      <xdr:nvPicPr>
        <xdr:cNvPr id="8" name="Image 4">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33349"/>
          <a:ext cx="1504950" cy="1370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85725</xdr:colOff>
      <xdr:row>0</xdr:row>
      <xdr:rowOff>133349</xdr:rowOff>
    </xdr:from>
    <xdr:to>
      <xdr:col>1</xdr:col>
      <xdr:colOff>714375</xdr:colOff>
      <xdr:row>6</xdr:row>
      <xdr:rowOff>199003</xdr:rowOff>
    </xdr:to>
    <xdr:pic>
      <xdr:nvPicPr>
        <xdr:cNvPr id="9" name="Image 4">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33349"/>
          <a:ext cx="1504950" cy="1370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85725</xdr:colOff>
      <xdr:row>0</xdr:row>
      <xdr:rowOff>133349</xdr:rowOff>
    </xdr:from>
    <xdr:to>
      <xdr:col>1</xdr:col>
      <xdr:colOff>714375</xdr:colOff>
      <xdr:row>6</xdr:row>
      <xdr:rowOff>199003</xdr:rowOff>
    </xdr:to>
    <xdr:pic>
      <xdr:nvPicPr>
        <xdr:cNvPr id="10" name="Image 4">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33349"/>
          <a:ext cx="1504950" cy="1370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85725</xdr:colOff>
      <xdr:row>0</xdr:row>
      <xdr:rowOff>133349</xdr:rowOff>
    </xdr:from>
    <xdr:to>
      <xdr:col>1</xdr:col>
      <xdr:colOff>714375</xdr:colOff>
      <xdr:row>6</xdr:row>
      <xdr:rowOff>199003</xdr:rowOff>
    </xdr:to>
    <xdr:pic>
      <xdr:nvPicPr>
        <xdr:cNvPr id="11" name="Image 4">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33349"/>
          <a:ext cx="1504950" cy="1370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M:/str-hceres-dsi/30-PROJETS/12-Remplacement%20GED/02-plateforme_donnees/03_mod&#232;les_fichiers/def/Hceres-vague%20C-DEF-1er%20et%202e%20cycles%20domaine%20culture-v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M:/str-hceres-dsi/30-PROJETS/12-Remplacement%20GED/02-plateforme_donnees/03_mod&#232;les_fichiers/der/old/Donnees_de-caract&#233;risation_Vague%20C_15-10-2021_DND_21-10_V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ice"/>
      <sheetName val="1. Présentation"/>
      <sheetName val="2. Données de caractérisation"/>
      <sheetName val="3. Auto-positionnement"/>
      <sheetName val="4. Données"/>
      <sheetName val="Nomenclature"/>
      <sheetName val="Dev"/>
    </sheetNames>
    <sheetDataSet>
      <sheetData sheetId="0" refreshError="1"/>
      <sheetData sheetId="1" refreshError="1"/>
      <sheetData sheetId="2" refreshError="1"/>
      <sheetData sheetId="3" refreshError="1"/>
      <sheetData sheetId="4" refreshError="1"/>
      <sheetData sheetId="5">
        <row r="2">
          <cell r="A2" t="str">
            <v>École_Média_Art_du_Grand_Chalon</v>
          </cell>
        </row>
        <row r="3">
          <cell r="A3" t="str">
            <v>École_nationale_supérieure_d_architecture_de_Marseille_ENSA_Marseille</v>
          </cell>
        </row>
        <row r="4">
          <cell r="A4" t="str">
            <v>École_nationale_supérieure_d_architecture_de_Nancy_ENSA_Nancy</v>
          </cell>
        </row>
        <row r="5">
          <cell r="A5" t="str">
            <v>École_nationale_supérieure_d_architecture_de_Strasbourg_ENSA_Strasbourg</v>
          </cell>
        </row>
        <row r="6">
          <cell r="A6" t="str">
            <v>École_nationale_supérieure_d_art_Dijon</v>
          </cell>
        </row>
        <row r="7">
          <cell r="A7" t="str">
            <v>École_nationale_supérieure_d_art_et_de_design_de_Nancy</v>
          </cell>
        </row>
        <row r="8">
          <cell r="A8" t="str">
            <v>École_nationale_supérieure_de_la_photographie_Arles</v>
          </cell>
        </row>
        <row r="9">
          <cell r="A9" t="str">
            <v>École_supérieure_d_art_d_Aix_en_Provence</v>
          </cell>
        </row>
        <row r="10">
          <cell r="A10" t="str">
            <v>École_supérieure_d_art_d_Avignon</v>
          </cell>
        </row>
        <row r="11">
          <cell r="A11" t="str">
            <v>École_supérieure_d_art_de_Lorraine_Metz_Epinal</v>
          </cell>
        </row>
        <row r="12">
          <cell r="A12" t="str">
            <v>École_supérieure_d_art_et_de_design_d_Orléans</v>
          </cell>
        </row>
        <row r="13">
          <cell r="A13" t="str">
            <v>École_supérieure_d_art_et_de_design_de_Reims</v>
          </cell>
        </row>
        <row r="14">
          <cell r="A14" t="str">
            <v>École_supérieure_d_art_et_de_design_Toulon_Provence_Méditerranée</v>
          </cell>
        </row>
        <row r="15">
          <cell r="A15" t="str">
            <v>Haute_école_des_arts_du_Rhin_Strasbourg_Mulhouse</v>
          </cell>
        </row>
        <row r="16">
          <cell r="A16" t="str">
            <v>Institut_national_supérieur_d_enseignement_artistique_Marseille_Méditerranée</v>
          </cell>
        </row>
        <row r="17">
          <cell r="A17" t="str">
            <v>Institut_supérieur_des_beaux_arts_de_Besançon</v>
          </cell>
        </row>
      </sheetData>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Informations administratives"/>
      <sheetName val="Doonees A MASQUER"/>
      <sheetName val="2.1 RH-personnel"/>
      <sheetName val="2.2 RH-doctorants"/>
      <sheetName val="3. Ressources financières"/>
      <sheetName val="4. Occupation des locaux"/>
      <sheetName val="Nomenclatures"/>
      <sheetName val="Dev"/>
    </sheetNames>
    <sheetDataSet>
      <sheetData sheetId="0"/>
      <sheetData sheetId="1">
        <row r="2">
          <cell r="A2" t="str">
            <v>AGROSUP_DIJON</v>
          </cell>
          <cell r="D2" t="str">
            <v>Laboratoire d'étude de l'apprentissage et du développement</v>
          </cell>
        </row>
        <row r="3">
          <cell r="A3" t="str">
            <v>AGROSUP_DIJON</v>
          </cell>
          <cell r="D3" t="str">
            <v>Centre d'économie et de sociologie appliquées à l'agriculture et aux espaces ruraux</v>
          </cell>
        </row>
        <row r="4">
          <cell r="A4" t="str">
            <v>AGROSUP_DIJON</v>
          </cell>
          <cell r="D4" t="str">
            <v>Procédés alimentaires et microbiologiques</v>
          </cell>
        </row>
        <row r="5">
          <cell r="A5" t="str">
            <v>ENSA_MARSEILLE</v>
          </cell>
          <cell r="D5" t="str">
            <v>Investigations sur l'histoire et l'actualité des mutations architecturales et urbaines</v>
          </cell>
        </row>
        <row r="6">
          <cell r="A6" t="str">
            <v>ENSA_MARSEILLE</v>
          </cell>
          <cell r="D6" t="str">
            <v xml:space="preserve">Étude des savoirs en actes dans le projet </v>
          </cell>
        </row>
        <row r="7">
          <cell r="A7" t="str">
            <v>ENSA_NANCY</v>
          </cell>
          <cell r="D7" t="str">
            <v>Laboratoire d'histoire de l'architecture contemporaine</v>
          </cell>
        </row>
        <row r="8">
          <cell r="A8" t="str">
            <v>ENSA_STRASBOURG</v>
          </cell>
          <cell r="D8" t="str">
            <v>Architecture, morphologie/morphogénèse urbaine et projet</v>
          </cell>
        </row>
        <row r="9">
          <cell r="A9" t="str">
            <v>ESC_DIJON</v>
          </cell>
          <cell r="D9" t="str">
            <v>Centre de recherche sur les entreprises</v>
          </cell>
        </row>
        <row r="10">
          <cell r="A10" t="str">
            <v>IEP_AIX</v>
          </cell>
          <cell r="D10" t="str">
            <v>Centre méditerranéen de sociologie, de science politique et d'histoire</v>
          </cell>
        </row>
        <row r="11">
          <cell r="A11" t="str">
            <v>OBSERVATOIRE_COTE_D_AZUR_OCA</v>
          </cell>
          <cell r="D11" t="str">
            <v>Astrophysique relativiste théories expériences métrologie instrumentation signaux</v>
          </cell>
        </row>
        <row r="12">
          <cell r="A12" t="str">
            <v>OBSERVATOIRE_COTE_D_AZUR_OCA</v>
          </cell>
          <cell r="D12" t="str">
            <v>Laboratoire Géoazur</v>
          </cell>
        </row>
        <row r="13">
          <cell r="A13" t="str">
            <v>OBSERVATOIRE_COTE_D_AZUR_OCA</v>
          </cell>
          <cell r="D13" t="str">
            <v>Laboratoire Joseph-Louis Lagrange</v>
          </cell>
        </row>
        <row r="14">
          <cell r="A14" t="str">
            <v>AIX_MARSEILLE_UNIVERSITE_AMU</v>
          </cell>
          <cell r="D14" t="str">
            <v>Adhésion et inflammation</v>
          </cell>
        </row>
        <row r="15">
          <cell r="A15" t="str">
            <v>AIX_MARSEILLE_UNIVERSITE_AMU</v>
          </cell>
          <cell r="D15" t="str">
            <v>Aix-Marseille sciences economiques</v>
          </cell>
        </row>
        <row r="16">
          <cell r="A16" t="str">
            <v>AIX_MARSEILLE_UNIVERSITE_AMU</v>
          </cell>
          <cell r="D16" t="str">
            <v>Anthropologie bio-culturelle, droit, éthique &amp; santé</v>
          </cell>
        </row>
        <row r="17">
          <cell r="A17" t="str">
            <v>AIX_MARSEILLE_UNIVERSITE_AMU</v>
          </cell>
          <cell r="D17" t="str">
            <v>Apprentissages, didactiques, évaluation, formation</v>
          </cell>
        </row>
        <row r="18">
          <cell r="A18" t="str">
            <v>AIX_MARSEILLE_UNIVERSITE_AMU</v>
          </cell>
          <cell r="D18" t="str">
            <v>Architecture et fonction des macromolécules biologiques</v>
          </cell>
        </row>
        <row r="19">
          <cell r="A19" t="str">
            <v>AIX_MARSEILLE_UNIVERSITE_AMU</v>
          </cell>
          <cell r="D19" t="str">
            <v>Autoanticorps et microchimérisme dans la polyarthrite rhumatoïde et la sclérodermie
arthrites autoimmunes</v>
          </cell>
        </row>
        <row r="20">
          <cell r="A20" t="str">
            <v>AIX_MARSEILLE_UNIVERSITE_AMU</v>
          </cell>
          <cell r="D20" t="str">
            <v>Biodiversité et biotechnologie fongiques</v>
          </cell>
        </row>
        <row r="21">
          <cell r="A21" t="str">
            <v>AIX_MARSEILLE_UNIVERSITE_AMU</v>
          </cell>
          <cell r="D21" t="str">
            <v>Bioénergétique et ingénierie des protéines</v>
          </cell>
        </row>
        <row r="22">
          <cell r="A22" t="str">
            <v>AIX_MARSEILLE_UNIVERSITE_AMU</v>
          </cell>
          <cell r="D22" t="str">
            <v>Center for cardiovascular and nutrition research</v>
          </cell>
        </row>
        <row r="23">
          <cell r="A23" t="str">
            <v>AIX_MARSEILLE_UNIVERSITE_AMU</v>
          </cell>
          <cell r="D23" t="str">
            <v>Centre Aixois d'études romanes</v>
          </cell>
        </row>
        <row r="24">
          <cell r="A24" t="str">
            <v>AIX_MARSEILLE_UNIVERSITE_AMU</v>
          </cell>
          <cell r="D24" t="str">
            <v>Centre Camille Jullian - Archéologie méditerranéenne et africaine</v>
          </cell>
        </row>
        <row r="25">
          <cell r="A25" t="str">
            <v>AIX_MARSEILLE_UNIVERSITE_AMU</v>
          </cell>
          <cell r="D25" t="str">
            <v>Centre de droit économique</v>
          </cell>
        </row>
        <row r="26">
          <cell r="A26" t="str">
            <v>AIX_MARSEILLE_UNIVERSITE_AMU</v>
          </cell>
          <cell r="D26" t="str">
            <v>Centre de droit social</v>
          </cell>
        </row>
        <row r="27">
          <cell r="A27" t="str">
            <v>AIX_MARSEILLE_UNIVERSITE_AMU</v>
          </cell>
          <cell r="D27" t="str">
            <v>Centre de génétique médicale de Marseille (Marseille medical genetics)</v>
          </cell>
        </row>
        <row r="28">
          <cell r="A28" t="str">
            <v>AIX_MARSEILLE_UNIVERSITE_AMU</v>
          </cell>
          <cell r="D28" t="str">
            <v>Centre de physique des particules de Marseille</v>
          </cell>
        </row>
        <row r="29">
          <cell r="A29" t="str">
            <v>AIX_MARSEILLE_UNIVERSITE_AMU</v>
          </cell>
          <cell r="D29" t="str">
            <v xml:space="preserve">Centre de physique théorique </v>
          </cell>
        </row>
        <row r="30">
          <cell r="A30" t="str">
            <v>AIX_MARSEILLE_UNIVERSITE_AMU</v>
          </cell>
          <cell r="D30" t="str">
            <v>Centre de recherche en cancérologie de Marseille</v>
          </cell>
        </row>
        <row r="31">
          <cell r="A31" t="str">
            <v>AIX_MARSEILLE_UNIVERSITE_AMU</v>
          </cell>
          <cell r="D31" t="str">
            <v>Centre de recherche et de documentation sur l'Océanie</v>
          </cell>
        </row>
        <row r="32">
          <cell r="A32" t="str">
            <v>AIX_MARSEILLE_UNIVERSITE_AMU</v>
          </cell>
          <cell r="D32" t="str">
            <v>Centre de recherche sur le transport et la logistique</v>
          </cell>
        </row>
        <row r="33">
          <cell r="A33" t="str">
            <v>AIX_MARSEILLE_UNIVERSITE_AMU</v>
          </cell>
          <cell r="D33" t="str">
            <v>Centre de recherches administratives</v>
          </cell>
        </row>
        <row r="34">
          <cell r="A34" t="str">
            <v>AIX_MARSEILLE_UNIVERSITE_AMU</v>
          </cell>
          <cell r="D34" t="str">
            <v>Centre de résonance magnétique biologique et médicale</v>
          </cell>
        </row>
        <row r="35">
          <cell r="A35" t="str">
            <v>AIX_MARSEILLE_UNIVERSITE_AMU</v>
          </cell>
          <cell r="D35" t="str">
            <v>Centre d'études et de recherche en gestion d'Aix-Marseille</v>
          </cell>
        </row>
        <row r="36">
          <cell r="A36" t="str">
            <v>AIX_MARSEILLE_UNIVERSITE_AMU</v>
          </cell>
          <cell r="D36" t="str">
            <v>Centre d'études et de recherches d'histoire des idées et des institutions politiques</v>
          </cell>
        </row>
        <row r="37">
          <cell r="A37" t="str">
            <v>AIX_MARSEILLE_UNIVERSITE_AMU</v>
          </cell>
          <cell r="D37" t="str">
            <v>Centre d'études fiscales et financières</v>
          </cell>
        </row>
        <row r="38">
          <cell r="A38" t="str">
            <v>AIX_MARSEILLE_UNIVERSITE_AMU</v>
          </cell>
          <cell r="D38" t="str">
            <v>Centre d'exploration fonctionnelle scientifique</v>
          </cell>
        </row>
        <row r="39">
          <cell r="A39" t="str">
            <v>AIX_MARSEILLE_UNIVERSITE_AMU</v>
          </cell>
          <cell r="D39" t="str">
            <v>Centre d'immunologie de Marseille-Luminy</v>
          </cell>
        </row>
        <row r="40">
          <cell r="A40" t="str">
            <v>AIX_MARSEILLE_UNIVERSITE_AMU</v>
          </cell>
          <cell r="D40" t="str">
            <v>Centre européen de recherche en imagerie médicale</v>
          </cell>
        </row>
        <row r="41">
          <cell r="A41" t="str">
            <v>AIX_MARSEILLE_UNIVERSITE_AMU</v>
          </cell>
          <cell r="D41" t="str">
            <v xml:space="preserve">Centre européen de recherche et d’enseignement des géosciences de l’environnement </v>
          </cell>
        </row>
        <row r="42">
          <cell r="A42" t="str">
            <v>AIX_MARSEILLE_UNIVERSITE_AMU</v>
          </cell>
          <cell r="D42" t="str">
            <v>Centre Gilles Gaston Granger</v>
          </cell>
        </row>
        <row r="43">
          <cell r="A43" t="str">
            <v>AIX_MARSEILLE_UNIVERSITE_AMU</v>
          </cell>
          <cell r="D43" t="str">
            <v>Centre interdisciplinaire de nanoscience de Marseille</v>
          </cell>
        </row>
        <row r="44">
          <cell r="A44" t="str">
            <v>AIX_MARSEILLE_UNIVERSITE_AMU</v>
          </cell>
          <cell r="D44" t="str">
            <v>Centre interdisciplinaire d'éetude des littératures d'Aix-Marseille</v>
          </cell>
        </row>
        <row r="45">
          <cell r="A45" t="str">
            <v>AIX_MARSEILLE_UNIVERSITE_AMU</v>
          </cell>
          <cell r="D45" t="str">
            <v>Centre méditerranéen de sociologie, de science politique et d'histoire</v>
          </cell>
        </row>
        <row r="46">
          <cell r="A46" t="str">
            <v>AIX_MARSEILLE_UNIVERSITE_AMU</v>
          </cell>
          <cell r="D46" t="str">
            <v>Comportement-cerveau-cognition</v>
          </cell>
        </row>
        <row r="47">
          <cell r="A47" t="str">
            <v>AIX_MARSEILLE_UNIVERSITE_AMU</v>
          </cell>
          <cell r="D47" t="str">
            <v>Cultures, représentations, identités, santé et interactions sociales</v>
          </cell>
        </row>
        <row r="48">
          <cell r="A48" t="str">
            <v>AIX_MARSEILLE_UNIVERSITE_AMU</v>
          </cell>
          <cell r="D48" t="str">
            <v>Droits international, comparé et européen</v>
          </cell>
        </row>
        <row r="49">
          <cell r="A49" t="str">
            <v>AIX_MARSEILLE_UNIVERSITE_AMU</v>
          </cell>
          <cell r="D49" t="str">
            <v>Écosystèmes continentaux et risques environnementaux</v>
          </cell>
        </row>
        <row r="50">
          <cell r="A50" t="str">
            <v>AIX_MARSEILLE_UNIVERSITE_AMU</v>
          </cell>
          <cell r="D50" t="str">
            <v>Équipe sur les cultures et humanités anciennes et nouvelles germaniques et slaves</v>
          </cell>
        </row>
        <row r="51">
          <cell r="A51" t="str">
            <v>AIX_MARSEILLE_UNIVERSITE_AMU</v>
          </cell>
          <cell r="D51" t="str">
            <v>Fédération de nanoscience et nanotechnologie</v>
          </cell>
        </row>
        <row r="52">
          <cell r="A52" t="str">
            <v>AIX_MARSEILLE_UNIVERSITE_AMU</v>
          </cell>
          <cell r="D52" t="str">
            <v>Fédération de recherche des unités de mathématiques de Marseille</v>
          </cell>
        </row>
        <row r="53">
          <cell r="A53" t="str">
            <v>AIX_MARSEILLE_UNIVERSITE_AMU</v>
          </cell>
          <cell r="D53" t="str">
            <v>Fédération des sciences chimiques de Marseille</v>
          </cell>
        </row>
        <row r="54">
          <cell r="A54" t="str">
            <v>AIX_MARSEILLE_UNIVERSITE_AMU</v>
          </cell>
          <cell r="D54" t="str">
            <v>Fédération droits, pouvoirs et sociétés</v>
          </cell>
        </row>
        <row r="55">
          <cell r="A55" t="str">
            <v>AIX_MARSEILLE_UNIVERSITE_AMU</v>
          </cell>
          <cell r="D55" t="str">
            <v>Fédération Fabri de Peiresc</v>
          </cell>
        </row>
        <row r="56">
          <cell r="A56" t="str">
            <v>AIX_MARSEILLE_UNIVERSITE_AMU</v>
          </cell>
          <cell r="D56" t="str">
            <v xml:space="preserve">Groupe de recherches et d’études en droit de l’immobilier, de l’aménagement, de l’urbanisme et de la construction </v>
          </cell>
        </row>
        <row r="57">
          <cell r="A57" t="str">
            <v>AIX_MARSEILLE_UNIVERSITE_AMU</v>
          </cell>
          <cell r="D57" t="str">
            <v>Information génomique &amp; structurale</v>
          </cell>
        </row>
        <row r="58">
          <cell r="A58" t="str">
            <v>AIX_MARSEILLE_UNIVERSITE_AMU</v>
          </cell>
          <cell r="D58" t="str">
            <v>Institut de biologie du développement de Marseille</v>
          </cell>
        </row>
        <row r="59">
          <cell r="A59" t="str">
            <v>AIX_MARSEILLE_UNIVERSITE_AMU</v>
          </cell>
          <cell r="D59" t="str">
            <v>Institut de biosciences et de biotechnologies d'Aix-Marseille</v>
          </cell>
        </row>
        <row r="60">
          <cell r="A60" t="str">
            <v>AIX_MARSEILLE_UNIVERSITE_AMU</v>
          </cell>
          <cell r="D60" t="str">
            <v>Institut de chimie radicalaire</v>
          </cell>
        </row>
        <row r="61">
          <cell r="A61" t="str">
            <v>AIX_MARSEILLE_UNIVERSITE_AMU</v>
          </cell>
          <cell r="D61" t="str">
            <v>Institut de mathématiques de Marseille</v>
          </cell>
        </row>
        <row r="62">
          <cell r="A62" t="str">
            <v>AIX_MARSEILLE_UNIVERSITE_AMU</v>
          </cell>
          <cell r="D62" t="str">
            <v>Institut de microbiologie de la méditerranée</v>
          </cell>
        </row>
        <row r="63">
          <cell r="A63" t="str">
            <v>AIX_MARSEILLE_UNIVERSITE_AMU</v>
          </cell>
          <cell r="D63" t="str">
            <v>Institut de neurobiologie de la méditerranée</v>
          </cell>
        </row>
        <row r="64">
          <cell r="A64" t="str">
            <v>AIX_MARSEILLE_UNIVERSITE_AMU</v>
          </cell>
          <cell r="D64" t="str">
            <v>Institut de neurosciences des systèmes</v>
          </cell>
        </row>
        <row r="65">
          <cell r="A65" t="str">
            <v>AIX_MARSEILLE_UNIVERSITE_AMU</v>
          </cell>
          <cell r="D65" t="str">
            <v>Institut de recherche sur l'architecture antique</v>
          </cell>
        </row>
        <row r="66">
          <cell r="A66" t="str">
            <v>AIX_MARSEILLE_UNIVERSITE_AMU</v>
          </cell>
          <cell r="D66" t="str">
            <v>Institut de recherche sur les phénomènes hors équilibre</v>
          </cell>
        </row>
        <row r="67">
          <cell r="A67" t="str">
            <v>AIX_MARSEILLE_UNIVERSITE_AMU</v>
          </cell>
          <cell r="D67" t="str">
            <v xml:space="preserve">Institut de recherches asiatiques </v>
          </cell>
        </row>
        <row r="68">
          <cell r="A68" t="str">
            <v>AIX_MARSEILLE_UNIVERSITE_AMU</v>
          </cell>
          <cell r="D68" t="str">
            <v>Institut de recherches et d'études sur le monde arabe et musulman</v>
          </cell>
        </row>
        <row r="69">
          <cell r="A69" t="str">
            <v>AIX_MARSEILLE_UNIVERSITE_AMU</v>
          </cell>
          <cell r="D69" t="str">
            <v>Institut des neurosciences de la Timone</v>
          </cell>
        </row>
        <row r="70">
          <cell r="A70" t="str">
            <v>AIX_MARSEILLE_UNIVERSITE_AMU</v>
          </cell>
          <cell r="D70" t="str">
            <v>Institut des sciences du mouvement - Etienne-Jules Marey</v>
          </cell>
        </row>
        <row r="71">
          <cell r="A71" t="str">
            <v>AIX_MARSEILLE_UNIVERSITE_AMU</v>
          </cell>
          <cell r="D71" t="str">
            <v>Institut des sciences moléculaires de Marseille</v>
          </cell>
        </row>
        <row r="72">
          <cell r="A72" t="str">
            <v>AIX_MARSEILLE_UNIVERSITE_AMU</v>
          </cell>
          <cell r="D72" t="str">
            <v>Institut d'ethnologie méditerranéenne, européenne et comparative</v>
          </cell>
        </row>
        <row r="73">
          <cell r="A73" t="str">
            <v>AIX_MARSEILLE_UNIVERSITE_AMU</v>
          </cell>
          <cell r="D73" t="str">
            <v>Institut d'histoire de la philosophie</v>
          </cell>
        </row>
        <row r="74">
          <cell r="A74" t="str">
            <v>AIX_MARSEILLE_UNIVERSITE_AMU</v>
          </cell>
          <cell r="D74" t="str">
            <v>Institut Fresnel</v>
          </cell>
        </row>
        <row r="75">
          <cell r="A75" t="str">
            <v>AIX_MARSEILLE_UNIVERSITE_AMU</v>
          </cell>
          <cell r="D75" t="str">
            <v>Institut matériaux microélectronique nanosciences de Provence</v>
          </cell>
        </row>
        <row r="76">
          <cell r="A76" t="str">
            <v>AIX_MARSEILLE_UNIVERSITE_AMU</v>
          </cell>
          <cell r="D76" t="str">
            <v>Institut méditerranéen de biodiversité et d'écologie marine et continentale</v>
          </cell>
        </row>
        <row r="77">
          <cell r="A77" t="str">
            <v>AIX_MARSEILLE_UNIVERSITE_AMU</v>
          </cell>
          <cell r="D77" t="str">
            <v>Institut méditerranéen d'océanologie</v>
          </cell>
        </row>
        <row r="78">
          <cell r="A78" t="str">
            <v>AIX_MARSEILLE_UNIVERSITE_AMU</v>
          </cell>
          <cell r="D78" t="str">
            <v>Institut neurophysiopathologie</v>
          </cell>
        </row>
        <row r="79">
          <cell r="A79" t="str">
            <v>AIX_MARSEILLE_UNIVERSITE_AMU</v>
          </cell>
          <cell r="D79" t="str">
            <v>Institut universitaire des systèmes thermiques industriels</v>
          </cell>
        </row>
        <row r="80">
          <cell r="A80" t="str">
            <v>AIX_MARSEILLE_UNIVERSITE_AMU</v>
          </cell>
          <cell r="D80" t="str">
            <v>Laboratoire chimie de l'environnement</v>
          </cell>
        </row>
        <row r="81">
          <cell r="A81" t="str">
            <v>AIX_MARSEILLE_UNIVERSITE_AMU</v>
          </cell>
          <cell r="D81" t="str">
            <v>Laboratoire d’astrophysique de Marseille</v>
          </cell>
        </row>
        <row r="82">
          <cell r="A82" t="str">
            <v>AIX_MARSEILLE_UNIVERSITE_AMU</v>
          </cell>
          <cell r="D82" t="str">
            <v>Laboratoire d'archéologie médiévale et moderne en méditerranée</v>
          </cell>
        </row>
        <row r="83">
          <cell r="A83" t="str">
            <v>AIX_MARSEILLE_UNIVERSITE_AMU</v>
          </cell>
          <cell r="D83" t="str">
            <v xml:space="preserve">Laboratoire de biomécanique appliquée </v>
          </cell>
        </row>
        <row r="84">
          <cell r="A84" t="str">
            <v>AIX_MARSEILLE_UNIVERSITE_AMU</v>
          </cell>
          <cell r="D84" t="str">
            <v>Laboratoire de chimie bactérienne</v>
          </cell>
        </row>
        <row r="85">
          <cell r="A85" t="str">
            <v>AIX_MARSEILLE_UNIVERSITE_AMU</v>
          </cell>
          <cell r="D85" t="str">
            <v>laboratoire de droit privé et de sciences criminelles</v>
          </cell>
        </row>
        <row r="86">
          <cell r="A86" t="str">
            <v>AIX_MARSEILLE_UNIVERSITE_AMU</v>
          </cell>
          <cell r="D86" t="str">
            <v>Laboratoire de mécanique et d’acoustique</v>
          </cell>
        </row>
        <row r="87">
          <cell r="A87" t="str">
            <v>AIX_MARSEILLE_UNIVERSITE_AMU</v>
          </cell>
          <cell r="D87" t="str">
            <v>Laboratoire de mécanique, modélisation et procédés propres</v>
          </cell>
        </row>
        <row r="88">
          <cell r="A88" t="str">
            <v>AIX_MARSEILLE_UNIVERSITE_AMU</v>
          </cell>
          <cell r="D88" t="str">
            <v>Laboratoire de neurosciences cognitives</v>
          </cell>
        </row>
        <row r="89">
          <cell r="A89" t="str">
            <v>AIX_MARSEILLE_UNIVERSITE_AMU</v>
          </cell>
          <cell r="D89" t="str">
            <v>Laboratoire de neurosciences intégratives et adaptatives</v>
          </cell>
        </row>
        <row r="90">
          <cell r="A90" t="str">
            <v>AIX_MARSEILLE_UNIVERSITE_AMU</v>
          </cell>
          <cell r="D90" t="str">
            <v>Laboratoire de psychologie des cognitions</v>
          </cell>
        </row>
        <row r="91">
          <cell r="A91" t="str">
            <v>AIX_MARSEILLE_UNIVERSITE_AMU</v>
          </cell>
          <cell r="D91" t="str">
            <v>Laboratoire de psychologie sociale</v>
          </cell>
        </row>
        <row r="92">
          <cell r="A92" t="str">
            <v>AIX_MARSEILLE_UNIVERSITE_AMU</v>
          </cell>
          <cell r="D92" t="str">
            <v>Laboratoire de théorie du droit</v>
          </cell>
        </row>
        <row r="93">
          <cell r="A93" t="str">
            <v>AIX_MARSEILLE_UNIVERSITE_AMU</v>
          </cell>
          <cell r="D93" t="str">
            <v>Laboratoire d'économie et de sociologie du travail</v>
          </cell>
        </row>
        <row r="94">
          <cell r="A94" t="str">
            <v>AIX_MARSEILLE_UNIVERSITE_AMU</v>
          </cell>
          <cell r="D94" t="str">
            <v>Laboratoire d'études en sciences des arts</v>
          </cell>
        </row>
        <row r="95">
          <cell r="A95" t="str">
            <v>AIX_MARSEILLE_UNIVERSITE_AMU</v>
          </cell>
          <cell r="D95" t="str">
            <v>Laboratoire d'études et de recherche sur le monde anglophone</v>
          </cell>
        </row>
        <row r="96">
          <cell r="A96" t="str">
            <v>AIX_MARSEILLE_UNIVERSITE_AMU</v>
          </cell>
          <cell r="D96" t="str">
            <v>Laboratoire d'imagerie interventionnelle expérimentale</v>
          </cell>
        </row>
        <row r="97">
          <cell r="A97" t="str">
            <v>AIX_MARSEILLE_UNIVERSITE_AMU</v>
          </cell>
          <cell r="D97" t="str">
            <v>Laboratoire d'informatique et systèmes</v>
          </cell>
        </row>
        <row r="98">
          <cell r="A98" t="str">
            <v>AIX_MARSEILLE_UNIVERSITE_AMU</v>
          </cell>
          <cell r="D98" t="str">
            <v>Laboratoire d'ingénierie des systèmes macromoléculaires</v>
          </cell>
        </row>
        <row r="99">
          <cell r="A99" t="str">
            <v>AIX_MARSEILLE_UNIVERSITE_AMU</v>
          </cell>
          <cell r="D99" t="str">
            <v>Laboratoire interdisciplinaire de droit des médias et des mutations sociales</v>
          </cell>
        </row>
        <row r="100">
          <cell r="A100" t="str">
            <v>AIX_MARSEILLE_UNIVERSITE_AMU</v>
          </cell>
          <cell r="D100" t="str">
            <v>Laboratoire interdisciplinaire en urbanisme</v>
          </cell>
        </row>
        <row r="101">
          <cell r="A101" t="str">
            <v>AIX_MARSEILLE_UNIVERSITE_AMU</v>
          </cell>
          <cell r="D101" t="str">
            <v>Laboratoire lasers plasmas et procédés photoniques</v>
          </cell>
        </row>
        <row r="102">
          <cell r="A102" t="str">
            <v>AIX_MARSEILLE_UNIVERSITE_AMU</v>
          </cell>
          <cell r="D102" t="str">
            <v>Laboratoire méditerranéen de préhistoire Europe-Afrique</v>
          </cell>
        </row>
        <row r="103">
          <cell r="A103" t="str">
            <v>AIX_MARSEILLE_UNIVERSITE_AMU</v>
          </cell>
          <cell r="D103" t="str">
            <v xml:space="preserve">Laboratoire méditerranéen de sociologie </v>
          </cell>
        </row>
        <row r="104">
          <cell r="A104" t="str">
            <v>AIX_MARSEILLE_UNIVERSITE_AMU</v>
          </cell>
          <cell r="D104" t="str">
            <v>Laboratoire parole et langage</v>
          </cell>
        </row>
        <row r="105">
          <cell r="A105" t="str">
            <v>AIX_MARSEILLE_UNIVERSITE_AMU</v>
          </cell>
          <cell r="D105" t="str">
            <v>Laboratoire population-environnement-développement</v>
          </cell>
        </row>
        <row r="106">
          <cell r="A106" t="str">
            <v>AIX_MARSEILLE_UNIVERSITE_AMU</v>
          </cell>
          <cell r="D106" t="str">
            <v>Linguistique, langues, parole</v>
          </cell>
        </row>
        <row r="107">
          <cell r="A107" t="str">
            <v>AIX_MARSEILLE_UNIVERSITE_AMU</v>
          </cell>
          <cell r="D107" t="str">
            <v>Maison Asie Pacifique</v>
          </cell>
        </row>
        <row r="108">
          <cell r="A108" t="str">
            <v>AIX_MARSEILLE_UNIVERSITE_AMU</v>
          </cell>
          <cell r="D108" t="str">
            <v>Maison méditerranéenne des sciences de l'homme</v>
          </cell>
        </row>
        <row r="109">
          <cell r="A109" t="str">
            <v>AIX_MARSEILLE_UNIVERSITE_AMU</v>
          </cell>
          <cell r="D109" t="str">
            <v>Management-sport-cancer</v>
          </cell>
        </row>
        <row r="110">
          <cell r="A110" t="str">
            <v>AIX_MARSEILLE_UNIVERSITE_AMU</v>
          </cell>
          <cell r="D110" t="str">
            <v>Matériaux divisés, interfaces, réactivité, électrochimie</v>
          </cell>
        </row>
        <row r="111">
          <cell r="A111" t="str">
            <v>AIX_MARSEILLE_UNIVERSITE_AMU</v>
          </cell>
          <cell r="D111" t="str">
            <v>Méditerranean primate research center</v>
          </cell>
        </row>
        <row r="112">
          <cell r="A112" t="str">
            <v>AIX_MARSEILLE_UNIVERSITE_AMU</v>
          </cell>
          <cell r="D112" t="str">
            <v>Membranes et cibles thérapeutiques</v>
          </cell>
        </row>
        <row r="113">
          <cell r="A113" t="str">
            <v>AIX_MARSEILLE_UNIVERSITE_AMU</v>
          </cell>
          <cell r="D113" t="str">
            <v>Microbes évolution phylogénie et infections (microbiote et infections transmissibles emergentes)</v>
          </cell>
        </row>
        <row r="114">
          <cell r="A114" t="str">
            <v>AIX_MARSEILLE_UNIVERSITE_AMU</v>
          </cell>
          <cell r="D114" t="str">
            <v>Observatoire des sciences de l'univers Pytheas</v>
          </cell>
        </row>
        <row r="115">
          <cell r="A115" t="str">
            <v>AIX_MARSEILLE_UNIVERSITE_AMU</v>
          </cell>
          <cell r="D115" t="str">
            <v>Openedition center</v>
          </cell>
        </row>
        <row r="116">
          <cell r="A116" t="str">
            <v>AIX_MARSEILLE_UNIVERSITE_AMU</v>
          </cell>
          <cell r="D116" t="str">
            <v>Perception représentations image son musique</v>
          </cell>
        </row>
        <row r="117">
          <cell r="A117" t="str">
            <v>AIX_MARSEILLE_UNIVERSITE_AMU</v>
          </cell>
          <cell r="D117" t="str">
            <v>Physique des interactions ioniques et moléculaires</v>
          </cell>
        </row>
        <row r="118">
          <cell r="A118" t="str">
            <v>AIX_MARSEILLE_UNIVERSITE_AMU</v>
          </cell>
          <cell r="D118" t="str">
            <v>Psychologie ergonomique et sociale pour l'expérience utilisateurs</v>
          </cell>
        </row>
        <row r="119">
          <cell r="A119" t="str">
            <v>AIX_MARSEILLE_UNIVERSITE_AMU</v>
          </cell>
          <cell r="D119" t="str">
            <v>Recherche en psychologie de la connaissance, du langage et de l'emotion</v>
          </cell>
        </row>
        <row r="120">
          <cell r="A120" t="str">
            <v>AIX_MARSEILLE_UNIVERSITE_AMU</v>
          </cell>
          <cell r="D120" t="str">
            <v>Réseau de laboratoires d'histoire des idées et des institutions politiques</v>
          </cell>
        </row>
        <row r="121">
          <cell r="A121" t="str">
            <v>AIX_MARSEILLE_UNIVERSITE_AMU</v>
          </cell>
          <cell r="D121" t="str">
            <v>Risques, écosystemes, vulnérabilite, environnement, résilience</v>
          </cell>
        </row>
        <row r="122">
          <cell r="A122" t="str">
            <v>AIX_MARSEILLE_UNIVERSITE_AMU</v>
          </cell>
          <cell r="D122" t="str">
            <v xml:space="preserve">Santé publique et maladies chroniques : qualité de vie concepts, usages et limites, déterminants </v>
          </cell>
        </row>
        <row r="123">
          <cell r="A123" t="str">
            <v>AIX_MARSEILLE_UNIVERSITE_AMU</v>
          </cell>
          <cell r="D123" t="str">
            <v>Sciences économiques et sociales de la santé et traitement de l'information médicale</v>
          </cell>
        </row>
        <row r="124">
          <cell r="A124" t="str">
            <v>AIX_MARSEILLE_UNIVERSITE_AMU</v>
          </cell>
          <cell r="D124" t="str">
            <v>Sport-sante (nom à déterminer)</v>
          </cell>
        </row>
        <row r="125">
          <cell r="A125" t="str">
            <v>AIX_MARSEILLE_UNIVERSITE_AMU</v>
          </cell>
          <cell r="D125" t="str">
            <v>Technologie avancée pour le génome et la clinique</v>
          </cell>
        </row>
        <row r="126">
          <cell r="A126" t="str">
            <v>AIX_MARSEILLE_UNIVERSITE_AMU</v>
          </cell>
          <cell r="D126" t="str">
            <v>Temps, espaces, langages, europe méridionale, méditerranée</v>
          </cell>
        </row>
        <row r="127">
          <cell r="A127" t="str">
            <v>AIX_MARSEILLE_UNIVERSITE_AMU</v>
          </cell>
          <cell r="D127" t="str">
            <v>Textes et documents de la méditerranée antique et médiévale (centre Paul Albert Février)</v>
          </cell>
        </row>
        <row r="128">
          <cell r="A128" t="str">
            <v>AIX_MARSEILLE_UNIVERSITE_AMU</v>
          </cell>
          <cell r="D128" t="str">
            <v xml:space="preserve">Unité de neurobiologie des canaux ioniques  et de la synapse </v>
          </cell>
        </row>
        <row r="129">
          <cell r="A129" t="str">
            <v>AIX_MARSEILLE_UNIVERSITE_AMU</v>
          </cell>
          <cell r="D129" t="str">
            <v xml:space="preserve">Unité des virus emergents </v>
          </cell>
        </row>
        <row r="130">
          <cell r="A130" t="str">
            <v>AIX_MARSEILLE_UNIVERSITE_AMU</v>
          </cell>
          <cell r="D130" t="str">
            <v>Vecteurs – infections tropicales et méditerranéennes</v>
          </cell>
        </row>
        <row r="131">
          <cell r="A131" t="str">
            <v>AVIGNON_UNIVERSITE_AU</v>
          </cell>
          <cell r="D131" t="str">
            <v>Agorantic cultures, patrimoines et societes numériques</v>
          </cell>
        </row>
        <row r="132">
          <cell r="A132" t="str">
            <v>AVIGNON_UNIVERSITE_AU</v>
          </cell>
          <cell r="D132" t="str">
            <v>Laboratoire biens, normes et contrats</v>
          </cell>
        </row>
        <row r="133">
          <cell r="A133" t="str">
            <v>AVIGNON_UNIVERSITE_AU</v>
          </cell>
          <cell r="D133" t="str">
            <v>Laboratoire culture et communication</v>
          </cell>
        </row>
        <row r="134">
          <cell r="A134" t="str">
            <v>AVIGNON_UNIVERSITE_AU</v>
          </cell>
          <cell r="D134" t="str">
            <v>Laboratoire de informatique d'avignon</v>
          </cell>
        </row>
        <row r="135">
          <cell r="A135" t="str">
            <v>AVIGNON_UNIVERSITE_AU</v>
          </cell>
          <cell r="D135" t="str">
            <v>Laboratoire de mathématiques d'Avignon</v>
          </cell>
        </row>
        <row r="136">
          <cell r="A136" t="str">
            <v>AVIGNON_UNIVERSITE_AU</v>
          </cell>
          <cell r="D136" t="str">
            <v>Laboratoire de pharm-ecologie cardiovasculaire</v>
          </cell>
        </row>
        <row r="137">
          <cell r="A137" t="str">
            <v>AVIGNON_UNIVERSITE_AU</v>
          </cell>
          <cell r="D137" t="str">
            <v>Laboratoire identité culturelle, textes et théatrâlités</v>
          </cell>
        </row>
        <row r="138">
          <cell r="A138" t="str">
            <v>AVIGNON_UNIVERSITE_AU</v>
          </cell>
          <cell r="D138" t="str">
            <v>TERSYS</v>
          </cell>
        </row>
        <row r="139">
          <cell r="A139" t="str">
            <v>UNIVERSITE_DE_BOURGOGNE_UB</v>
          </cell>
          <cell r="D139" t="str">
            <v>Archéologie, terre, histoire, société</v>
          </cell>
        </row>
        <row r="140">
          <cell r="A140" t="str">
            <v>UNIVERSITE_DE_BOURGOGNE_UB</v>
          </cell>
          <cell r="D140" t="str">
            <v>Biochimie du péroxysome, inflammation et métabolisme lipidique</v>
          </cell>
        </row>
        <row r="141">
          <cell r="A141" t="str">
            <v>UNIVERSITE_DE_BOURGOGNE_UB</v>
          </cell>
          <cell r="D141" t="str">
            <v>Biogéosciences</v>
          </cell>
        </row>
        <row r="142">
          <cell r="A142" t="str">
            <v>UNIVERSITE_DE_BOURGOGNE_UB</v>
          </cell>
          <cell r="D142" t="str">
            <v>Centre de recherche en gestion des organisations</v>
          </cell>
        </row>
        <row r="143">
          <cell r="A143" t="str">
            <v>UNIVERSITE_DE_BOURGOGNE_UB</v>
          </cell>
          <cell r="D143" t="str">
            <v>Centre de recherche et d'etude en droit et science politique</v>
          </cell>
        </row>
        <row r="144">
          <cell r="A144" t="str">
            <v>UNIVERSITE_DE_BOURGOGNE_UB</v>
          </cell>
          <cell r="D144" t="str">
            <v>Centre de recherche sur le droit international des marchés et des investissements</v>
          </cell>
        </row>
        <row r="145">
          <cell r="A145" t="str">
            <v>UNIVERSITE_DE_BOURGOGNE_UB</v>
          </cell>
          <cell r="D145" t="str">
            <v>Centre des sciences du goût et de l'alimentation</v>
          </cell>
        </row>
        <row r="146">
          <cell r="A146" t="str">
            <v>UNIVERSITE_DE_BOURGOGNE_UB</v>
          </cell>
          <cell r="D146" t="str">
            <v>Centre innovation et droit</v>
          </cell>
        </row>
        <row r="147">
          <cell r="A147" t="str">
            <v>UNIVERSITE_DE_BOURGOGNE_UB</v>
          </cell>
          <cell r="D147" t="str">
            <v>Centre interlangues : texte, image, langage</v>
          </cell>
        </row>
        <row r="148">
          <cell r="A148" t="str">
            <v>UNIVERSITE_DE_BOURGOGNE_UB</v>
          </cell>
          <cell r="D148" t="str">
            <v>Centre pluridisciplinaire textes et cultures</v>
          </cell>
        </row>
        <row r="149">
          <cell r="A149" t="str">
            <v>UNIVERSITE_DE_BOURGOGNE_UB</v>
          </cell>
          <cell r="D149" t="str">
            <v>Cognition, action et plasticité sensorimotrice</v>
          </cell>
        </row>
        <row r="150">
          <cell r="A150" t="str">
            <v>UNIVERSITE_DE_BOURGOGNE_UB</v>
          </cell>
          <cell r="D150" t="str">
            <v>Communication, médiations ; organisations, savoirs</v>
          </cell>
        </row>
        <row r="151">
          <cell r="A151" t="str">
            <v>UNIVERSITE_DE_BOURGOGNE_UB</v>
          </cell>
          <cell r="D151" t="str">
            <v>Département de recherche en ingénierie des véhicules pour l'environnement</v>
          </cell>
        </row>
        <row r="152">
          <cell r="A152" t="str">
            <v>UNIVERSITE_DE_BOURGOGNE_UB</v>
          </cell>
          <cell r="D152" t="str">
            <v>Imagerie et vision artificielle</v>
          </cell>
        </row>
        <row r="153">
          <cell r="A153" t="str">
            <v>UNIVERSITE_DE_BOURGOGNE_UB</v>
          </cell>
          <cell r="D153" t="str">
            <v>Institut de chimie moléculaire de l'universite de Bourgogne</v>
          </cell>
        </row>
        <row r="154">
          <cell r="A154" t="str">
            <v>UNIVERSITE_DE_BOURGOGNE_UB</v>
          </cell>
          <cell r="D154" t="str">
            <v>Institut de mathématiques de Bourgogne</v>
          </cell>
        </row>
        <row r="155">
          <cell r="A155" t="str">
            <v>UNIVERSITE_DE_BOURGOGNE_UB</v>
          </cell>
          <cell r="D155" t="str">
            <v>Institut de recherche en économie de l'éducation</v>
          </cell>
        </row>
        <row r="156">
          <cell r="A156" t="str">
            <v>UNIVERSITE_DE_BOURGOGNE_UB</v>
          </cell>
          <cell r="D156" t="str">
            <v>Laboratoire de psychologie : dynamiques relationnelles et processus identitaires</v>
          </cell>
        </row>
        <row r="157">
          <cell r="A157" t="str">
            <v>UNIVERSITE_DE_BOURGOGNE_UB</v>
          </cell>
          <cell r="D157" t="str">
            <v>Laboratoire d'économie de Dijon</v>
          </cell>
        </row>
        <row r="158">
          <cell r="A158" t="str">
            <v>UNIVERSITE_DE_BOURGOGNE_UB</v>
          </cell>
          <cell r="D158" t="str">
            <v>Laboratoire d'étude de l'apprentissage et du développement</v>
          </cell>
        </row>
        <row r="159">
          <cell r="A159" t="str">
            <v>UNIVERSITE_DE_BOURGOGNE_UB</v>
          </cell>
          <cell r="D159" t="str">
            <v>Laboratoire d'immunologie et imunothérapie des cancers</v>
          </cell>
        </row>
        <row r="160">
          <cell r="A160" t="str">
            <v>UNIVERSITE_DE_BOURGOGNE_UB</v>
          </cell>
          <cell r="D160" t="str">
            <v>Laboratoire d'informatique de Bourgogne</v>
          </cell>
        </row>
        <row r="161">
          <cell r="A161" t="str">
            <v>UNIVERSITE_DE_BOURGOGNE_UB</v>
          </cell>
          <cell r="D161" t="str">
            <v>Laboratoire electronique, informatique et image</v>
          </cell>
        </row>
        <row r="162">
          <cell r="A162" t="str">
            <v>UNIVERSITE_DE_BOURGOGNE_UB</v>
          </cell>
          <cell r="D162" t="str">
            <v>Laboratoire interdisciplinaire Carnot de Bourgogne</v>
          </cell>
        </row>
        <row r="163">
          <cell r="A163" t="str">
            <v>UNIVERSITE_DE_BOURGOGNE_UB</v>
          </cell>
          <cell r="D163" t="str">
            <v>Laboratoire interdisciplinaire de recherches "sociétés, sensibilités, soin"</v>
          </cell>
        </row>
        <row r="164">
          <cell r="A164" t="str">
            <v>UNIVERSITE_DE_BOURGOGNE_UB</v>
          </cell>
          <cell r="D164" t="str">
            <v>Lipides, nutrition, cancer</v>
          </cell>
        </row>
        <row r="165">
          <cell r="A165" t="str">
            <v>UNIVERSITE_DE_BOURGOGNE_UB</v>
          </cell>
          <cell r="D165" t="str">
            <v>Maison des sciences de l'homme de Dijon</v>
          </cell>
        </row>
        <row r="166">
          <cell r="A166" t="str">
            <v>UNIVERSITE_DE_BOURGOGNE_UB</v>
          </cell>
          <cell r="D166" t="str">
            <v>Physiopathologie et epidémiologie cérébro-cardiovasculaire</v>
          </cell>
        </row>
        <row r="167">
          <cell r="A167" t="str">
            <v>UNIVERSITE_DE_BOURGOGNE_UB</v>
          </cell>
          <cell r="D167" t="str">
            <v>Sport, management, gouvernance, performance</v>
          </cell>
        </row>
        <row r="168">
          <cell r="A168" t="str">
            <v>UNIVERSITE_DE_CORSE</v>
          </cell>
          <cell r="D168" t="str">
            <v>Bioscope Corse méditerranée : dynamique des infections en milieu insulaire</v>
          </cell>
        </row>
        <row r="169">
          <cell r="A169" t="str">
            <v>UNIVERSITE_DE_CORSE_PASQUALE_PAOLI</v>
          </cell>
          <cell r="D169" t="str">
            <v>Équipe méditerranéenne de recherche juridique</v>
          </cell>
        </row>
        <row r="170">
          <cell r="A170" t="str">
            <v>UNIVERSITE_DE_CORSE_PASQUALE_PAOLI</v>
          </cell>
          <cell r="D170" t="str">
            <v>Lieux, identités, espaces, activités</v>
          </cell>
        </row>
        <row r="171">
          <cell r="A171" t="str">
            <v>UNIVERSITE_DE_CORSE_PASQUALE_PAOLI</v>
          </cell>
          <cell r="D171" t="str">
            <v>Sciences pour l'environnement</v>
          </cell>
        </row>
        <row r="172">
          <cell r="A172" t="str">
            <v>UNIVERSITE_DE_LA_COTE_D_AZUR</v>
          </cell>
          <cell r="D172" t="str">
            <v>Bases,corpus et langage</v>
          </cell>
        </row>
        <row r="173">
          <cell r="A173" t="str">
            <v>UNIVERSITE_DE_LA_COTE_D_AZUR</v>
          </cell>
          <cell r="D173" t="str">
            <v>Centre de la méditerranée moderne et contemporaine</v>
          </cell>
        </row>
        <row r="174">
          <cell r="A174" t="str">
            <v>UNIVERSITE_DE_LA_COTE_D_AZUR</v>
          </cell>
          <cell r="D174" t="str">
            <v>Centre de recherche en histoire des idées</v>
          </cell>
        </row>
        <row r="175">
          <cell r="A175" t="str">
            <v>UNIVERSITE_DE_LA_COTE_D_AZUR</v>
          </cell>
          <cell r="D175" t="str">
            <v>Centre de recherche sur l'hetero-epitaxie et ses applications</v>
          </cell>
        </row>
        <row r="176">
          <cell r="A176" t="str">
            <v>UNIVERSITE_DE_LA_COTE_D_AZUR</v>
          </cell>
          <cell r="D176" t="str">
            <v>Centre d'étude et de recherche sur le droit administratif, constitutionnel, fiscal et financier</v>
          </cell>
        </row>
        <row r="177">
          <cell r="A177" t="str">
            <v>UNIVERSITE_DE_LA_COTE_D_AZUR</v>
          </cell>
          <cell r="D177" t="str">
            <v>Centre d'études et de recherche en droit privé</v>
          </cell>
        </row>
        <row r="178">
          <cell r="A178" t="str">
            <v>UNIVERSITE_DE_LA_COTE_D_AZUR</v>
          </cell>
          <cell r="D178" t="str">
            <v>Centre méditerranéen de medecine moléculaire</v>
          </cell>
        </row>
        <row r="179">
          <cell r="A179" t="str">
            <v>UNIVERSITE_DE_LA_COTE_D_AZUR</v>
          </cell>
          <cell r="D179" t="str">
            <v>Centre transdisciplinaire d'épistémologie de la littérature et des arts vivants</v>
          </cell>
        </row>
        <row r="180">
          <cell r="A180" t="str">
            <v>UNIVERSITE_DE_LA_COTE_D_AZUR</v>
          </cell>
          <cell r="D180" t="str">
            <v>Cognition behaviour technology</v>
          </cell>
        </row>
        <row r="181">
          <cell r="A181" t="str">
            <v>UNIVERSITE_DE_LA_COTE_D_AZUR</v>
          </cell>
          <cell r="D181" t="str">
            <v>Cultures et environnements : Préhistoire, Antiquité, Moyen-Age</v>
          </cell>
        </row>
        <row r="182">
          <cell r="A182" t="str">
            <v>UNIVERSITE_DE_LA_COTE_D_AZUR</v>
          </cell>
          <cell r="D182" t="str">
            <v>Ecology and conservation science for sustainable seas</v>
          </cell>
        </row>
        <row r="183">
          <cell r="A183" t="str">
            <v>UNIVERSITE_DE_LA_COTE_D_AZUR</v>
          </cell>
          <cell r="D183" t="str">
            <v>Équipe de recherche sur les mutations de l'europe et de ses societés</v>
          </cell>
        </row>
        <row r="184">
          <cell r="A184" t="str">
            <v>UNIVERSITE_DE_LA_COTE_D_AZUR</v>
          </cell>
          <cell r="D184" t="str">
            <v>Étude des structures, des processus d'adaptation et des changements de l'espace</v>
          </cell>
        </row>
        <row r="185">
          <cell r="A185" t="str">
            <v>UNIVERSITE_DE_LA_COTE_D_AZUR</v>
          </cell>
          <cell r="D185" t="str">
            <v>Groupe de recherche en droit, économie et gestion</v>
          </cell>
        </row>
        <row r="186">
          <cell r="A186" t="str">
            <v>UNIVERSITE_DE_LA_COTE_D_AZUR</v>
          </cell>
          <cell r="D186" t="str">
            <v>Groupe de recherches en management</v>
          </cell>
        </row>
        <row r="187">
          <cell r="A187" t="str">
            <v>UNIVERSITE_DE_LA_COTE_D_AZUR</v>
          </cell>
          <cell r="D187" t="str">
            <v>Institut de biologie de Valrose</v>
          </cell>
        </row>
        <row r="188">
          <cell r="A188" t="str">
            <v>UNIVERSITE_DE_LA_COTE_D_AZUR</v>
          </cell>
          <cell r="D188" t="str">
            <v xml:space="preserve">Institut de chimie de Nice </v>
          </cell>
        </row>
        <row r="189">
          <cell r="A189" t="str">
            <v>UNIVERSITE_DE_LA_COTE_D_AZUR</v>
          </cell>
          <cell r="D189" t="str">
            <v>Institut de pharmacologie moleculaire et cellulaire</v>
          </cell>
        </row>
        <row r="190">
          <cell r="A190" t="str">
            <v>UNIVERSITE_DE_LA_COTE_D_AZUR</v>
          </cell>
          <cell r="D190" t="str">
            <v xml:space="preserve">Institut de physique de Nice </v>
          </cell>
        </row>
        <row r="191">
          <cell r="A191" t="str">
            <v>UNIVERSITE_DE_LA_COTE_D_AZUR</v>
          </cell>
          <cell r="D191" t="str">
            <v>Institute for research on cancer and ageing of Nice</v>
          </cell>
        </row>
        <row r="192">
          <cell r="A192" t="str">
            <v>UNIVERSITE_DE_LA_COTE_D_AZUR</v>
          </cell>
          <cell r="D192" t="str">
            <v xml:space="preserve">Laboratoire d'anthropologie et de psychologie, cliniques, cognitives et sociales </v>
          </cell>
        </row>
        <row r="193">
          <cell r="A193" t="str">
            <v>UNIVERSITE_DE_LA_COTE_D_AZUR</v>
          </cell>
          <cell r="D193" t="str">
            <v>Laboratoire de droit international et européen</v>
          </cell>
        </row>
        <row r="194">
          <cell r="A194" t="str">
            <v>UNIVERSITE_DE_LA_COTE_D_AZUR</v>
          </cell>
          <cell r="D194" t="str">
            <v>Laboratoire de physio-médecine moléculaire</v>
          </cell>
        </row>
        <row r="195">
          <cell r="A195" t="str">
            <v>UNIVERSITE_DE_LA_COTE_D_AZUR</v>
          </cell>
          <cell r="D195" t="str">
            <v>Laboratoire d'electronique, antennes et télécommunications</v>
          </cell>
        </row>
        <row r="196">
          <cell r="A196" t="str">
            <v>UNIVERSITE_DE_LA_COTE_D_AZUR</v>
          </cell>
          <cell r="D196" t="str">
            <v xml:space="preserve">Laboratoire des sciences de l’information et de la communication </v>
          </cell>
        </row>
        <row r="197">
          <cell r="A197" t="str">
            <v>UNIVERSITE_DE_LA_COTE_D_AZUR</v>
          </cell>
          <cell r="D197" t="str">
            <v>Laboratoire d'informatique signaux et systemes de Sophia-Antipolis</v>
          </cell>
        </row>
        <row r="198">
          <cell r="A198" t="str">
            <v>UNIVERSITE_DE_LA_COTE_D_AZUR</v>
          </cell>
          <cell r="D198" t="str">
            <v>Laboratoire d'innovation et numérique par l'éducation</v>
          </cell>
        </row>
        <row r="199">
          <cell r="A199" t="str">
            <v>UNIVERSITE_DE_LA_COTE_D_AZUR</v>
          </cell>
          <cell r="D199" t="str">
            <v>Laboratoire interdisciplinaire récits cultures et sociétés</v>
          </cell>
        </row>
        <row r="200">
          <cell r="A200" t="str">
            <v>UNIVERSITE_DE_LA_COTE_D_AZUR</v>
          </cell>
          <cell r="D200" t="str">
            <v>Laboratoire Jean-Alexandre Dieudonne</v>
          </cell>
        </row>
        <row r="201">
          <cell r="A201" t="str">
            <v>UNIVERSITE_DE_LA_COTE_D_AZUR</v>
          </cell>
          <cell r="D201" t="str">
            <v>Laboratoire motricité humaine, expertise, sport, santé</v>
          </cell>
        </row>
        <row r="202">
          <cell r="A202" t="str">
            <v>UNIVERSITE_DE_LA_COTE_D_AZUR</v>
          </cell>
          <cell r="D202" t="str">
            <v>Maison des sciences de l'homme et de la société Sud-Est</v>
          </cell>
        </row>
        <row r="203">
          <cell r="A203" t="str">
            <v>UNIVERSITE_DE_LA_COTE_D_AZUR</v>
          </cell>
          <cell r="D203" t="str">
            <v>Microbiologie orale, immunothérapie et santé</v>
          </cell>
        </row>
        <row r="204">
          <cell r="A204" t="str">
            <v>UNIVERSITE_DE_LA_COTE_D_AZUR</v>
          </cell>
          <cell r="D204" t="str">
            <v>Polytech'lab</v>
          </cell>
        </row>
        <row r="205">
          <cell r="A205" t="str">
            <v>UNIVERSITE_DE_LA_COTE_D_AZUR</v>
          </cell>
          <cell r="D205" t="str">
            <v>Risques, épidemiologie, territoires, informations, éducation et santé</v>
          </cell>
        </row>
        <row r="206">
          <cell r="A206" t="str">
            <v>UNIVERSITE_DE_LA_COTE_D_AZUR</v>
          </cell>
          <cell r="D206" t="str">
            <v>Transitions numérique médias savoir territoires</v>
          </cell>
        </row>
        <row r="207">
          <cell r="A207" t="str">
            <v>UNIVERSITE_DE_LA_COTE_D_AZUR</v>
          </cell>
          <cell r="D207" t="str">
            <v xml:space="preserve">Transporteurs en imagerie et radiotherapie en oncologie-mécanismes biologique des alterations du tissu osseux
</v>
          </cell>
        </row>
        <row r="208">
          <cell r="A208" t="str">
            <v>UNIVERSITE_DE_LA_COTE_D_AZUR</v>
          </cell>
          <cell r="D208" t="str">
            <v xml:space="preserve">Unité de pharmacogénétique et radiogénétique des cancers </v>
          </cell>
        </row>
        <row r="209">
          <cell r="A209" t="str">
            <v>UNIVERSITE_DE_LA_COTE_D_AZUR</v>
          </cell>
          <cell r="D209" t="str">
            <v>Unité de recherche clinique Cote d'Azur</v>
          </cell>
        </row>
        <row r="210">
          <cell r="A210" t="str">
            <v>UNIVERSITE_DE_FRANCHE_COMTE</v>
          </cell>
          <cell r="D210" t="str">
            <v>Carcinogenèse épithéliale : facteurs prédictifs et pronostiques</v>
          </cell>
        </row>
        <row r="211">
          <cell r="A211" t="str">
            <v>UNIVERSITE_DE_FRANCHE_COMTE</v>
          </cell>
          <cell r="D211" t="str">
            <v>Centre de recherche sur les stratégies économiques</v>
          </cell>
        </row>
        <row r="212">
          <cell r="A212" t="str">
            <v>UNIVERSITE_DE_FRANCHE_COMTE</v>
          </cell>
          <cell r="D212" t="str">
            <v>Centre de recherches interdisciplinaires et transculturelles</v>
          </cell>
        </row>
        <row r="213">
          <cell r="A213" t="str">
            <v>UNIVERSITE_DE_FRANCHE_COMTE</v>
          </cell>
          <cell r="D213" t="str">
            <v>Centre de recherches juridiques de l'université de Franche-Comté</v>
          </cell>
        </row>
        <row r="214">
          <cell r="A214" t="str">
            <v>UNIVERSITE_DE_FRANCHE_COMTE</v>
          </cell>
          <cell r="D214" t="str">
            <v>Chrono-environnement</v>
          </cell>
        </row>
        <row r="215">
          <cell r="A215" t="str">
            <v>UNIVERSITE_DE_FRANCHE_COMTE</v>
          </cell>
          <cell r="D215" t="str">
            <v>Culture, sport, santé, société</v>
          </cell>
        </row>
        <row r="216">
          <cell r="A216" t="str">
            <v>UNIVERSITE_DE_FRANCHE_COMTE</v>
          </cell>
          <cell r="D216" t="str">
            <v>Édition, langages, littératures, informatique, arts, didactique, discours</v>
          </cell>
        </row>
        <row r="217">
          <cell r="A217" t="str">
            <v>UNIVERSITE_DE_FRANCHE_COMTE</v>
          </cell>
          <cell r="D217" t="str">
            <v>Épigénétique des infections virales et des maladies inflammatoires</v>
          </cell>
        </row>
        <row r="218">
          <cell r="A218" t="str">
            <v>UNIVERSITE_DE_FRANCHE_COMTE</v>
          </cell>
          <cell r="D218" t="str">
            <v>Fédération de recherche en éducation</v>
          </cell>
        </row>
        <row r="219">
          <cell r="A219" t="str">
            <v>UNIVERSITE_DE_FRANCHE_COMTE</v>
          </cell>
          <cell r="D219" t="str">
            <v>Fonctions et dysfonctions épitheliales - pathologies et épithéliums : prévention, innovation, traitements, évaluation</v>
          </cell>
        </row>
        <row r="220">
          <cell r="A220" t="str">
            <v>UNIVERSITE_DE_FRANCHE_COMTE</v>
          </cell>
          <cell r="D220" t="str">
            <v xml:space="preserve">Fuel cell lab </v>
          </cell>
        </row>
        <row r="221">
          <cell r="A221" t="str">
            <v>UNIVERSITE_DE_FRANCHE_COMTE</v>
          </cell>
          <cell r="D221" t="str">
            <v>Institut des sciences et techniques de l'antiquité</v>
          </cell>
        </row>
        <row r="222">
          <cell r="A222" t="str">
            <v>UNIVERSITE_DE_FRANCHE_COMTE</v>
          </cell>
          <cell r="D222" t="str">
            <v>Institut Franche-Comté électronique mécanique thermique optique - sciences et technologies</v>
          </cell>
        </row>
        <row r="223">
          <cell r="A223" t="str">
            <v>UNIVERSITE_DE_FRANCHE_COMTE</v>
          </cell>
          <cell r="D223" t="str">
            <v>Institut univers, temps-fréquence, interfaces, nanostructures, atmosphère et environnement, molécules</v>
          </cell>
        </row>
        <row r="224">
          <cell r="A224" t="str">
            <v>UNIVERSITE_DE_FRANCHE_COMTE</v>
          </cell>
          <cell r="D224" t="str">
            <v xml:space="preserve">Interaction hôte-greffon-tumeur-ingénierie cellulaire et génique </v>
          </cell>
        </row>
        <row r="225">
          <cell r="A225" t="str">
            <v>UNIVERSITE_DE_FRANCHE_COMTE</v>
          </cell>
          <cell r="D225" t="str">
            <v>Laboratoire de mathématiques de Besançon</v>
          </cell>
        </row>
        <row r="226">
          <cell r="A226" t="str">
            <v>UNIVERSITE_DE_FRANCHE_COMTE</v>
          </cell>
          <cell r="D226" t="str">
            <v>Laboratoire de nanomédecine, imagerie, thérapeutique.</v>
          </cell>
        </row>
        <row r="227">
          <cell r="A227" t="str">
            <v>UNIVERSITE_DE_FRANCHE_COMTE</v>
          </cell>
          <cell r="D227" t="str">
            <v>Laboratoire de neurosciences intégratives et cliniques</v>
          </cell>
        </row>
        <row r="228">
          <cell r="A228" t="str">
            <v>UNIVERSITE_DE_FRANCHE_COMTE</v>
          </cell>
          <cell r="D228" t="str">
            <v>Laboratoire de sociologie et d'anthropologie</v>
          </cell>
        </row>
        <row r="229">
          <cell r="A229" t="str">
            <v>UNIVERSITE_DE_FRANCHE_COMTE</v>
          </cell>
          <cell r="D229" t="str">
            <v>Laboratoire des sciences historiques - Centre Lucien Febvre</v>
          </cell>
        </row>
        <row r="230">
          <cell r="A230" t="str">
            <v>UNIVERSITE_DE_FRANCHE_COMTE</v>
          </cell>
          <cell r="D230" t="str">
            <v>Labratoire de psychologie</v>
          </cell>
        </row>
        <row r="231">
          <cell r="A231" t="str">
            <v>UNIVERSITE_DE_FRANCHE_COMTE</v>
          </cell>
          <cell r="D231" t="str">
            <v>Logiques de l'agir</v>
          </cell>
        </row>
        <row r="232">
          <cell r="A232" t="str">
            <v>UNIVERSITE_DE_FRANCHE_COMTE</v>
          </cell>
          <cell r="D232" t="str">
            <v>Maison des sciences de l'homme et de l'environnement Claude Nicolas Ledoux</v>
          </cell>
        </row>
        <row r="233">
          <cell r="A233" t="str">
            <v>UNIVERSITE_DE_FRANCHE_COMTE</v>
          </cell>
          <cell r="D233" t="str">
            <v>Marqueurs pronostiques et facteurs de régulation des pathologies cardiaques et vasculaires</v>
          </cell>
        </row>
        <row r="234">
          <cell r="A234" t="str">
            <v>UNIVERSITE_DE_FRANCHE_COMTE</v>
          </cell>
          <cell r="D234" t="str">
            <v>Observatoire des sciences de l’univers terre homme environnement temps astronomie Franche-Comté-Bourgogne</v>
          </cell>
        </row>
        <row r="235">
          <cell r="A235" t="str">
            <v>UNIVERSITE_DE_FRANCHE_COMTE</v>
          </cell>
          <cell r="D235" t="str">
            <v>Structure fédérative de recherche en éducation Provence</v>
          </cell>
        </row>
        <row r="236">
          <cell r="A236" t="str">
            <v>UNIVERSITE_DE_FRANCHE_COMTE</v>
          </cell>
          <cell r="D236" t="str">
            <v>Théoriser et modéliser pour aménager</v>
          </cell>
        </row>
        <row r="237">
          <cell r="A237" t="str">
            <v>UNIVERSITE_DE_HAUTE_ALSACE_UHA</v>
          </cell>
          <cell r="D237" t="str">
            <v>Centre de recherche sur les économies, les sociétés, les arts et les techniques</v>
          </cell>
        </row>
        <row r="238">
          <cell r="A238" t="str">
            <v>UNIVERSITE_DE_HAUTE_ALSACE_UHA</v>
          </cell>
          <cell r="D238" t="str">
            <v>Centre européen de recherche sur le risque, le droit des accidents collectifs et des catastrophes</v>
          </cell>
        </row>
        <row r="239">
          <cell r="A239" t="str">
            <v>UNIVERSITE_DE_HAUTE_ALSACE_UHA</v>
          </cell>
          <cell r="D239" t="str">
            <v>Institut de recherche en informatique, mathématiques, automatique et signal</v>
          </cell>
        </row>
        <row r="240">
          <cell r="A240" t="str">
            <v>UNIVERSITE_DE_HAUTE_ALSACE_UHA</v>
          </cell>
          <cell r="D240" t="str">
            <v>Institut de recherche en langues et littératures européennes</v>
          </cell>
        </row>
        <row r="241">
          <cell r="A241" t="str">
            <v>UNIVERSITE_DE_HAUTE_ALSACE_UHA</v>
          </cell>
          <cell r="D241" t="str">
            <v>Institut de science des matériaux de Mulhouse</v>
          </cell>
        </row>
        <row r="242">
          <cell r="A242" t="str">
            <v>UNIVERSITE_DE_HAUTE_ALSACE_UHA</v>
          </cell>
          <cell r="D242" t="str">
            <v>Laboratoire de photochimie et d'ingénierie macromoléculaires</v>
          </cell>
        </row>
        <row r="243">
          <cell r="A243" t="str">
            <v>UNIVERSITE_DE_HAUTE_ALSACE_UHA</v>
          </cell>
          <cell r="D243" t="str">
            <v>Laboratoire de physique et mécanique textiles</v>
          </cell>
        </row>
        <row r="244">
          <cell r="A244" t="str">
            <v>UNIVERSITE_DE_HAUTE_ALSACE_UHA</v>
          </cell>
          <cell r="D244" t="str">
            <v>Laboratoire gestion des risques et environnement</v>
          </cell>
        </row>
        <row r="245">
          <cell r="A245" t="str">
            <v>UNIVERSITE_DE_HAUTE_ALSACE_UHA</v>
          </cell>
          <cell r="D245" t="str">
            <v>Laboratoire vigne, biotechnologies et environnement</v>
          </cell>
        </row>
        <row r="246">
          <cell r="A246" t="str">
            <v>UNIVERSITE_DE_LORRAINE</v>
          </cell>
          <cell r="D246" t="str">
            <v>Adaptation, mesure et évaluation en santé. approches interdisciplinaires</v>
          </cell>
        </row>
        <row r="247">
          <cell r="A247" t="str">
            <v>UNIVERSITE_DE_LORRAINE</v>
          </cell>
          <cell r="D247" t="str">
            <v>Analyse et traitement informatique de la langue française</v>
          </cell>
        </row>
        <row r="248">
          <cell r="A248" t="str">
            <v>UNIVERSITE_DE_LORRAINE</v>
          </cell>
          <cell r="D248" t="str">
            <v>Archives Henri Poincaré - Philosophie et recherches sur les sciences et les technologies</v>
          </cell>
        </row>
        <row r="249">
          <cell r="A249" t="str">
            <v>UNIVERSITE_DE_LORRAINE</v>
          </cell>
          <cell r="D249" t="str">
            <v>Centre de recherche en automatique de Nancy</v>
          </cell>
        </row>
        <row r="250">
          <cell r="A250" t="str">
            <v>UNIVERSITE_DE_LORRAINE</v>
          </cell>
          <cell r="D250" t="str">
            <v>Centre de recherche en géographie</v>
          </cell>
        </row>
        <row r="251">
          <cell r="A251" t="str">
            <v>UNIVERSITE_DE_LORRAINE</v>
          </cell>
          <cell r="D251" t="str">
            <v>Centre de recherche sur les cultures et littératures européennes : France, Europe Centrale, Europe Orientale</v>
          </cell>
        </row>
        <row r="252">
          <cell r="A252" t="str">
            <v>UNIVERSITE_DE_LORRAINE</v>
          </cell>
          <cell r="D252" t="str">
            <v>Centre de recherche sur les médiations</v>
          </cell>
        </row>
        <row r="253">
          <cell r="A253" t="str">
            <v>UNIVERSITE_DE_LORRAINE</v>
          </cell>
          <cell r="D253" t="str">
            <v>Centre de recherche universitaire lorrain d'histoire</v>
          </cell>
        </row>
        <row r="254">
          <cell r="A254" t="str">
            <v>UNIVERSITE_DE_LORRAINE</v>
          </cell>
          <cell r="D254" t="str">
            <v>Centre de recherches pétrographiques et géochimiques</v>
          </cell>
        </row>
        <row r="255">
          <cell r="A255" t="str">
            <v>UNIVERSITE_DE_LORRAINE</v>
          </cell>
          <cell r="D255" t="str">
            <v>Centre d'études germaniques interculturelles de Lorraine</v>
          </cell>
        </row>
        <row r="256">
          <cell r="A256" t="str">
            <v>UNIVERSITE_DE_LORRAINE</v>
          </cell>
          <cell r="D256" t="str">
            <v>Centre européen de recherche en économie financière et gestion des entreprises</v>
          </cell>
        </row>
        <row r="257">
          <cell r="A257" t="str">
            <v>UNIVERSITE_DE_LORRAINE</v>
          </cell>
          <cell r="D257" t="str">
            <v>Centre lorrain de recherches interdisciplinaires dans les domaines des littératures, des cultures et de la théologie</v>
          </cell>
        </row>
        <row r="258">
          <cell r="A258" t="str">
            <v>UNIVERSITE_DE_LORRAINE</v>
          </cell>
          <cell r="D258" t="str">
            <v>Cibles thérapeutiques, formulation et expertise pré-clinique du médicament</v>
          </cell>
        </row>
        <row r="259">
          <cell r="A259" t="str">
            <v>UNIVERSITE_DE_LORRAINE</v>
          </cell>
          <cell r="D259" t="str">
            <v>Composée alimentaires : biofonctionnalités et risques neurotoxiques</v>
          </cell>
        </row>
        <row r="260">
          <cell r="A260" t="str">
            <v>UNIVERSITE_DE_LORRAINE</v>
          </cell>
          <cell r="D260" t="str">
            <v>Cristallographie, résonance magnétique et modélisations</v>
          </cell>
        </row>
        <row r="261">
          <cell r="A261" t="str">
            <v>UNIVERSITE_DE_LORRAINE</v>
          </cell>
          <cell r="D261" t="str">
            <v>Défaillance cardiovasculaire aigüe et chronique</v>
          </cell>
        </row>
        <row r="262">
          <cell r="A262" t="str">
            <v>UNIVERSITE_DE_LORRAINE</v>
          </cell>
          <cell r="D262" t="str">
            <v>Développement, adaptation et handicap. régulations cardio-respiratoires et de la motricité</v>
          </cell>
        </row>
        <row r="263">
          <cell r="A263" t="str">
            <v>UNIVERSITE_DE_LORRAINE</v>
          </cell>
          <cell r="D263" t="str">
            <v>Dynamique des génomes et adaptation microbienne</v>
          </cell>
        </row>
        <row r="264">
          <cell r="A264" t="str">
            <v>UNIVERSITE_DE_LORRAINE</v>
          </cell>
          <cell r="D264" t="str">
            <v>Écosystèmes forestiers, agroressources, bioprocédés et alimentation</v>
          </cell>
        </row>
        <row r="265">
          <cell r="A265" t="str">
            <v>UNIVERSITE_DE_LORRAINE</v>
          </cell>
          <cell r="D265" t="str">
            <v>Équipe de recherche sur les processus innovatifs</v>
          </cell>
        </row>
        <row r="266">
          <cell r="A266" t="str">
            <v>UNIVERSITE_DE_LORRAINE</v>
          </cell>
          <cell r="D266" t="str">
            <v>Fédération Charles Hermite</v>
          </cell>
        </row>
        <row r="267">
          <cell r="A267" t="str">
            <v>UNIVERSITE_DE_LORRAINE</v>
          </cell>
          <cell r="D267" t="str">
            <v>Fédération de recherche Jacques Villermaux pour la mécanique, l'énergie, les procédés</v>
          </cell>
        </row>
        <row r="268">
          <cell r="A268" t="str">
            <v>UNIVERSITE_DE_LORRAINE</v>
          </cell>
          <cell r="D268" t="str">
            <v>Géoressources</v>
          </cell>
        </row>
        <row r="269">
          <cell r="A269" t="str">
            <v>UNIVERSITE_DE_LORRAINE</v>
          </cell>
          <cell r="D269" t="str">
            <v>Groupe de recherche en énergie électrique de Nancy</v>
          </cell>
        </row>
        <row r="270">
          <cell r="A270" t="str">
            <v>UNIVERSITE_DE_LORRAINE</v>
          </cell>
          <cell r="D270" t="str">
            <v>Histoire et cultures de l'Antiquité et du Moyen-Age</v>
          </cell>
        </row>
        <row r="271">
          <cell r="A271" t="str">
            <v>UNIVERSITE_DE_LORRAINE</v>
          </cell>
          <cell r="D271" t="str">
            <v>Imagerie adaptative diagnostique et interventionnelle</v>
          </cell>
        </row>
        <row r="272">
          <cell r="A272" t="str">
            <v>UNIVERSITE_DE_LORRAINE</v>
          </cell>
          <cell r="D272" t="str">
            <v>Ingénierie moléculaire et physiopathologie articulaire</v>
          </cell>
        </row>
        <row r="273">
          <cell r="A273" t="str">
            <v>UNIVERSITE_DE_LORRAINE</v>
          </cell>
          <cell r="D273" t="str">
            <v>Ingénierie-biologie-santé en Lorraine</v>
          </cell>
        </row>
        <row r="274">
          <cell r="A274" t="str">
            <v>UNIVERSITE_DE_LORRAINE</v>
          </cell>
          <cell r="D274" t="str">
            <v>Institut de recherches sur l'évolution de la nation et de l'État</v>
          </cell>
        </row>
        <row r="275">
          <cell r="A275" t="str">
            <v>UNIVERSITE_DE_LORRAINE</v>
          </cell>
          <cell r="D275" t="str">
            <v>Institut Élie Cartan de Lorraine</v>
          </cell>
        </row>
        <row r="276">
          <cell r="A276" t="str">
            <v>UNIVERSITE_DE_LORRAINE</v>
          </cell>
          <cell r="D276" t="str">
            <v>Institut François Gény</v>
          </cell>
        </row>
        <row r="277">
          <cell r="A277" t="str">
            <v>UNIVERSITE_DE_LORRAINE</v>
          </cell>
          <cell r="D277" t="str">
            <v>Institut Jean Barriol</v>
          </cell>
        </row>
        <row r="278">
          <cell r="A278" t="str">
            <v>UNIVERSITE_DE_LORRAINE</v>
          </cell>
          <cell r="D278" t="str">
            <v>Institut Jean Lamour</v>
          </cell>
        </row>
        <row r="279">
          <cell r="A279" t="str">
            <v>UNIVERSITE_DE_LORRAINE</v>
          </cell>
          <cell r="D279" t="str">
            <v>Interactions arbres/micro-organismes</v>
          </cell>
        </row>
        <row r="280">
          <cell r="A280" t="str">
            <v>UNIVERSITE_DE_LORRAINE</v>
          </cell>
          <cell r="D280" t="str">
            <v>Interactions gène-environnement en physiopathologie cardio-vasculaire</v>
          </cell>
        </row>
        <row r="281">
          <cell r="A281" t="str">
            <v>UNIVERSITE_DE_LORRAINE</v>
          </cell>
          <cell r="D281" t="str">
            <v xml:space="preserve">Laboratoire agronomie et environnement </v>
          </cell>
        </row>
        <row r="282">
          <cell r="A282" t="str">
            <v>UNIVERSITE_DE_LORRAINE</v>
          </cell>
          <cell r="D282" t="str">
            <v>Laboratoire de chimie et physique - Approche multi-échelle des milieux complexes</v>
          </cell>
        </row>
        <row r="283">
          <cell r="A283" t="str">
            <v>UNIVERSITE_DE_LORRAINE</v>
          </cell>
          <cell r="D283" t="str">
            <v>Laboratoire de chimie physique et microbiologie pour l'environnement</v>
          </cell>
        </row>
        <row r="284">
          <cell r="A284" t="str">
            <v>UNIVERSITE_DE_LORRAINE</v>
          </cell>
          <cell r="D284" t="str">
            <v>Laboratoire de chimie physique macromoléculaire</v>
          </cell>
        </row>
        <row r="285">
          <cell r="A285" t="str">
            <v>UNIVERSITE_DE_LORRAINE</v>
          </cell>
          <cell r="D285" t="str">
            <v xml:space="preserve">Laboratoire de conception, optimisation et modélisation des systèmes </v>
          </cell>
        </row>
        <row r="286">
          <cell r="A286" t="str">
            <v>UNIVERSITE_DE_LORRAINE</v>
          </cell>
          <cell r="D286" t="str">
            <v>Laboratoire de génie informatique, de production et de maintenance</v>
          </cell>
        </row>
        <row r="287">
          <cell r="A287" t="str">
            <v>UNIVERSITE_DE_LORRAINE</v>
          </cell>
          <cell r="D287" t="str">
            <v>Laboratoire de physique et chimie théoriques</v>
          </cell>
        </row>
        <row r="288">
          <cell r="A288" t="str">
            <v>UNIVERSITE_DE_LORRAINE</v>
          </cell>
          <cell r="D288" t="str">
            <v>Laboratoire de psychologie de l'interaction et des relations intersubjectives</v>
          </cell>
        </row>
        <row r="289">
          <cell r="A289" t="str">
            <v>UNIVERSITE_DE_LORRAINE</v>
          </cell>
          <cell r="D289" t="str">
            <v>Laboratoire d'energétique et de mécanique théorique et appliquée</v>
          </cell>
        </row>
        <row r="290">
          <cell r="A290" t="str">
            <v>UNIVERSITE_DE_LORRAINE</v>
          </cell>
          <cell r="D290" t="str">
            <v>Laboratoire d'étude des microstructures et de mécanique des matériaux</v>
          </cell>
        </row>
        <row r="291">
          <cell r="A291" t="str">
            <v>UNIVERSITE_DE_LORRAINE</v>
          </cell>
          <cell r="D291" t="str">
            <v>Laboratoire d'étude et de recherche sur le matériau bois</v>
          </cell>
        </row>
        <row r="292">
          <cell r="A292" t="str">
            <v>UNIVERSITE_DE_LORRAINE</v>
          </cell>
          <cell r="D292" t="str">
            <v>Laboratoire d'ingénierie des biomolécules</v>
          </cell>
        </row>
        <row r="293">
          <cell r="A293" t="str">
            <v>UNIVERSITE_DE_LORRAINE</v>
          </cell>
          <cell r="D293" t="str">
            <v>Laboratoire interdisciplinaire des environnements continentaux</v>
          </cell>
        </row>
        <row r="294">
          <cell r="A294" t="str">
            <v>UNIVERSITE_DE_LORRAINE</v>
          </cell>
          <cell r="D294" t="str">
            <v>Laboratoire lorrain de chimie moléculaire</v>
          </cell>
        </row>
        <row r="295">
          <cell r="A295" t="str">
            <v>UNIVERSITE_DE_LORRAINE</v>
          </cell>
          <cell r="D295" t="str">
            <v>Laboratoire lorrain de psychologie et neurosciences de la dynamique des comportements</v>
          </cell>
        </row>
        <row r="296">
          <cell r="A296" t="str">
            <v>UNIVERSITE_DE_LORRAINE</v>
          </cell>
          <cell r="D296" t="str">
            <v>Laboratoire lorrain de recherche en informatique et ses applications</v>
          </cell>
        </row>
        <row r="297">
          <cell r="A297" t="str">
            <v>UNIVERSITE_DE_LORRAINE</v>
          </cell>
          <cell r="D297" t="str">
            <v>Laboratoire lorrain de sciences sociales</v>
          </cell>
        </row>
        <row r="298">
          <cell r="A298" t="str">
            <v>UNIVERSITE_DE_LORRAINE</v>
          </cell>
          <cell r="D298" t="str">
            <v>Laboratoire matériaux optiques, photonique et systèmes</v>
          </cell>
        </row>
        <row r="299">
          <cell r="A299" t="str">
            <v>UNIVERSITE_DE_LORRAINE</v>
          </cell>
          <cell r="D299" t="str">
            <v>Laboratoire réactions et génie des procédés</v>
          </cell>
        </row>
        <row r="300">
          <cell r="A300" t="str">
            <v>UNIVERSITE_DE_LORRAINE</v>
          </cell>
          <cell r="D300" t="str">
            <v>Laboratoire sols et environnement</v>
          </cell>
        </row>
        <row r="301">
          <cell r="A301" t="str">
            <v>UNIVERSITE_DE_LORRAINE</v>
          </cell>
          <cell r="D301" t="str">
            <v>Littératures, imaginaire, sociétés</v>
          </cell>
        </row>
        <row r="302">
          <cell r="A302" t="str">
            <v>UNIVERSITE_DE_LORRAINE</v>
          </cell>
          <cell r="D302" t="str">
            <v>Maison des sciences de l'homme Lorraine</v>
          </cell>
        </row>
        <row r="303">
          <cell r="A303" t="str">
            <v>UNIVERSITE_DE_LORRAINE</v>
          </cell>
          <cell r="D303" t="str">
            <v>Nutrition-génétique et exposition aux risques environnementaux</v>
          </cell>
        </row>
        <row r="304">
          <cell r="A304" t="str">
            <v>UNIVERSITE_DE_LORRAINE</v>
          </cell>
          <cell r="D304" t="str">
            <v>Observatoire terre et environnement de Lorraine</v>
          </cell>
        </row>
        <row r="305">
          <cell r="A305" t="str">
            <v>UNIVERSITE_DE_LORRAINE</v>
          </cell>
          <cell r="D305" t="str">
            <v>Psychologie ergonomique et sociale pour l'expérience utilisateurs</v>
          </cell>
        </row>
        <row r="306">
          <cell r="A306" t="str">
            <v>UNIVERSITE_DE_LORRAINE</v>
          </cell>
          <cell r="D306" t="str">
            <v>Silva</v>
          </cell>
        </row>
        <row r="307">
          <cell r="A307" t="str">
            <v>UNIVERSITE_DE_LORRAINE</v>
          </cell>
          <cell r="D307" t="str">
            <v>Stress, immunité, pathogènes</v>
          </cell>
        </row>
        <row r="308">
          <cell r="A308" t="str">
            <v>UNIVERSITE_DE_LORRAINE</v>
          </cell>
          <cell r="D308" t="str">
            <v>Théories et pratiques de l'interdisciplinarité dans les études anglophones</v>
          </cell>
        </row>
        <row r="309">
          <cell r="A309" t="str">
            <v>UNIVERSITE_DE_LORRAINE</v>
          </cell>
          <cell r="D309" t="str">
            <v>Unité de recherches animal et fonctionnalités des produits animaux</v>
          </cell>
        </row>
        <row r="310">
          <cell r="A310" t="str">
            <v>UNIVERSITE_DE_LA_NOUVELLE_CALEDONIE_UNC</v>
          </cell>
          <cell r="D310" t="str">
            <v xml:space="preserve">Institut de sciences exactes et appliquées </v>
          </cell>
        </row>
        <row r="311">
          <cell r="A311" t="str">
            <v>UNIVERSITE_DE_LA_NOUVELLE_CALEDONIE_UNC</v>
          </cell>
          <cell r="D311" t="str">
            <v>Laboratoire de recherches juridiques et économiques</v>
          </cell>
        </row>
        <row r="312">
          <cell r="A312" t="str">
            <v>UNIVERSITE_DE_LA_NOUVELLE_CALEDONIE_UNC</v>
          </cell>
          <cell r="D312" t="str">
            <v>Laboratoire interdisciplinaire de recherche en éducation (équipe en émergence)</v>
          </cell>
        </row>
        <row r="313">
          <cell r="A313" t="str">
            <v>UNIVERSITE_DE_LA_NOUVELLE_CALEDONIE_UNC</v>
          </cell>
          <cell r="D313" t="str">
            <v>Mobilités, création, langues et idéologies en Océanie</v>
          </cell>
        </row>
        <row r="314">
          <cell r="A314" t="str">
            <v>UNIVERSITE_DE_LA_NOUVELLE_CALEDONIE_UNC</v>
          </cell>
          <cell r="D314" t="str">
            <v xml:space="preserve">Trajectoires d'Océanie </v>
          </cell>
        </row>
        <row r="315">
          <cell r="A315" t="str">
            <v>UNIVERSITE_D_ORLEANS</v>
          </cell>
          <cell r="D315" t="str">
            <v>Calcul scientifique et modélisation Orléans-Tours</v>
          </cell>
        </row>
        <row r="316">
          <cell r="A316" t="str">
            <v>UNIVERSITE_D_ORLEANS</v>
          </cell>
          <cell r="D316" t="str">
            <v>Centre de biophysique moléculaire</v>
          </cell>
        </row>
        <row r="317">
          <cell r="A317" t="str">
            <v>UNIVERSITE_D_ORLEANS</v>
          </cell>
          <cell r="D317" t="str">
            <v>Centre de recherche juridique Pothier</v>
          </cell>
        </row>
        <row r="318">
          <cell r="A318" t="str">
            <v>UNIVERSITE_D_ORLEANS</v>
          </cell>
          <cell r="D318" t="str">
            <v>Centre d'études sur le développement des territoires et l'environnement </v>
          </cell>
        </row>
        <row r="319">
          <cell r="A319" t="str">
            <v>UNIVERSITE_D_ORLEANS</v>
          </cell>
          <cell r="D319" t="str">
            <v>Conditions extrêmes et matériaux : haute température et irradiation </v>
          </cell>
        </row>
        <row r="320">
          <cell r="A320" t="str">
            <v>UNIVERSITE_D_ORLEANS</v>
          </cell>
          <cell r="D320" t="str">
            <v>Équipe de recherche sur les contextes et acteurs de l'éducation</v>
          </cell>
        </row>
        <row r="321">
          <cell r="A321" t="str">
            <v>UNIVERSITE_D_ORLEANS</v>
          </cell>
          <cell r="D321" t="str">
            <v>Groupe de recherches sur l'énergétique des milieux ionisés</v>
          </cell>
        </row>
        <row r="322">
          <cell r="A322" t="str">
            <v>UNIVERSITE_D_ORLEANS</v>
          </cell>
          <cell r="D322" t="str">
            <v>Imagerie multimodale multiéchelle et modélisation du tissu osseux et articulaire</v>
          </cell>
        </row>
        <row r="323">
          <cell r="A323" t="str">
            <v>UNIVERSITE_D_ORLEANS</v>
          </cell>
          <cell r="D323" t="str">
            <v>Immunologie et neurogénétique expérimentales et moléculaires </v>
          </cell>
        </row>
        <row r="324">
          <cell r="A324" t="str">
            <v>UNIVERSITE_D_ORLEANS</v>
          </cell>
          <cell r="D324" t="str">
            <v>Informatique Centre Val de Loire</v>
          </cell>
        </row>
        <row r="325">
          <cell r="A325" t="str">
            <v>UNIVERSITE_D_ORLEANS</v>
          </cell>
          <cell r="D325" t="str">
            <v>Institut de chimie organique et analytique</v>
          </cell>
        </row>
        <row r="326">
          <cell r="A326" t="str">
            <v>UNIVERSITE_D_ORLEANS</v>
          </cell>
          <cell r="D326" t="str">
            <v>Institut de combustion, aérothermique, réactivité et environnement</v>
          </cell>
        </row>
        <row r="327">
          <cell r="A327" t="str">
            <v>UNIVERSITE_D_ORLEANS</v>
          </cell>
          <cell r="D327" t="str">
            <v>Institut Denis Poisson</v>
          </cell>
        </row>
        <row r="328">
          <cell r="A328" t="str">
            <v>UNIVERSITE_D_ORLEANS</v>
          </cell>
          <cell r="D328" t="str">
            <v>Institut des sciences de la terre d'Orléans</v>
          </cell>
        </row>
        <row r="329">
          <cell r="A329" t="str">
            <v>UNIVERSITE_D_ORLEANS</v>
          </cell>
          <cell r="D329" t="str">
            <v>Interfaces confinement matériaux et nanostructures </v>
          </cell>
        </row>
        <row r="330">
          <cell r="A330" t="str">
            <v>UNIVERSITE_D_ORLEANS</v>
          </cell>
          <cell r="D330" t="str">
            <v>Laboratoire de biologie des ligneux et des grandes cultures</v>
          </cell>
        </row>
        <row r="331">
          <cell r="A331" t="str">
            <v>UNIVERSITE_D_ORLEANS</v>
          </cell>
          <cell r="D331" t="str">
            <v>Laboratoire de mathématiques, analyse, probabilités, modélisation d'Orléans</v>
          </cell>
        </row>
        <row r="332">
          <cell r="A332" t="str">
            <v>UNIVERSITE_D_ORLEANS</v>
          </cell>
          <cell r="D332" t="str">
            <v>Laboratoire de mécanique Gabriel Lamé</v>
          </cell>
        </row>
        <row r="333">
          <cell r="A333" t="str">
            <v>UNIVERSITE_D_ORLEANS</v>
          </cell>
          <cell r="D333" t="str">
            <v>Laboratoire de physique et chimie de l'environnement et de l'espace </v>
          </cell>
        </row>
        <row r="334">
          <cell r="A334" t="str">
            <v>UNIVERSITE_D_ORLEANS</v>
          </cell>
          <cell r="D334" t="str">
            <v>Laboratoire d'économie d'Orleans</v>
          </cell>
        </row>
        <row r="335">
          <cell r="A335" t="str">
            <v>UNIVERSITE_D_ORLEANS</v>
          </cell>
          <cell r="D335" t="str">
            <v>Laboratoire d'informatique fondamentale d'Orléans</v>
          </cell>
        </row>
        <row r="336">
          <cell r="A336" t="str">
            <v>UNIVERSITE_D_ORLEANS</v>
          </cell>
          <cell r="D336" t="str">
            <v>Laboratoire ligérien de linguistique</v>
          </cell>
        </row>
        <row r="337">
          <cell r="A337" t="str">
            <v>UNIVERSITE_D_ORLEANS</v>
          </cell>
          <cell r="D337" t="str">
            <v>Laboratoire plurisdisciplinaire en ingénierie des systèmes et mécanique énergétique</v>
          </cell>
        </row>
        <row r="338">
          <cell r="A338" t="str">
            <v>UNIVERSITE_D_ORLEANS</v>
          </cell>
          <cell r="D338" t="str">
            <v>Matériaux Val de Loire - Limousin</v>
          </cell>
        </row>
        <row r="339">
          <cell r="A339" t="str">
            <v>UNIVERSITE_D_ORLEANS</v>
          </cell>
          <cell r="D339" t="str">
            <v>Observatoire des sciences de l'univers en région Centre</v>
          </cell>
        </row>
        <row r="340">
          <cell r="A340" t="str">
            <v>UNIVERSITE_D_ORLEANS</v>
          </cell>
          <cell r="D340" t="str">
            <v>Physique et chimie du vivant </v>
          </cell>
        </row>
        <row r="341">
          <cell r="A341" t="str">
            <v>UNIVERSITE_D_ORLEANS</v>
          </cell>
          <cell r="D341" t="str">
            <v>Pouvoirs, lettres, normes</v>
          </cell>
        </row>
        <row r="342">
          <cell r="A342" t="str">
            <v>UNIVERSITE_D_ORLEANS</v>
          </cell>
          <cell r="D342" t="str">
            <v>Réception et médiation de littératures et de cultures étrangères et comparées </v>
          </cell>
        </row>
        <row r="343">
          <cell r="A343" t="str">
            <v>UNIVERSITE_D_ORLEANS</v>
          </cell>
          <cell r="D343" t="str">
            <v>TGIR-RMN très haut champs</v>
          </cell>
        </row>
        <row r="344">
          <cell r="A344" t="str">
            <v>UNIVERSITE_DE_LA_POLYNESIE_FRANCAISE_UPF</v>
          </cell>
          <cell r="D344" t="str">
            <v>Centre international de recherche archéologique sur la Polynésie</v>
          </cell>
        </row>
        <row r="345">
          <cell r="A345" t="str">
            <v>UNIVERSITE_DE_LA_POLYNESIE_FRANCAISE_UPF</v>
          </cell>
          <cell r="D345" t="str">
            <v>Écosystémes insulaires océaniens</v>
          </cell>
        </row>
        <row r="346">
          <cell r="A346" t="str">
            <v>UNIVERSITE_DE_LA_POLYNESIE_FRANCAISE_UPF</v>
          </cell>
          <cell r="D346" t="str">
            <v>Géométrie algébrique et applications à la théorie de l'information</v>
          </cell>
        </row>
        <row r="347">
          <cell r="A347" t="str">
            <v>UNIVERSITE_DE_LA_POLYNESIE_FRANCAISE_UPF</v>
          </cell>
          <cell r="D347" t="str">
            <v>Geopôle du Pacifique Sud</v>
          </cell>
        </row>
        <row r="348">
          <cell r="A348" t="str">
            <v>UNIVERSITE_DE_LA_POLYNESIE_FRANCAISE_UPF</v>
          </cell>
          <cell r="D348" t="str">
            <v>Gouvernance et développement insulaire</v>
          </cell>
        </row>
        <row r="349">
          <cell r="A349" t="str">
            <v>UNIVERSITE_DE_LA_POLYNESIE_FRANCAISE_UPF</v>
          </cell>
          <cell r="D349" t="str">
            <v>Maison des sciences de l'homme et du Pacifique</v>
          </cell>
        </row>
        <row r="350">
          <cell r="A350" t="str">
            <v>UNIVERSITE_DE_LA_POLYNESIE_FRANCAISE_UPF</v>
          </cell>
          <cell r="D350" t="str">
            <v>Observatoire géodésique de Tahiti</v>
          </cell>
        </row>
        <row r="351">
          <cell r="A351" t="str">
            <v>UNIVERSITE_DE_LA_POLYNESIE_FRANCAISE_UPF</v>
          </cell>
          <cell r="D351" t="str">
            <v>Sociétés traditionnelles et contemporaines en Océanie</v>
          </cell>
        </row>
        <row r="352">
          <cell r="A352" t="str">
            <v>UNIVERSITE_DE_REIMS_CHAMPAGNE_ARDENNES_URCA</v>
          </cell>
          <cell r="D352" t="str">
            <v>Agro-sciences, environnement et développement durable</v>
          </cell>
        </row>
        <row r="353">
          <cell r="A353" t="str">
            <v>UNIVERSITE_DE_REIMS_CHAMPAGNE_ARDENNES_URCA</v>
          </cell>
          <cell r="D353" t="str">
            <v>Biomatériaux et inflammation en site osseux</v>
          </cell>
        </row>
        <row r="354">
          <cell r="A354" t="str">
            <v>UNIVERSITE_DE_REIMS_CHAMPAGNE_ARDENNES_URCA</v>
          </cell>
          <cell r="D354" t="str">
            <v>Biospectroscopie translationnelle</v>
          </cell>
        </row>
        <row r="355">
          <cell r="A355" t="str">
            <v>UNIVERSITE_DE_REIMS_CHAMPAGNE_ARDENNES_URCA</v>
          </cell>
          <cell r="D355" t="str">
            <v>Cap santé</v>
          </cell>
        </row>
        <row r="356">
          <cell r="A356" t="str">
            <v>UNIVERSITE_DE_REIMS_CHAMPAGNE_ARDENNES_URCA</v>
          </cell>
          <cell r="D356" t="str">
            <v>Centre de recherche en STIC</v>
          </cell>
        </row>
        <row r="357">
          <cell r="A357" t="str">
            <v>UNIVERSITE_DE_REIMS_CHAMPAGNE_ARDENNES_URCA</v>
          </cell>
          <cell r="D357" t="str">
            <v>Centre de recherche interdisciplinaire sur les modeles esthétiques et littéraires</v>
          </cell>
        </row>
        <row r="358">
          <cell r="A358" t="str">
            <v>UNIVERSITE_DE_REIMS_CHAMPAGNE_ARDENNES_URCA</v>
          </cell>
          <cell r="D358" t="str">
            <v>Centre de recherches droit et territoire(s)</v>
          </cell>
        </row>
        <row r="359">
          <cell r="A359" t="str">
            <v>UNIVERSITE_DE_REIMS_CHAMPAGNE_ARDENNES_URCA</v>
          </cell>
          <cell r="D359" t="str">
            <v>Centre d'étude et de recherche sur les emplois et la professionnalisation</v>
          </cell>
        </row>
        <row r="360">
          <cell r="A360" t="str">
            <v>UNIVERSITE_DE_REIMS_CHAMPAGNE_ARDENNES_URCA</v>
          </cell>
          <cell r="D360" t="str">
            <v>Centre d'études et de recherche en histoire culturelle</v>
          </cell>
        </row>
        <row r="361">
          <cell r="A361" t="str">
            <v>UNIVERSITE_DE_REIMS_CHAMPAGNE_ARDENNES_URCA</v>
          </cell>
          <cell r="D361" t="str">
            <v>Centre d'études juridiques sur l'efficacité des systèmes continentaux</v>
          </cell>
        </row>
        <row r="362">
          <cell r="A362" t="str">
            <v>UNIVERSITE_DE_REIMS_CHAMPAGNE_ARDENNES_URCA</v>
          </cell>
          <cell r="D362" t="str">
            <v>Centre interdisciplinaire de recherches sur les langues et la pensée</v>
          </cell>
        </row>
        <row r="363">
          <cell r="A363" t="str">
            <v>UNIVERSITE_DE_REIMS_CHAMPAGNE_ARDENNES_URCA</v>
          </cell>
          <cell r="D363" t="str">
            <v>Cognition, santé, société</v>
          </cell>
        </row>
        <row r="364">
          <cell r="A364" t="str">
            <v>UNIVERSITE_DE_REIMS_CHAMPAGNE_ARDENNES_URCA</v>
          </cell>
          <cell r="D364" t="str">
            <v>Épidémiosurveillance et circulation des parasites dans les environnements</v>
          </cell>
        </row>
        <row r="365">
          <cell r="A365" t="str">
            <v>UNIVERSITE_DE_REIMS_CHAMPAGNE_ARDENNES_URCA</v>
          </cell>
          <cell r="D365" t="str">
            <v>Fractionnement des agro-ressources et environnement</v>
          </cell>
        </row>
        <row r="366">
          <cell r="A366" t="str">
            <v>UNIVERSITE_DE_REIMS_CHAMPAGNE_ARDENNES_URCA</v>
          </cell>
          <cell r="D366" t="str">
            <v>Groupe de recherche en sciences pour l'ingénieur</v>
          </cell>
        </row>
        <row r="367">
          <cell r="A367" t="str">
            <v>UNIVERSITE_DE_REIMS_CHAMPAGNE_ARDENNES_URCA</v>
          </cell>
          <cell r="D367" t="str">
            <v>Groupe de spectroscopie moléculaire et atmosphérique</v>
          </cell>
        </row>
        <row r="368">
          <cell r="A368" t="str">
            <v>UNIVERSITE_DE_REIMS_CHAMPAGNE_ARDENNES_URCA</v>
          </cell>
          <cell r="D368" t="str">
            <v xml:space="preserve">Groupe d'étude des géomatériaux et environnements naturels, anthropiques et archéologiques </v>
          </cell>
        </row>
        <row r="369">
          <cell r="A369" t="str">
            <v>UNIVERSITE_DE_REIMS_CHAMPAGNE_ARDENNES_URCA</v>
          </cell>
          <cell r="D369" t="str">
            <v>Habiter</v>
          </cell>
        </row>
        <row r="370">
          <cell r="A370" t="str">
            <v>UNIVERSITE_DE_REIMS_CHAMPAGNE_ARDENNES_URCA</v>
          </cell>
          <cell r="D370" t="str">
            <v>Hémostase et remodelage vasculaire post-ischémie</v>
          </cell>
        </row>
        <row r="371">
          <cell r="A371" t="str">
            <v>UNIVERSITE_DE_REIMS_CHAMPAGNE_ARDENNES_URCA</v>
          </cell>
          <cell r="D371" t="str">
            <v>Immuno-régulation des maladies auto-immunes inflammatoires et cancer</v>
          </cell>
        </row>
        <row r="372">
          <cell r="A372" t="str">
            <v>UNIVERSITE_DE_REIMS_CHAMPAGNE_ARDENNES_URCA</v>
          </cell>
          <cell r="D372" t="str">
            <v>Infections cardiovasculaires virales et inflammation en pathologie humaine</v>
          </cell>
        </row>
        <row r="373">
          <cell r="A373" t="str">
            <v>UNIVERSITE_DE_REIMS_CHAMPAGNE_ARDENNES_URCA</v>
          </cell>
          <cell r="D373" t="str">
            <v>Institut de chimie moléculaire de reims</v>
          </cell>
        </row>
        <row r="374">
          <cell r="A374" t="str">
            <v>UNIVERSITE_DE_REIMS_CHAMPAGNE_ARDENNES_URCA</v>
          </cell>
          <cell r="D374" t="str">
            <v>Institut de thermique, mécanique, matériaux</v>
          </cell>
        </row>
        <row r="375">
          <cell r="A375" t="str">
            <v>UNIVERSITE_DE_REIMS_CHAMPAGNE_ARDENNES_URCA</v>
          </cell>
          <cell r="D375" t="str">
            <v>Laboratoire de mathématiques de reims</v>
          </cell>
        </row>
        <row r="376">
          <cell r="A376" t="str">
            <v>UNIVERSITE_DE_REIMS_CHAMPAGNE_ARDENNES_URCA</v>
          </cell>
          <cell r="D376" t="str">
            <v>Laboratoire de recherche en nanosciences</v>
          </cell>
        </row>
        <row r="377">
          <cell r="A377" t="str">
            <v>UNIVERSITE_DE_REIMS_CHAMPAGNE_ARDENNES_URCA</v>
          </cell>
          <cell r="D377" t="str">
            <v>Laboratoire d'informatique en calcul intensif et image pour la simulation</v>
          </cell>
        </row>
        <row r="378">
          <cell r="A378" t="str">
            <v>UNIVERSITE_DE_REIMS_CHAMPAGNE_ARDENNES_URCA</v>
          </cell>
          <cell r="D378" t="str">
            <v>Laboratoire d'ingénierie et sciences des matériaux</v>
          </cell>
        </row>
        <row r="379">
          <cell r="A379" t="str">
            <v>UNIVERSITE_DE_REIMS_CHAMPAGNE_ARDENNES_URCA</v>
          </cell>
          <cell r="D379" t="str">
            <v>Matériaux et ingénierie mécanique </v>
          </cell>
        </row>
        <row r="380">
          <cell r="A380" t="str">
            <v>UNIVERSITE_DE_REIMS_CHAMPAGNE_ARDENNES_URCA</v>
          </cell>
          <cell r="D380" t="str">
            <v xml:space="preserve">Matrice extracellulaire et dynamique cellulaire </v>
          </cell>
        </row>
        <row r="381">
          <cell r="A381" t="str">
            <v>UNIVERSITE_DE_REIMS_CHAMPAGNE_ARDENNES_URCA</v>
          </cell>
          <cell r="D381" t="str">
            <v>Pathologies pulmonaires et plasticité cellulaire</v>
          </cell>
        </row>
        <row r="382">
          <cell r="A382" t="str">
            <v>UNIVERSITE_DE_REIMS_CHAMPAGNE_ARDENNES_URCA</v>
          </cell>
          <cell r="D382" t="str">
            <v>Performance, santé, métrologie, société</v>
          </cell>
        </row>
        <row r="383">
          <cell r="A383" t="str">
            <v>UNIVERSITE_DE_REIMS_CHAMPAGNE_ARDENNES_URCA</v>
          </cell>
          <cell r="D383" t="str">
            <v>recherches en économie gestion agroressources
durabilité santé</v>
          </cell>
        </row>
        <row r="384">
          <cell r="A384" t="str">
            <v>UNIVERSITE_DE_REIMS_CHAMPAGNE_ARDENNES_URCA</v>
          </cell>
          <cell r="D384" t="str">
            <v>Résistance induite et bio-protection des plantes</v>
          </cell>
        </row>
        <row r="385">
          <cell r="A385" t="str">
            <v>UNIVERSITE_DE_REIMS_CHAMPAGNE_ARDENNES_URCA</v>
          </cell>
          <cell r="D385" t="str">
            <v>Stress environnementaux et biosurveillance des milieux aquatiques</v>
          </cell>
        </row>
        <row r="386">
          <cell r="A386" t="str">
            <v>UNIVERSITE_DE_REIMS_CHAMPAGNE_ARDENNES_URCA</v>
          </cell>
          <cell r="D386" t="str">
            <v>Vieillissement, fragilité</v>
          </cell>
        </row>
        <row r="387">
          <cell r="A387" t="str">
            <v>UNIVERSITE_DE_STRASBOURG_UNISTRA</v>
          </cell>
          <cell r="D387" t="str">
            <v>Approches contemporaines de la création et de la réflexion artistique</v>
          </cell>
        </row>
        <row r="388">
          <cell r="A388" t="str">
            <v>UNIVERSITE_DE_STRASBOURG_UNISTRA</v>
          </cell>
          <cell r="D388" t="str">
            <v>Archéologie et histoire ancienne : méditerranée - Europe</v>
          </cell>
        </row>
        <row r="389">
          <cell r="A389" t="str">
            <v>UNIVERSITE_DE_STRASBOURG_UNISTRA</v>
          </cell>
          <cell r="D389" t="str">
            <v>Architecture et réactivité de l'ARN</v>
          </cell>
        </row>
        <row r="390">
          <cell r="A390" t="str">
            <v>UNIVERSITE_DE_STRASBOURG_UNISTRA</v>
          </cell>
          <cell r="D390" t="str">
            <v>Arts, civilisation et histoire de l'Europe</v>
          </cell>
        </row>
        <row r="391">
          <cell r="A391" t="str">
            <v>UNIVERSITE_DE_STRASBOURG_UNISTRA</v>
          </cell>
          <cell r="D391" t="str">
            <v>Biologie et pharmacologie des plaquettes sanguines : hémostases, thrombose, transfusion</v>
          </cell>
        </row>
        <row r="392">
          <cell r="A392" t="str">
            <v>UNIVERSITE_DE_STRASBOURG_UNISTRA</v>
          </cell>
          <cell r="D392" t="str">
            <v>Biomatériaux et bioingéniérie</v>
          </cell>
        </row>
        <row r="393">
          <cell r="A393" t="str">
            <v>UNIVERSITE_DE_STRASBOURG_UNISTRA</v>
          </cell>
          <cell r="D393" t="str">
            <v>Biopathologie de la myéline, neuroprotection et stratégies thérapeutiques</v>
          </cell>
        </row>
        <row r="394">
          <cell r="A394" t="str">
            <v>UNIVERSITE_DE_STRASBOURG_UNISTRA</v>
          </cell>
          <cell r="D394" t="str">
            <v>Biotechnologie et signalisation cellulaire : intégrité du génome, biologie tumorale, récepteurs, outils thérapeutiques</v>
          </cell>
        </row>
        <row r="395">
          <cell r="A395" t="str">
            <v>UNIVERSITE_DE_STRASBOURG_UNISTRA</v>
          </cell>
          <cell r="D395" t="str">
            <v>Bureau d'économie théorique et appliquée</v>
          </cell>
        </row>
        <row r="396">
          <cell r="A396" t="str">
            <v>UNIVERSITE_DE_STRASBOURG_UNISTRA</v>
          </cell>
          <cell r="D396" t="str">
            <v>Centre d'analyse des rhétoriques religieuses de l'Antiquité</v>
          </cell>
        </row>
        <row r="397">
          <cell r="A397" t="str">
            <v>UNIVERSITE_DE_STRASBOURG_UNISTRA</v>
          </cell>
          <cell r="D397" t="str">
            <v>Centre de droit privé fondamental</v>
          </cell>
        </row>
        <row r="398">
          <cell r="A398" t="str">
            <v>UNIVERSITE_DE_STRASBOURG_UNISTRA</v>
          </cell>
          <cell r="D398" t="str">
            <v>Centre de recherche en biomédecine de Strasbourg</v>
          </cell>
        </row>
        <row r="399">
          <cell r="A399" t="str">
            <v>UNIVERSITE_DE_STRASBOURG_UNISTRA</v>
          </cell>
          <cell r="D399" t="str">
            <v>Centre de recherches en philosophie allemande et contemporaine : histoire, problématiques, enjeux</v>
          </cell>
        </row>
        <row r="400">
          <cell r="A400" t="str">
            <v>UNIVERSITE_DE_STRASBOURG_UNISTRA</v>
          </cell>
          <cell r="D400" t="str">
            <v>Centre d'études internationales et européennes</v>
          </cell>
        </row>
        <row r="401">
          <cell r="A401" t="str">
            <v>UNIVERSITE_DE_STRASBOURG_UNISTRA</v>
          </cell>
          <cell r="D401" t="str">
            <v>Chimie de la matière complexe</v>
          </cell>
        </row>
        <row r="402">
          <cell r="A402" t="str">
            <v>UNIVERSITE_DE_STRASBOURG_UNISTRA</v>
          </cell>
          <cell r="D402" t="str">
            <v>Chronobiotron</v>
          </cell>
        </row>
        <row r="403">
          <cell r="A403" t="str">
            <v>UNIVERSITE_DE_STRASBOURG_UNISTRA</v>
          </cell>
          <cell r="D403" t="str">
            <v>Configurations littéraires</v>
          </cell>
        </row>
        <row r="404">
          <cell r="A404" t="str">
            <v>UNIVERSITE_DE_STRASBOURG_UNISTRA</v>
          </cell>
          <cell r="D404" t="str">
            <v>Culture et histoire dans l'espace roman</v>
          </cell>
        </row>
        <row r="405">
          <cell r="A405" t="str">
            <v>UNIVERSITE_DE_STRASBOURG_UNISTRA</v>
          </cell>
          <cell r="D405" t="str">
            <v>Diabète et thérapie cellulaire</v>
          </cell>
        </row>
        <row r="406">
          <cell r="A406" t="str">
            <v>UNIVERSITE_DE_STRASBOURG_UNISTRA</v>
          </cell>
          <cell r="D406" t="str">
            <v>Droit, religion, entreprise et société</v>
          </cell>
        </row>
        <row r="407">
          <cell r="A407" t="str">
            <v>UNIVERSITE_DE_STRASBOURG_UNISTRA</v>
          </cell>
          <cell r="D407" t="str">
            <v>Dynamique des interactions hôte pathogène</v>
          </cell>
        </row>
        <row r="408">
          <cell r="A408" t="str">
            <v>UNIVERSITE_DE_STRASBOURG_UNISTRA</v>
          </cell>
          <cell r="D408" t="str">
            <v>Dynamiques européennes</v>
          </cell>
        </row>
        <row r="409">
          <cell r="A409" t="str">
            <v>UNIVERSITE_DE_STRASBOURG_UNISTRA</v>
          </cell>
          <cell r="D409" t="str">
            <v>École et observatoire des sciences de la terre</v>
          </cell>
        </row>
        <row r="410">
          <cell r="A410" t="str">
            <v>UNIVERSITE_DE_STRASBOURG_UNISTRA</v>
          </cell>
          <cell r="D410" t="str">
            <v>Études germaniques : mémoires et frontières</v>
          </cell>
        </row>
        <row r="411">
          <cell r="A411" t="str">
            <v>UNIVERSITE_DE_STRASBOURG_UNISTRA</v>
          </cell>
          <cell r="D411" t="str">
            <v>Fédération de chimie Le Bel</v>
          </cell>
        </row>
        <row r="412">
          <cell r="A412" t="str">
            <v>UNIVERSITE_DE_STRASBOURG_UNISTRA</v>
          </cell>
          <cell r="D412" t="str">
            <v>Génétique moléculaire, génomique, microbiologie</v>
          </cell>
        </row>
        <row r="413">
          <cell r="A413" t="str">
            <v>UNIVERSITE_DE_STRASBOURG_UNISTRA</v>
          </cell>
          <cell r="D413" t="str">
            <v>Groupe d'études orientales, slaves et néo-helléniques</v>
          </cell>
        </row>
        <row r="414">
          <cell r="A414" t="str">
            <v>UNIVERSITE_DE_STRASBOURG_UNISTRA</v>
          </cell>
          <cell r="D414" t="str">
            <v>Hommes et management en société</v>
          </cell>
        </row>
        <row r="415">
          <cell r="A415" t="str">
            <v>UNIVERSITE_DE_STRASBOURG_UNISTRA</v>
          </cell>
          <cell r="D415" t="str">
            <v>Immunologie, immunopathologie et chimie thérapeutique</v>
          </cell>
        </row>
        <row r="416">
          <cell r="A416" t="str">
            <v>UNIVERSITE_DE_STRASBOURG_UNISTRA</v>
          </cell>
          <cell r="D416" t="str">
            <v>Immunorhumatologie moléculaire</v>
          </cell>
        </row>
        <row r="417">
          <cell r="A417" t="str">
            <v>UNIVERSITE_DE_STRASBOURG_UNISTRA</v>
          </cell>
          <cell r="D417" t="str">
            <v>Institut Charles Sadron</v>
          </cell>
        </row>
        <row r="418">
          <cell r="A418" t="str">
            <v>UNIVERSITE_DE_STRASBOURG_UNISTRA</v>
          </cell>
          <cell r="D418" t="str">
            <v>Institut de biologie moléculaire des plantes</v>
          </cell>
        </row>
        <row r="419">
          <cell r="A419" t="str">
            <v>UNIVERSITE_DE_STRASBOURG_UNISTRA</v>
          </cell>
          <cell r="D419" t="str">
            <v>Institut de biologie moléculaire et cellulaire</v>
          </cell>
        </row>
        <row r="420">
          <cell r="A420" t="str">
            <v>UNIVERSITE_DE_STRASBOURG_UNISTRA</v>
          </cell>
          <cell r="D420" t="str">
            <v>Institut de chimie de Strasbourg</v>
          </cell>
        </row>
        <row r="421">
          <cell r="A421" t="str">
            <v>UNIVERSITE_DE_STRASBOURG_UNISTRA</v>
          </cell>
          <cell r="D421" t="str">
            <v>Institut de chimie et procédés pour l'énergie, l'environnement et la santé</v>
          </cell>
        </row>
        <row r="422">
          <cell r="A422" t="str">
            <v>UNIVERSITE_DE_STRASBOURG_UNISTRA</v>
          </cell>
          <cell r="D422" t="str">
            <v>Institut de génétique et de biologie moléculaire et cellulaire</v>
          </cell>
        </row>
        <row r="423">
          <cell r="A423" t="str">
            <v>UNIVERSITE_DE_STRASBOURG_UNISTRA</v>
          </cell>
          <cell r="D423" t="str">
            <v>Institut de physique du globe de Strasbourg</v>
          </cell>
        </row>
        <row r="424">
          <cell r="A424" t="str">
            <v>UNIVERSITE_DE_STRASBOURG_UNISTRA</v>
          </cell>
          <cell r="D424" t="str">
            <v>Institut de physique et chimie des matériaux de Strasbourg</v>
          </cell>
        </row>
        <row r="425">
          <cell r="A425" t="str">
            <v>UNIVERSITE_DE_STRASBOURG_UNISTRA</v>
          </cell>
          <cell r="D425" t="str">
            <v>Institut de recherche mathématique avancée</v>
          </cell>
        </row>
        <row r="426">
          <cell r="A426" t="str">
            <v>UNIVERSITE_DE_STRASBOURG_UNISTRA</v>
          </cell>
          <cell r="D426" t="str">
            <v>Institut de recherche sur la maladies virales et hépatiques</v>
          </cell>
        </row>
        <row r="427">
          <cell r="A427" t="str">
            <v>UNIVERSITE_DE_STRASBOURG_UNISTRA</v>
          </cell>
          <cell r="D427" t="str">
            <v>Institut de recherches Carré de Malberg</v>
          </cell>
        </row>
        <row r="428">
          <cell r="A428" t="str">
            <v>UNIVERSITE_DE_STRASBOURG_UNISTRA</v>
          </cell>
          <cell r="D428" t="str">
            <v>Institut de science et d'ingénierie supramoléculaires</v>
          </cell>
        </row>
        <row r="429">
          <cell r="A429" t="str">
            <v>UNIVERSITE_DE_STRASBOURG_UNISTRA</v>
          </cell>
          <cell r="D429" t="str">
            <v>Institut des neurosciences cellulaires et intégratives</v>
          </cell>
        </row>
        <row r="430">
          <cell r="A430" t="str">
            <v>UNIVERSITE_DE_STRASBOURG_UNISTRA</v>
          </cell>
          <cell r="D430" t="str">
            <v>Institut pluridisciplinaire Hubert Curien</v>
          </cell>
        </row>
        <row r="431">
          <cell r="A431" t="str">
            <v>UNIVERSITE_DE_STRASBOURG_UNISTRA</v>
          </cell>
          <cell r="D431" t="str">
            <v>Institut terre environnement de Strasbourg</v>
          </cell>
        </row>
        <row r="432">
          <cell r="A432" t="str">
            <v>UNIVERSITE_DE_STRASBOURG_UNISTRA</v>
          </cell>
          <cell r="D432" t="str">
            <v>Interface recherche fondamentale et appliquée en cancérologie</v>
          </cell>
        </row>
        <row r="433">
          <cell r="A433" t="str">
            <v>UNIVERSITE_DE_STRASBOURG_UNISTRA</v>
          </cell>
          <cell r="D433" t="str">
            <v>Laboratoire de biophotonique et pharmacologie</v>
          </cell>
        </row>
        <row r="434">
          <cell r="A434" t="str">
            <v>UNIVERSITE_DE_STRASBOURG_UNISTRA</v>
          </cell>
          <cell r="D434" t="str">
            <v>Laboratoire de conception et application de molécules bioactives</v>
          </cell>
        </row>
        <row r="435">
          <cell r="A435" t="str">
            <v>UNIVERSITE_DE_STRASBOURG_UNISTRA</v>
          </cell>
          <cell r="D435" t="str">
            <v>Laboratoire de génétique médicale</v>
          </cell>
        </row>
        <row r="436">
          <cell r="A436" t="str">
            <v>UNIVERSITE_DE_STRASBOURG_UNISTRA</v>
          </cell>
          <cell r="D436" t="str">
            <v>Laboratoire de neurosciences cognitives et adaptatives</v>
          </cell>
        </row>
        <row r="437">
          <cell r="A437" t="str">
            <v>UNIVERSITE_DE_STRASBOURG_UNISTRA</v>
          </cell>
          <cell r="D437" t="str">
            <v xml:space="preserve">Laboratoire de pharmacologie et toxicologie neurocardiovasculaire </v>
          </cell>
        </row>
        <row r="438">
          <cell r="A438" t="str">
            <v>UNIVERSITE_DE_STRASBOURG_UNISTRA</v>
          </cell>
          <cell r="D438" t="str">
            <v>Laboratoire de psychologie des cognitions</v>
          </cell>
        </row>
        <row r="439">
          <cell r="A439" t="str">
            <v>UNIVERSITE_DE_STRASBOURG_UNISTRA</v>
          </cell>
          <cell r="D439" t="str">
            <v>Laboratoire de recherche du CEIPI - centre d'études internationales de la propriété intellectuelle</v>
          </cell>
        </row>
        <row r="440">
          <cell r="A440" t="str">
            <v>UNIVERSITE_DE_STRASBOURG_UNISTRA</v>
          </cell>
          <cell r="D440" t="str">
            <v>Laboratoire de recherche en gestion et économie</v>
          </cell>
        </row>
        <row r="441">
          <cell r="A441" t="str">
            <v>UNIVERSITE_DE_STRASBOURG_UNISTRA</v>
          </cell>
          <cell r="D441" t="str">
            <v>Laboratoire des sciences de l'ingénieur, de l'informatique et de l'imagerie</v>
          </cell>
        </row>
        <row r="442">
          <cell r="A442" t="str">
            <v>UNIVERSITE_DE_STRASBOURG_UNISTRA</v>
          </cell>
          <cell r="D442" t="str">
            <v>Laboratoire d'hydrologie et de géochimie de Strasbourg</v>
          </cell>
        </row>
        <row r="443">
          <cell r="A443" t="str">
            <v>UNIVERSITE_DE_STRASBOURG_UNISTRA</v>
          </cell>
          <cell r="D443" t="str">
            <v>Laboratoire d'innovation moléculaire et applications</v>
          </cell>
        </row>
        <row r="444">
          <cell r="A444" t="str">
            <v>UNIVERSITE_DE_STRASBOURG_UNISTRA</v>
          </cell>
          <cell r="D444" t="str">
            <v>Laboratoire d'innovation thérapeutique</v>
          </cell>
        </row>
        <row r="445">
          <cell r="A445" t="str">
            <v>UNIVERSITE_DE_STRASBOURG_UNISTRA</v>
          </cell>
          <cell r="D445" t="str">
            <v>Laboratoire image, ville et environnement</v>
          </cell>
        </row>
        <row r="446">
          <cell r="A446" t="str">
            <v>UNIVERSITE_DE_STRASBOURG_UNISTRA</v>
          </cell>
          <cell r="D446" t="str">
            <v>Laboratoire interuniversitaire des sciences de l'éducation et de la communication</v>
          </cell>
        </row>
        <row r="447">
          <cell r="A447" t="str">
            <v>UNIVERSITE_DE_STRASBOURG_UNISTRA</v>
          </cell>
          <cell r="D447" t="str">
            <v>L'Europe en mutation : histoire, droit, économie et identités culturelles</v>
          </cell>
        </row>
        <row r="448">
          <cell r="A448" t="str">
            <v>UNIVERSITE_DE_STRASBOURG_UNISTRA</v>
          </cell>
          <cell r="D448" t="str">
            <v>Linguistique, langues, parole</v>
          </cell>
        </row>
        <row r="449">
          <cell r="A449" t="str">
            <v>UNIVERSITE_DE_STRASBOURG_UNISTRA</v>
          </cell>
          <cell r="D449" t="str">
            <v>Maison interuniversitaire des sciences de l'homme-Alsace</v>
          </cell>
        </row>
        <row r="450">
          <cell r="A450" t="str">
            <v>UNIVERSITE_DE_STRASBOURG_UNISTRA</v>
          </cell>
          <cell r="D450" t="str">
            <v>Matériaux et nanosciences Grand-Est</v>
          </cell>
        </row>
        <row r="451">
          <cell r="A451" t="str">
            <v>UNIVERSITE_DE_STRASBOURG_UNISTRA</v>
          </cell>
          <cell r="D451" t="str">
            <v>Mécanismes centraux et périphériques de la neurodégénérescence</v>
          </cell>
        </row>
        <row r="452">
          <cell r="A452" t="str">
            <v>UNIVERSITE_DE_STRASBOURG_UNISTRA</v>
          </cell>
          <cell r="D452" t="str">
            <v>Mitochondrie, stress oxydant et protection musculaire</v>
          </cell>
        </row>
        <row r="453">
          <cell r="A453" t="str">
            <v>UNIVERSITE_DE_STRASBOURG_UNISTRA</v>
          </cell>
          <cell r="D453" t="str">
            <v>Modèles insectes d'immunité innée</v>
          </cell>
        </row>
        <row r="454">
          <cell r="A454" t="str">
            <v>UNIVERSITE_DE_STRASBOURG_UNISTRA</v>
          </cell>
          <cell r="D454" t="str">
            <v>Nanomatériaux pour systèmes sous sollicitations extrêmes</v>
          </cell>
        </row>
        <row r="455">
          <cell r="A455" t="str">
            <v>UNIVERSITE_DE_STRASBOURG_UNISTRA</v>
          </cell>
          <cell r="D455" t="str">
            <v>Nanomédecine régénérative</v>
          </cell>
        </row>
        <row r="456">
          <cell r="A456" t="str">
            <v>UNIVERSITE_DE_STRASBOURG_UNISTRA</v>
          </cell>
          <cell r="D456" t="str">
            <v>Neuropsychologie cognitive et physiopathologie de la schizophrénie</v>
          </cell>
        </row>
        <row r="457">
          <cell r="A457" t="str">
            <v>UNIVERSITE_DE_STRASBOURG_UNISTRA</v>
          </cell>
          <cell r="D457" t="str">
            <v>Observatoire astronomique</v>
          </cell>
        </row>
        <row r="458">
          <cell r="A458" t="str">
            <v>UNIVERSITE_DE_STRASBOURG_UNISTRA</v>
          </cell>
          <cell r="D458" t="str">
            <v>Plateforme de chimie biologique intégrative de Strasbourg</v>
          </cell>
        </row>
        <row r="459">
          <cell r="A459" t="str">
            <v>UNIVERSITE_DE_STRASBOURG_UNISTRA</v>
          </cell>
          <cell r="D459" t="str">
            <v>Pôle des neurosciences de Strasbourg</v>
          </cell>
        </row>
        <row r="460">
          <cell r="A460" t="str">
            <v>UNIVERSITE_DE_STRASBOURG_UNISTRA</v>
          </cell>
          <cell r="D460" t="str">
            <v>Savoirs dans l'espace anglophone : représentations, cultures, histoire</v>
          </cell>
        </row>
        <row r="461">
          <cell r="A461" t="str">
            <v>UNIVERSITE_DE_STRASBOURG_UNISTRA</v>
          </cell>
          <cell r="D461" t="str">
            <v>Sociétés, acteurs, gouvernements en Europe</v>
          </cell>
        </row>
        <row r="462">
          <cell r="A462" t="str">
            <v>UNIVERSITE_DE_STRASBOURG_UNISTRA</v>
          </cell>
          <cell r="D462" t="str">
            <v>Sport et sciences sociales</v>
          </cell>
        </row>
        <row r="463">
          <cell r="A463" t="str">
            <v>UNIVERSITE_DE_STRASBOURG_UNISTRA</v>
          </cell>
          <cell r="D463" t="str">
            <v>Subjectivité, lien social et modernité</v>
          </cell>
        </row>
        <row r="464">
          <cell r="A464" t="str">
            <v>UNIVERSITE_DE_STRASBOURG_UNISTRA</v>
          </cell>
          <cell r="D464" t="str">
            <v>Théologie catholique et sciences religieuses</v>
          </cell>
        </row>
        <row r="465">
          <cell r="A465" t="str">
            <v>UNIVERSITE_DE_STRASBOURG_UNISTRA</v>
          </cell>
          <cell r="D465" t="str">
            <v>Théologie protestante</v>
          </cell>
        </row>
        <row r="466">
          <cell r="A466" t="str">
            <v>UNIVERSITE_DE_STRASBOURG_UNISTRA</v>
          </cell>
          <cell r="D466" t="str">
            <v>Virulence bactérienne précoce : fonctions cellulaires et contrôle de l'infection aigüe et subaigüe</v>
          </cell>
        </row>
        <row r="467">
          <cell r="A467" t="str">
            <v>UNIVERSITE_DE_TOULON</v>
          </cell>
          <cell r="D467" t="str">
            <v>Centre d'études et de recherche sur les contentieux</v>
          </cell>
        </row>
        <row r="468">
          <cell r="A468" t="str">
            <v>UNIVERSITE_DE_TOULON</v>
          </cell>
          <cell r="D468" t="str">
            <v>Impact de l'activité physique sur la santé</v>
          </cell>
        </row>
        <row r="469">
          <cell r="A469" t="str">
            <v>UNIVERSITE_DE_TOULON</v>
          </cell>
          <cell r="D469" t="str">
            <v>Institut des mathématiques de Toulon</v>
          </cell>
        </row>
        <row r="470">
          <cell r="A470" t="str">
            <v>UNIVERSITE_DE_TOULON</v>
          </cell>
          <cell r="D470" t="str">
            <v>Institut méditerranéen des sciences de l'information et de la communication</v>
          </cell>
        </row>
        <row r="471">
          <cell r="A471" t="str">
            <v>UNIVERSITE_DE_TOULON</v>
          </cell>
          <cell r="D471" t="str">
            <v>Laboratoire Babel</v>
          </cell>
        </row>
        <row r="472">
          <cell r="A472" t="str">
            <v>UNIVERSITE_DE_TOULON</v>
          </cell>
          <cell r="D472" t="str">
            <v>Laboratoire conception de systèmes mécaniques et robotiques</v>
          </cell>
        </row>
        <row r="473">
          <cell r="A473" t="str">
            <v>UNIVERSITE_DE_TOULON</v>
          </cell>
          <cell r="D473" t="str">
            <v>Laboratoire d'économie appliquée au développement</v>
          </cell>
        </row>
        <row r="474">
          <cell r="A474" t="str">
            <v>UNIVERSITE_DE_TOULON</v>
          </cell>
          <cell r="D474" t="str">
            <v>Matériaux polymères interfaces environnements marins</v>
          </cell>
        </row>
        <row r="475">
          <cell r="A475" t="str">
            <v>UNIVERSITE_FRANCOIS_RABELAIS_DE_TOURS</v>
          </cell>
          <cell r="D475" t="str">
            <v>Biomolécules et biotechnologies végétales</v>
          </cell>
        </row>
        <row r="476">
          <cell r="A476" t="str">
            <v>UNIVERSITE_FRANCOIS_RABELAIS_DE_TOURS</v>
          </cell>
          <cell r="D476" t="str">
            <v>Centre d'études des pathologies respiratoires</v>
          </cell>
        </row>
        <row r="477">
          <cell r="A477" t="str">
            <v>UNIVERSITE_FRANCOIS_RABELAIS_DE_TOURS</v>
          </cell>
          <cell r="D477" t="str">
            <v>Centre d'études supérieures de la Renaissance</v>
          </cell>
        </row>
        <row r="478">
          <cell r="A478" t="str">
            <v>UNIVERSITE_FRANCOIS_RABELAIS_DE_TOURS</v>
          </cell>
          <cell r="D478" t="str">
            <v>Centre Tourangeau d'histoire et étude des sources</v>
          </cell>
        </row>
        <row r="479">
          <cell r="A479" t="str">
            <v>UNIVERSITE_FRANCOIS_RABELAIS_DE_TOURS</v>
          </cell>
          <cell r="D479" t="str">
            <v>Cités, territoires, environnement et sociétés</v>
          </cell>
        </row>
        <row r="480">
          <cell r="A480" t="str">
            <v>UNIVERSITE_FRANCOIS_RABELAIS_DE_TOURS</v>
          </cell>
          <cell r="D480" t="str">
            <v>Dynamiques et enjeux de la diversité linguistique et culturelle</v>
          </cell>
        </row>
        <row r="481">
          <cell r="A481" t="str">
            <v>UNIVERSITE_FRANCOIS_RABELAIS_DE_TOURS</v>
          </cell>
          <cell r="D481" t="str">
            <v>Éducation, éthique, santé</v>
          </cell>
        </row>
        <row r="482">
          <cell r="A482" t="str">
            <v>UNIVERSITE_FRANCOIS_RABELAIS_DE_TOURS</v>
          </cell>
          <cell r="D482" t="str">
            <v>Fédération de recherche en infectiologie</v>
          </cell>
        </row>
        <row r="483">
          <cell r="A483" t="str">
            <v>UNIVERSITE_FRANCOIS_RABELAIS_DE_TOURS</v>
          </cell>
          <cell r="D483" t="str">
            <v>Fédération des études supérieures du Moyen-Age et de la Renaissance</v>
          </cell>
        </row>
        <row r="484">
          <cell r="A484" t="str">
            <v>UNIVERSITE_FRANCOIS_RABELAIS_DE_TOURS</v>
          </cell>
          <cell r="D484" t="str">
            <v>Génétique, immunothérapie, chimie et cancer</v>
          </cell>
        </row>
        <row r="485">
          <cell r="A485" t="str">
            <v>UNIVERSITE_FRANCOIS_RABELAIS_DE_TOURS</v>
          </cell>
          <cell r="D485" t="str">
            <v>Géo-hydrosystèmes continentaux</v>
          </cell>
        </row>
        <row r="486">
          <cell r="A486" t="str">
            <v>UNIVERSITE_FRANCOIS_RABELAIS_DE_TOURS</v>
          </cell>
          <cell r="D486" t="str">
            <v>Imagerie et cerveau</v>
          </cell>
        </row>
        <row r="487">
          <cell r="A487" t="str">
            <v>UNIVERSITE_FRANCOIS_RABELAIS_DE_TOURS</v>
          </cell>
          <cell r="D487" t="str">
            <v xml:space="preserve">Institut de recherche juridique interdisciplinaire François-Rabelais </v>
          </cell>
        </row>
        <row r="488">
          <cell r="A488" t="str">
            <v>UNIVERSITE_FRANCOIS_RABELAIS_DE_TOURS</v>
          </cell>
          <cell r="D488" t="str">
            <v>Institut de recherche sur la biologie de l'insecte</v>
          </cell>
        </row>
        <row r="489">
          <cell r="A489" t="str">
            <v>UNIVERSITE_FRANCOIS_RABELAIS_DE_TOURS</v>
          </cell>
          <cell r="D489" t="str">
            <v>Interactions culturelles et discursives</v>
          </cell>
        </row>
        <row r="490">
          <cell r="A490" t="str">
            <v>UNIVERSITE_FRANCOIS_RABELAIS_DE_TOURS</v>
          </cell>
          <cell r="D490" t="str">
            <v>Interactions, transferts, ruptures artistiques et culturels</v>
          </cell>
        </row>
        <row r="491">
          <cell r="A491" t="str">
            <v>UNIVERSITE_FRANCOIS_RABELAIS_DE_TOURS</v>
          </cell>
          <cell r="D491" t="str">
            <v>Laboratoire de mathématiques et physique théorique</v>
          </cell>
        </row>
        <row r="492">
          <cell r="A492" t="str">
            <v>UNIVERSITE_FRANCOIS_RABELAIS_DE_TOURS</v>
          </cell>
          <cell r="D492" t="str">
            <v>Laboratoire d'informatique fondamentale et appliquée de Tours</v>
          </cell>
        </row>
        <row r="493">
          <cell r="A493" t="str">
            <v>UNIVERSITE_FRANCOIS_RABELAIS_DE_TOURS</v>
          </cell>
          <cell r="D493" t="str">
            <v>Maison des sciences de l'homme Val-de-Loire</v>
          </cell>
        </row>
        <row r="494">
          <cell r="A494" t="str">
            <v>UNIVERSITE_FRANCOIS_RABELAIS_DE_TOURS</v>
          </cell>
          <cell r="D494" t="str">
            <v>Matériaux, microélectronique, acoustique, nanotechnologies</v>
          </cell>
        </row>
        <row r="495">
          <cell r="A495" t="str">
            <v>UNIVERSITE_FRANCOIS_RABELAIS_DE_TOURS</v>
          </cell>
          <cell r="D495" t="str">
            <v>Morphogénèse et antigénicité du vih et des virus des hépatites</v>
          </cell>
        </row>
        <row r="496">
          <cell r="A496" t="str">
            <v>UNIVERSITE_FRANCOIS_RABELAIS_DE_TOURS</v>
          </cell>
          <cell r="D496" t="str">
            <v>Nanomédicaments et nanosondes</v>
          </cell>
        </row>
        <row r="497">
          <cell r="A497" t="str">
            <v>UNIVERSITE_FRANCOIS_RABELAIS_DE_TOURS</v>
          </cell>
          <cell r="D497" t="str">
            <v>Neuroimagerie fonctionnelle</v>
          </cell>
        </row>
        <row r="498">
          <cell r="A498" t="str">
            <v>UNIVERSITE_FRANCOIS_RABELAIS_DE_TOURS</v>
          </cell>
          <cell r="D498" t="str">
            <v>Nutrition, croissance et cancer</v>
          </cell>
        </row>
        <row r="499">
          <cell r="A499" t="str">
            <v>UNIVERSITE_FRANCOIS_RABELAIS_DE_TOURS</v>
          </cell>
          <cell r="D499" t="str">
            <v>Physico-chimie des matériaux et des électrolytes pour l'énergie</v>
          </cell>
        </row>
        <row r="500">
          <cell r="A500" t="str">
            <v>UNIVERSITE_FRANCOIS_RABELAIS_DE_TOURS</v>
          </cell>
          <cell r="D500" t="str">
            <v>Pratiques et ressources de l'information et des médiations</v>
          </cell>
        </row>
        <row r="501">
          <cell r="A501" t="str">
            <v>UNIVERSITE_FRANCOIS_RABELAIS_DE_TOURS</v>
          </cell>
          <cell r="D501" t="str">
            <v>Psychologie des âges de la vie et adaptation</v>
          </cell>
        </row>
        <row r="502">
          <cell r="A502" t="str">
            <v>UNIVERSITE_FRANCOIS_RABELAIS_DE_TOURS</v>
          </cell>
          <cell r="D502" t="str">
            <v>Qualité de vie et santé psychologique</v>
          </cell>
        </row>
        <row r="503">
          <cell r="A503" t="str">
            <v>UNIVERSITE_FRANCOIS_RABELAIS_DE_TOURS</v>
          </cell>
          <cell r="D503" t="str">
            <v>Synthèse et isolement de molécules bioactives</v>
          </cell>
        </row>
        <row r="504">
          <cell r="A504" t="str">
            <v>UNIVERSITE_FRANCOIS_RABELAIS_DE_TOURS</v>
          </cell>
          <cell r="D504" t="str">
            <v xml:space="preserve">Transplantation immunologie et inflamation </v>
          </cell>
        </row>
        <row r="505">
          <cell r="A505" t="str">
            <v>UNIVERSITE_FRANCOIS_RABELAIS_DE_TOURS</v>
          </cell>
          <cell r="D505" t="str">
            <v>Val de Loire recherche en management</v>
          </cell>
        </row>
        <row r="506">
          <cell r="A506" t="str">
            <v>UNIVERSITE_TECHNOLOGIQUE_DE_BELFORT_MONTBELIARD_UTBM</v>
          </cell>
          <cell r="D506" t="str">
            <v>Connaissance et inteligence artificielle distribuées</v>
          </cell>
        </row>
        <row r="507">
          <cell r="A507" t="str">
            <v>UNIVERSITE_TECHNOLOGIQUE_DE_BELFORT_MONTBELIARD_UTBM</v>
          </cell>
          <cell r="D507" t="str">
            <v>Fuel cell lab : vers des systèmes pile à combustible efficients</v>
          </cell>
        </row>
        <row r="508">
          <cell r="A508" t="str">
            <v>UNIVERSITE_TECHNOLOGIQUE_DE_BELFORT_MONTBELIARD_UTBM</v>
          </cell>
          <cell r="D508" t="str">
            <v>Institut de recherche sur les transports, l'energie et la société</v>
          </cell>
        </row>
        <row r="509">
          <cell r="A509" t="str">
            <v>UNIVERSITE_TECHNOLOGIQUE_DE_TROYES_UTT</v>
          </cell>
          <cell r="D509" t="str">
            <v>Génération automatique de maillage et méthodes avancées</v>
          </cell>
        </row>
        <row r="510">
          <cell r="A510" t="str">
            <v>UNIVERSITE_TECHNOLOGIQUE_DE_TROYES_UTT</v>
          </cell>
          <cell r="D510" t="str">
            <v>Laboratoire de recherche en nanosciences</v>
          </cell>
        </row>
        <row r="511">
          <cell r="A511" t="str">
            <v>UNIVERSITE_TECHNOLOGIQUE_DE_TROYES_UTT</v>
          </cell>
          <cell r="D511" t="str">
            <v xml:space="preserve">Laboratoire des systèmes mécaniques et d’ingénierie simultanée </v>
          </cell>
        </row>
        <row r="512">
          <cell r="A512" t="str">
            <v>UNIVERSITE_TECHNOLOGIQUE_DE_TROYES_UTT</v>
          </cell>
          <cell r="D512" t="str">
            <v xml:space="preserve">Laboratoire informatique et société numérique </v>
          </cell>
        </row>
        <row r="513">
          <cell r="A513" t="str">
            <v>UNIVERSITE_TECHNOLOGIQUE_DE_TROYES_UTT</v>
          </cell>
          <cell r="D513" t="str">
            <v xml:space="preserve">Lumière, nanomatériaux et nanotechnologies </v>
          </cell>
        </row>
        <row r="514">
          <cell r="A514" t="str">
            <v>UNIVERSITE_TECHNOLOGIQUE_DE_TROYES_UTT</v>
          </cell>
          <cell r="D514" t="str">
            <v>Unité de recherche interdisciplinaire sur les interactions société-technologie-environnement</v>
          </cell>
        </row>
        <row r="515">
          <cell r="A515" t="str">
            <v>CEA</v>
          </cell>
          <cell r="D515" t="str">
            <v xml:space="preserve">Département de technologie nucléaire </v>
          </cell>
        </row>
        <row r="516">
          <cell r="A516" t="str">
            <v>CEA</v>
          </cell>
          <cell r="D516" t="str">
            <v xml:space="preserve">Département d'études des combustibles </v>
          </cell>
        </row>
        <row r="517">
          <cell r="A517" t="str">
            <v>CEA</v>
          </cell>
          <cell r="D517" t="str">
            <v>Département étude des réacteurs</v>
          </cell>
        </row>
        <row r="518">
          <cell r="A518" t="str">
            <v>CEA</v>
          </cell>
          <cell r="D518" t="str">
            <v>Grand accélérateur national d’ions lourds</v>
          </cell>
        </row>
        <row r="519">
          <cell r="A519" t="str">
            <v>CEA</v>
          </cell>
          <cell r="D519" t="str">
            <v>Institut de recherche sur la fusion par confinement magnétique</v>
          </cell>
        </row>
        <row r="520">
          <cell r="A520" t="str">
            <v>CEA</v>
          </cell>
          <cell r="D520" t="str">
            <v>Institut de recherche sur les systèmes nucléaires pour la production d’énergie bas carbone</v>
          </cell>
        </row>
        <row r="521">
          <cell r="A521" t="str">
            <v>IFREMER</v>
          </cell>
          <cell r="D521" t="str">
            <v>Génétique et pathologie des mollusques marins</v>
          </cell>
        </row>
        <row r="522">
          <cell r="A522" t="str">
            <v>INRAE</v>
          </cell>
          <cell r="D522" t="str">
            <v>Abeilles et environnement</v>
          </cell>
        </row>
        <row r="523">
          <cell r="A523" t="str">
            <v>INRAE</v>
          </cell>
          <cell r="D523" t="str">
            <v>Agroécologie</v>
          </cell>
        </row>
        <row r="524">
          <cell r="A524" t="str">
            <v>INRAE</v>
          </cell>
          <cell r="D524" t="str">
            <v>Agro-systèmes territoires ressources Mirecourt</v>
          </cell>
        </row>
        <row r="525">
          <cell r="A525" t="str">
            <v>INRAE</v>
          </cell>
          <cell r="D525" t="str">
            <v>Biogéochimie des ecosystèmes forestiers</v>
          </cell>
        </row>
        <row r="526">
          <cell r="A526" t="str">
            <v>INRAE</v>
          </cell>
          <cell r="D526" t="str">
            <v>Biologie des oiseaux et aviculture</v>
          </cell>
        </row>
        <row r="527">
          <cell r="A527" t="str">
            <v>INRAE</v>
          </cell>
          <cell r="D527" t="str">
            <v>Biologie intégrée pour la valorisation de la diversité des arbres et de la forêt</v>
          </cell>
        </row>
        <row r="528">
          <cell r="A528" t="str">
            <v>INRAE</v>
          </cell>
          <cell r="D528" t="str">
            <v>Biostatistique et processus spatiaux</v>
          </cell>
        </row>
        <row r="529">
          <cell r="A529" t="str">
            <v>INRAE</v>
          </cell>
          <cell r="D529" t="str">
            <v>Écologie des forêts méditerranéennes</v>
          </cell>
        </row>
        <row r="530">
          <cell r="A530" t="str">
            <v>INRAE</v>
          </cell>
          <cell r="D530" t="str">
            <v>Écosystèmes forestiers</v>
          </cell>
        </row>
        <row r="531">
          <cell r="A531" t="str">
            <v>INRAE</v>
          </cell>
          <cell r="D531" t="str">
            <v>Environnement méditerranéen et modélisation des agro-hydrosystèmes</v>
          </cell>
        </row>
        <row r="532">
          <cell r="A532" t="str">
            <v>INRAE</v>
          </cell>
          <cell r="D532" t="str">
            <v>Génétique et amélioration des fruits et légumes</v>
          </cell>
        </row>
        <row r="533">
          <cell r="A533" t="str">
            <v>INRAE</v>
          </cell>
          <cell r="D533" t="str">
            <v>Gestion territoriale de l'eau et de l'environnement</v>
          </cell>
        </row>
        <row r="534">
          <cell r="A534" t="str">
            <v>INRAE</v>
          </cell>
          <cell r="D534" t="str">
            <v>Infectiologie et santé publique</v>
          </cell>
        </row>
        <row r="535">
          <cell r="A535" t="str">
            <v>INRAE</v>
          </cell>
          <cell r="D535" t="str">
            <v>Institut Sophia agrobiotech</v>
          </cell>
        </row>
        <row r="536">
          <cell r="A536" t="str">
            <v>INRAE</v>
          </cell>
          <cell r="D536" t="str">
            <v>Pathologie végétale</v>
          </cell>
        </row>
        <row r="537">
          <cell r="A537" t="str">
            <v>INRAE</v>
          </cell>
          <cell r="D537" t="str">
            <v>Physiologie de la reproduction et des comportements</v>
          </cell>
        </row>
        <row r="538">
          <cell r="A538" t="str">
            <v>INRAE</v>
          </cell>
          <cell r="D538" t="str">
            <v>Plantes et systèmes de culture horticoles</v>
          </cell>
        </row>
        <row r="539">
          <cell r="A539" t="str">
            <v>INRAE</v>
          </cell>
          <cell r="D539" t="str">
            <v>Risques, ecosystèmes, vulnérabilité, environnement, résilience</v>
          </cell>
        </row>
        <row r="540">
          <cell r="A540" t="str">
            <v>INRAE</v>
          </cell>
          <cell r="D540" t="str">
            <v>Santé de la vigne et qualité du vin</v>
          </cell>
        </row>
        <row r="541">
          <cell r="A541" t="str">
            <v>INRAE</v>
          </cell>
          <cell r="D541" t="str">
            <v>Sécurité et qualité des produits d'origine végétale</v>
          </cell>
        </row>
        <row r="542">
          <cell r="A542" t="str">
            <v>INRAE</v>
          </cell>
          <cell r="D542" t="str">
            <v>Unité de recherche écodéveloppement</v>
          </cell>
        </row>
        <row r="543">
          <cell r="A543" t="str">
            <v>INRAE</v>
          </cell>
          <cell r="D543" t="str">
            <v>Unité de recherche technologie et analyses laitières</v>
          </cell>
        </row>
        <row r="544">
          <cell r="A544" t="str">
            <v>INRAE</v>
          </cell>
          <cell r="D544" t="str">
            <v>Unité de recherche zoologie forestière</v>
          </cell>
        </row>
        <row r="545">
          <cell r="A545" t="str">
            <v>INRAE</v>
          </cell>
          <cell r="D545" t="str">
            <v>Unité science du sol</v>
          </cell>
        </row>
        <row r="546">
          <cell r="A546" t="str">
            <v>IRD</v>
          </cell>
          <cell r="D546" t="str">
            <v>Prevention and treatment of HIV infections and virus-associated cancers in South East Asia</v>
          </cell>
        </row>
      </sheetData>
      <sheetData sheetId="2"/>
      <sheetData sheetId="3"/>
      <sheetData sheetId="4"/>
      <sheetData sheetId="5"/>
      <sheetData sheetId="6"/>
      <sheetData sheetId="7"/>
    </sheetDataSet>
  </externalBook>
</externalLink>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8"/>
  <dimension ref="A1:M52"/>
  <sheetViews>
    <sheetView topLeftCell="A10" zoomScaleNormal="100" workbookViewId="0"/>
  </sheetViews>
  <sheetFormatPr baseColWidth="10" defaultColWidth="11.5" defaultRowHeight="15" x14ac:dyDescent="0.2"/>
  <cols>
    <col min="1" max="1" width="11.5" style="305"/>
    <col min="2" max="2" width="3.5" style="305" customWidth="1"/>
    <col min="3" max="3" width="17" style="305" customWidth="1"/>
    <col min="4" max="13" width="11.5" style="305"/>
    <col min="14" max="16384" width="11.5" style="310"/>
  </cols>
  <sheetData>
    <row r="1" spans="1:3" s="305" customFormat="1" x14ac:dyDescent="0.2"/>
    <row r="2" spans="1:3" s="305" customFormat="1" x14ac:dyDescent="0.2">
      <c r="A2" s="304" t="s">
        <v>2824</v>
      </c>
      <c r="B2" s="304" t="s">
        <v>9000</v>
      </c>
    </row>
    <row r="3" spans="1:3" s="305" customFormat="1" x14ac:dyDescent="0.2"/>
    <row r="4" spans="1:3" s="305" customFormat="1" x14ac:dyDescent="0.2"/>
    <row r="5" spans="1:3" s="305" customFormat="1" x14ac:dyDescent="0.2"/>
    <row r="6" spans="1:3" s="305" customFormat="1" x14ac:dyDescent="0.2"/>
    <row r="7" spans="1:3" s="305" customFormat="1" x14ac:dyDescent="0.2"/>
    <row r="8" spans="1:3" s="305" customFormat="1" x14ac:dyDescent="0.2"/>
    <row r="9" spans="1:3" s="305" customFormat="1" ht="18" x14ac:dyDescent="0.2">
      <c r="B9" s="306" t="s">
        <v>9001</v>
      </c>
      <c r="C9" s="306"/>
    </row>
    <row r="10" spans="1:3" s="305" customFormat="1" x14ac:dyDescent="0.2"/>
    <row r="11" spans="1:3" s="305" customFormat="1" ht="16" x14ac:dyDescent="0.2">
      <c r="B11" s="307" t="s">
        <v>9002</v>
      </c>
      <c r="C11" s="307"/>
    </row>
    <row r="12" spans="1:3" s="305" customFormat="1" x14ac:dyDescent="0.2">
      <c r="B12" s="308"/>
      <c r="C12" s="308"/>
    </row>
    <row r="13" spans="1:3" s="305" customFormat="1" ht="8.25" customHeight="1" x14ac:dyDescent="0.2">
      <c r="B13" s="308"/>
      <c r="C13" s="308"/>
    </row>
    <row r="14" spans="1:3" s="305" customFormat="1" x14ac:dyDescent="0.2">
      <c r="B14" s="309" t="s">
        <v>9003</v>
      </c>
      <c r="C14" s="308"/>
    </row>
    <row r="15" spans="1:3" s="305" customFormat="1" x14ac:dyDescent="0.2">
      <c r="B15" s="308"/>
      <c r="C15" s="308" t="s">
        <v>9004</v>
      </c>
    </row>
    <row r="16" spans="1:3" s="305" customFormat="1" x14ac:dyDescent="0.2">
      <c r="B16" s="308"/>
      <c r="C16" s="308"/>
    </row>
    <row r="17" spans="2:3" s="305" customFormat="1" x14ac:dyDescent="0.2">
      <c r="B17" s="309" t="s">
        <v>9020</v>
      </c>
      <c r="C17" s="308"/>
    </row>
    <row r="18" spans="2:3" s="305" customFormat="1" x14ac:dyDescent="0.2">
      <c r="B18" s="309"/>
      <c r="C18" s="308" t="s">
        <v>9019</v>
      </c>
    </row>
    <row r="19" spans="2:3" s="305" customFormat="1" x14ac:dyDescent="0.2">
      <c r="B19" s="308"/>
      <c r="C19" s="308" t="s">
        <v>9022</v>
      </c>
    </row>
    <row r="20" spans="2:3" s="305" customFormat="1" x14ac:dyDescent="0.2">
      <c r="B20" s="308"/>
      <c r="C20" s="308" t="s">
        <v>9021</v>
      </c>
    </row>
    <row r="21" spans="2:3" s="305" customFormat="1" x14ac:dyDescent="0.2">
      <c r="B21" s="308"/>
      <c r="C21" s="308" t="s">
        <v>9023</v>
      </c>
    </row>
    <row r="22" spans="2:3" s="305" customFormat="1" x14ac:dyDescent="0.2">
      <c r="B22" s="308"/>
      <c r="C22" s="308" t="s">
        <v>9024</v>
      </c>
    </row>
    <row r="23" spans="2:3" s="305" customFormat="1" x14ac:dyDescent="0.2">
      <c r="B23" s="308"/>
      <c r="C23" s="308" t="s">
        <v>9025</v>
      </c>
    </row>
    <row r="24" spans="2:3" s="305" customFormat="1" x14ac:dyDescent="0.2">
      <c r="B24" s="308"/>
      <c r="C24" s="308" t="s">
        <v>9026</v>
      </c>
    </row>
    <row r="25" spans="2:3" s="305" customFormat="1" x14ac:dyDescent="0.2">
      <c r="B25" s="308"/>
      <c r="C25" s="308" t="s">
        <v>9027</v>
      </c>
    </row>
    <row r="26" spans="2:3" s="305" customFormat="1" x14ac:dyDescent="0.2">
      <c r="B26" s="308"/>
      <c r="C26" s="308" t="s">
        <v>9028</v>
      </c>
    </row>
    <row r="27" spans="2:3" s="305" customFormat="1" x14ac:dyDescent="0.2">
      <c r="B27" s="308"/>
      <c r="C27" s="308"/>
    </row>
    <row r="28" spans="2:3" s="305" customFormat="1" x14ac:dyDescent="0.2">
      <c r="B28" s="309" t="s">
        <v>9005</v>
      </c>
      <c r="C28" s="308"/>
    </row>
    <row r="29" spans="2:3" s="305" customFormat="1" x14ac:dyDescent="0.2">
      <c r="B29" s="308"/>
      <c r="C29" s="308" t="s">
        <v>9006</v>
      </c>
    </row>
    <row r="30" spans="2:3" s="305" customFormat="1" x14ac:dyDescent="0.2">
      <c r="B30" s="308"/>
      <c r="C30" s="308" t="s">
        <v>9019</v>
      </c>
    </row>
    <row r="31" spans="2:3" s="305" customFormat="1" x14ac:dyDescent="0.2">
      <c r="B31" s="308"/>
      <c r="C31" s="308"/>
    </row>
    <row r="32" spans="2:3" s="305" customFormat="1" x14ac:dyDescent="0.2">
      <c r="B32" s="308" t="s">
        <v>9007</v>
      </c>
      <c r="C32" s="308"/>
    </row>
    <row r="33" spans="2:3" s="305" customFormat="1" x14ac:dyDescent="0.2">
      <c r="B33" s="308"/>
      <c r="C33" s="308"/>
    </row>
    <row r="34" spans="2:3" s="305" customFormat="1" ht="16" x14ac:dyDescent="0.2">
      <c r="B34" s="307" t="s">
        <v>9008</v>
      </c>
    </row>
    <row r="35" spans="2:3" s="305" customFormat="1" x14ac:dyDescent="0.2">
      <c r="B35" s="308" t="s">
        <v>9009</v>
      </c>
    </row>
    <row r="36" spans="2:3" s="305" customFormat="1" x14ac:dyDescent="0.2">
      <c r="B36" s="308" t="s">
        <v>9010</v>
      </c>
    </row>
    <row r="37" spans="2:3" s="305" customFormat="1" x14ac:dyDescent="0.2">
      <c r="B37" s="308" t="s">
        <v>9029</v>
      </c>
    </row>
    <row r="38" spans="2:3" s="305" customFormat="1" x14ac:dyDescent="0.2">
      <c r="B38" s="308" t="s">
        <v>9030</v>
      </c>
    </row>
    <row r="39" spans="2:3" s="305" customFormat="1" x14ac:dyDescent="0.2">
      <c r="B39" s="308"/>
    </row>
    <row r="40" spans="2:3" s="305" customFormat="1" ht="16" x14ac:dyDescent="0.2">
      <c r="B40" s="307" t="s">
        <v>9011</v>
      </c>
    </row>
    <row r="41" spans="2:3" s="305" customFormat="1" x14ac:dyDescent="0.2">
      <c r="B41" s="308" t="s">
        <v>9012</v>
      </c>
      <c r="C41" s="308"/>
    </row>
    <row r="42" spans="2:3" s="305" customFormat="1" x14ac:dyDescent="0.2">
      <c r="B42" s="308"/>
      <c r="C42" s="308"/>
    </row>
    <row r="43" spans="2:3" s="305" customFormat="1" x14ac:dyDescent="0.2">
      <c r="B43" s="308"/>
      <c r="C43" s="308"/>
    </row>
    <row r="44" spans="2:3" s="305" customFormat="1" x14ac:dyDescent="0.2">
      <c r="B44" s="308"/>
      <c r="C44" s="308"/>
    </row>
    <row r="45" spans="2:3" s="305" customFormat="1" x14ac:dyDescent="0.2">
      <c r="B45" s="308"/>
      <c r="C45" s="308"/>
    </row>
    <row r="46" spans="2:3" s="305" customFormat="1" x14ac:dyDescent="0.2">
      <c r="B46" s="308"/>
      <c r="C46" s="308"/>
    </row>
    <row r="47" spans="2:3" s="305" customFormat="1" x14ac:dyDescent="0.2">
      <c r="B47" s="308"/>
      <c r="C47" s="308"/>
    </row>
    <row r="48" spans="2:3" s="305" customFormat="1" x14ac:dyDescent="0.2">
      <c r="B48" s="308"/>
      <c r="C48" s="308"/>
    </row>
    <row r="49" spans="2:3" s="305" customFormat="1" x14ac:dyDescent="0.2">
      <c r="B49" s="308"/>
      <c r="C49" s="308"/>
    </row>
    <row r="50" spans="2:3" s="305" customFormat="1" x14ac:dyDescent="0.2">
      <c r="B50" s="308"/>
      <c r="C50" s="308"/>
    </row>
    <row r="51" spans="2:3" s="305" customFormat="1" x14ac:dyDescent="0.2">
      <c r="B51" s="308"/>
      <c r="C51" s="308"/>
    </row>
    <row r="52" spans="2:3" s="305" customFormat="1" x14ac:dyDescent="0.2">
      <c r="B52" s="308"/>
      <c r="C52" s="308"/>
    </row>
  </sheetData>
  <sheetProtection algorithmName="SHA-512" hashValue="6D/s4/Nr9aUwBt5O+6ATDWXrx5a2rjW2R2pGuJonbx6q8cS0yGVYGmF6cKNhPMQPSYE3vyIOXizIMX732wPG1Q==" saltValue="HeX+0+S4Q6Px0Qr91RSwxA==" spinCount="100000" sheet="1" objects="1" scenarios="1" formatColumns="0" formatRows="0"/>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tabColor theme="3" tint="0.59999389629810485"/>
    <pageSetUpPr fitToPage="1"/>
  </sheetPr>
  <dimension ref="A1:L46"/>
  <sheetViews>
    <sheetView showGridLines="0" topLeftCell="A28" zoomScaleNormal="100" zoomScaleSheetLayoutView="100" zoomScalePageLayoutView="90" workbookViewId="0">
      <selection activeCell="C39" sqref="C39"/>
    </sheetView>
  </sheetViews>
  <sheetFormatPr baseColWidth="10" defaultColWidth="11.5" defaultRowHeight="13" x14ac:dyDescent="0.15"/>
  <cols>
    <col min="1" max="1" width="8.5" style="199" customWidth="1"/>
    <col min="2" max="2" width="69.6640625" style="149" customWidth="1"/>
    <col min="3" max="3" width="60.5" style="149" customWidth="1"/>
    <col min="4" max="4" width="26.83203125" style="149" customWidth="1"/>
    <col min="5" max="5" width="27.6640625" style="149" customWidth="1"/>
    <col min="6" max="6" width="26" style="149" customWidth="1"/>
    <col min="7" max="7" width="27.33203125" style="149" customWidth="1"/>
    <col min="8" max="8" width="27" style="149" customWidth="1"/>
    <col min="9" max="9" width="26.6640625" style="199" customWidth="1"/>
    <col min="10" max="10" width="27.33203125" style="149" customWidth="1"/>
    <col min="11" max="11" width="27.5" style="149" customWidth="1"/>
    <col min="12" max="16" width="12.6640625" style="149" customWidth="1"/>
    <col min="17" max="16384" width="11.5" style="149"/>
  </cols>
  <sheetData>
    <row r="1" spans="1:12" ht="13.5" customHeight="1" x14ac:dyDescent="0.15">
      <c r="B1" s="200"/>
      <c r="C1" s="200"/>
      <c r="D1" s="200"/>
      <c r="E1" s="200"/>
      <c r="F1" s="200"/>
      <c r="G1" s="200"/>
      <c r="H1" s="200"/>
    </row>
    <row r="2" spans="1:12" ht="13.5" customHeight="1" x14ac:dyDescent="0.15">
      <c r="B2" s="200"/>
      <c r="C2" s="200"/>
      <c r="D2" s="200"/>
      <c r="E2" s="200"/>
      <c r="F2" s="200"/>
      <c r="G2" s="200"/>
      <c r="H2" s="200"/>
    </row>
    <row r="3" spans="1:12" s="204" customFormat="1" ht="24" customHeight="1" x14ac:dyDescent="0.15">
      <c r="A3" s="201"/>
      <c r="B3" s="202"/>
      <c r="C3" s="203"/>
      <c r="D3" s="203"/>
      <c r="E3" s="203"/>
      <c r="F3" s="203"/>
      <c r="G3" s="203"/>
      <c r="H3" s="203"/>
      <c r="I3" s="203"/>
      <c r="J3" s="203"/>
      <c r="K3" s="203"/>
      <c r="L3" s="203"/>
    </row>
    <row r="4" spans="1:12" s="204" customFormat="1" ht="27.75" customHeight="1" x14ac:dyDescent="0.15">
      <c r="A4" s="201"/>
      <c r="B4" s="202"/>
      <c r="C4" s="203"/>
      <c r="D4" s="203"/>
      <c r="E4" s="203"/>
      <c r="F4" s="203"/>
      <c r="G4" s="203"/>
      <c r="H4" s="203"/>
      <c r="I4" s="203"/>
      <c r="J4" s="203"/>
      <c r="K4" s="203"/>
      <c r="L4" s="203"/>
    </row>
    <row r="5" spans="1:12" s="204" customFormat="1" ht="13.5" customHeight="1" x14ac:dyDescent="0.15">
      <c r="A5" s="201"/>
      <c r="B5" s="202"/>
      <c r="C5" s="203"/>
      <c r="D5" s="203"/>
      <c r="E5" s="203"/>
      <c r="F5" s="203"/>
      <c r="G5" s="203"/>
      <c r="H5" s="203"/>
      <c r="I5" s="203"/>
      <c r="J5" s="203"/>
      <c r="K5" s="203"/>
      <c r="L5" s="203"/>
    </row>
    <row r="6" spans="1:12" s="204" customFormat="1" ht="13.5" customHeight="1" x14ac:dyDescent="0.15">
      <c r="A6" s="201"/>
      <c r="B6" s="202"/>
      <c r="C6" s="203"/>
      <c r="D6" s="203"/>
      <c r="E6" s="203"/>
      <c r="F6" s="203"/>
      <c r="G6" s="203"/>
      <c r="H6" s="203"/>
    </row>
    <row r="7" spans="1:12" s="204" customFormat="1" ht="13.5" customHeight="1" x14ac:dyDescent="0.15">
      <c r="A7" s="201"/>
      <c r="B7" s="202"/>
      <c r="C7" s="203"/>
      <c r="D7" s="203"/>
      <c r="E7" s="203"/>
      <c r="F7" s="203"/>
      <c r="G7" s="203"/>
      <c r="H7" s="203"/>
    </row>
    <row r="8" spans="1:12" s="204" customFormat="1" ht="13.5" customHeight="1" x14ac:dyDescent="0.15">
      <c r="A8" s="201"/>
      <c r="B8" s="202"/>
      <c r="C8" s="203"/>
      <c r="D8" s="203"/>
      <c r="E8" s="203"/>
      <c r="F8" s="203"/>
      <c r="G8" s="203"/>
      <c r="H8" s="203"/>
    </row>
    <row r="9" spans="1:12" s="204" customFormat="1" ht="13.5" customHeight="1" x14ac:dyDescent="0.15">
      <c r="A9" s="201"/>
      <c r="B9" s="202"/>
      <c r="C9" s="203"/>
      <c r="D9" s="203"/>
      <c r="E9" s="203"/>
      <c r="F9" s="203"/>
      <c r="G9" s="203"/>
      <c r="H9" s="203"/>
    </row>
    <row r="10" spans="1:12" s="204" customFormat="1" ht="12.75" customHeight="1" x14ac:dyDescent="0.15">
      <c r="A10" s="201"/>
      <c r="B10" s="201"/>
      <c r="C10" s="201"/>
      <c r="D10" s="201"/>
      <c r="E10" s="201"/>
      <c r="F10" s="201"/>
      <c r="G10" s="203"/>
      <c r="H10" s="203"/>
    </row>
    <row r="11" spans="1:12" s="204" customFormat="1" ht="35.25" customHeight="1" x14ac:dyDescent="0.15">
      <c r="A11" s="201"/>
      <c r="B11" s="202" t="s">
        <v>49</v>
      </c>
      <c r="C11" s="203"/>
      <c r="D11" s="331"/>
      <c r="E11" s="331"/>
      <c r="F11" s="203"/>
      <c r="G11" s="203"/>
      <c r="H11" s="203"/>
    </row>
    <row r="12" spans="1:12" ht="25.5" customHeight="1" x14ac:dyDescent="0.15">
      <c r="A12" s="257" t="s">
        <v>2745</v>
      </c>
      <c r="B12" s="205"/>
      <c r="C12" s="205"/>
      <c r="D12" s="205"/>
      <c r="E12" s="206"/>
      <c r="F12" s="207"/>
      <c r="G12" s="207"/>
      <c r="H12" s="207"/>
      <c r="I12" s="207"/>
    </row>
    <row r="13" spans="1:12" ht="30" customHeight="1" x14ac:dyDescent="0.15">
      <c r="A13" s="258" t="s">
        <v>5362</v>
      </c>
      <c r="B13" s="208" t="s">
        <v>5905</v>
      </c>
      <c r="C13" s="293" t="s">
        <v>5850</v>
      </c>
      <c r="D13" s="283" t="s">
        <v>5896</v>
      </c>
      <c r="E13" s="209"/>
      <c r="F13" s="207"/>
      <c r="G13" s="210"/>
      <c r="H13" s="210"/>
      <c r="I13" s="210"/>
    </row>
    <row r="14" spans="1:12" ht="30" customHeight="1" x14ac:dyDescent="0.15">
      <c r="A14" s="258" t="s">
        <v>5363</v>
      </c>
      <c r="B14" s="211" t="s">
        <v>2</v>
      </c>
      <c r="C14" s="292" t="s">
        <v>5420</v>
      </c>
      <c r="D14" s="283" t="s">
        <v>5897</v>
      </c>
      <c r="E14" s="207"/>
      <c r="F14" s="207"/>
      <c r="G14" s="207"/>
      <c r="H14" s="207"/>
      <c r="I14" s="207"/>
    </row>
    <row r="15" spans="1:12" ht="30" customHeight="1" x14ac:dyDescent="0.15">
      <c r="A15" s="258" t="s">
        <v>5364</v>
      </c>
      <c r="B15" s="211" t="s">
        <v>1543</v>
      </c>
      <c r="C15" s="295" t="str">
        <f t="array" ref="C15">IF(ISERROR(INDEX('Doonees A MASQUER'!$E$2:$E$546,MATCH(1,('Doonees A MASQUER'!$A$2:$A$546=$C$13)*('Doonees A MASQUER'!$D$2:$D$546=$C$14),0))),"",(INDEX('Doonees A MASQUER'!$E$2:$E$546,MATCH(1,('Doonees A MASQUER'!$A$2:$A$546=$C$13)*('Doonees A MASQUER'!$D$2:$D$546=$C$14),0))))</f>
        <v>ERPI</v>
      </c>
      <c r="D15" s="283" t="s">
        <v>2666</v>
      </c>
      <c r="E15" s="207"/>
      <c r="F15" s="207"/>
      <c r="G15" s="207"/>
      <c r="H15" s="207"/>
      <c r="I15" s="207"/>
    </row>
    <row r="16" spans="1:12" ht="30" customHeight="1" x14ac:dyDescent="0.15">
      <c r="A16" s="258" t="s">
        <v>5365</v>
      </c>
      <c r="B16" s="211" t="s">
        <v>3</v>
      </c>
      <c r="C16" s="295" t="str">
        <f t="array" ref="C16">IF(ISERROR(INDEX('Doonees A MASQUER'!$F$2:$F$546,MATCH(1,('Doonees A MASQUER'!$A$2:$A$546=$C$13)*('Doonees A MASQUER'!$D$2:$D$546=$C$14),0))),"",(INDEX('Doonees A MASQUER'!$F$2:$F$546,MATCH(1,('Doonees A MASQUER'!$A$2:$A$546=$C$13)*('Doonees A MASQUER'!$D$2:$D$546=$C$14),0))))</f>
        <v>UR 3767</v>
      </c>
      <c r="D16" s="283" t="s">
        <v>2666</v>
      </c>
      <c r="E16" s="207"/>
      <c r="F16" s="207"/>
      <c r="G16" s="207"/>
      <c r="H16" s="207"/>
      <c r="I16" s="207"/>
    </row>
    <row r="17" spans="1:11" ht="30" customHeight="1" x14ac:dyDescent="0.15">
      <c r="A17" s="258" t="s">
        <v>5366</v>
      </c>
      <c r="B17" s="211" t="s">
        <v>72</v>
      </c>
      <c r="C17" s="296" t="str">
        <f t="array" ref="C17">IF(ISERROR(INDEX('Doonees A MASQUER'!$G$2:$G$546,MATCH(1,('Doonees A MASQUER'!$A$2:$A$546=$C$13)*('Doonees A MASQUER'!$D$2:$D$546=$C$14),0))),"",(INDEX('Doonees A MASQUER'!$G$2:$G$546,MATCH(1,('Doonees A MASQUER'!$A$2:$A$546=$C$13)*('Doonees A MASQUER'!$D$2:$D$546=$C$14),0))))</f>
        <v>200315030D</v>
      </c>
      <c r="D17" s="283" t="s">
        <v>2666</v>
      </c>
      <c r="E17" s="207"/>
      <c r="F17" s="207"/>
      <c r="G17" s="207"/>
      <c r="H17" s="207"/>
      <c r="I17" s="207"/>
    </row>
    <row r="18" spans="1:11" ht="30" customHeight="1" x14ac:dyDescent="0.15">
      <c r="A18" s="258" t="s">
        <v>5367</v>
      </c>
      <c r="B18" s="211" t="s">
        <v>53</v>
      </c>
      <c r="C18" s="295" t="str">
        <f t="array" ref="C18">IF(ISERROR(INDEX('Doonees A MASQUER'!$H$2:$H$546,MATCH(1,('Doonees A MASQUER'!$A$2:$A$546=$C$13)*('Doonees A MASQUER'!$D$2:$D$546=$C$14),0))),"",(INDEX('Doonees A MASQUER'!$H$2:$H$546,MATCH(1,('Doonees A MASQUER'!$A$2:$A$546=$C$13)*('Doonees A MASQUER'!$D$2:$D$546=$C$14),0))))</f>
        <v>CAMARGO</v>
      </c>
      <c r="D18" s="283" t="s">
        <v>2666</v>
      </c>
      <c r="E18" s="212"/>
      <c r="F18" s="213"/>
      <c r="G18" s="213"/>
      <c r="H18" s="213"/>
      <c r="I18" s="213"/>
    </row>
    <row r="19" spans="1:11" ht="30" customHeight="1" x14ac:dyDescent="0.15">
      <c r="A19" s="258" t="s">
        <v>5368</v>
      </c>
      <c r="B19" s="211" t="s">
        <v>54</v>
      </c>
      <c r="C19" s="295" t="str">
        <f t="array" ref="C19">IF(ISERROR(INDEX('Doonees A MASQUER'!$I$2:$I$546,MATCH(1,('Doonees A MASQUER'!$A$2:$A$546=$C$13)*('Doonees A MASQUER'!$D$2:$D$546=$C$14),0))),"",(INDEX('Doonees A MASQUER'!$I$2:$I$546,MATCH(1,('Doonees A MASQUER'!$A$2:$A$546=$C$13)*('Doonees A MASQUER'!$D$2:$D$546=$C$14),0))))</f>
        <v>Mauricio</v>
      </c>
      <c r="D19" s="283" t="s">
        <v>2666</v>
      </c>
      <c r="E19" s="212"/>
      <c r="F19" s="213"/>
      <c r="G19" s="213"/>
      <c r="H19" s="213"/>
      <c r="I19" s="213"/>
    </row>
    <row r="20" spans="1:11" ht="30" customHeight="1" x14ac:dyDescent="0.15">
      <c r="A20" s="258" t="s">
        <v>5369</v>
      </c>
      <c r="B20" s="208" t="s">
        <v>69</v>
      </c>
      <c r="C20" s="292" t="s">
        <v>164</v>
      </c>
      <c r="D20" s="283" t="s">
        <v>5898</v>
      </c>
      <c r="E20" s="214"/>
      <c r="F20" s="207"/>
      <c r="G20" s="207"/>
      <c r="H20" s="207"/>
      <c r="I20" s="207"/>
    </row>
    <row r="21" spans="1:11" ht="30" customHeight="1" x14ac:dyDescent="0.15">
      <c r="A21" s="258" t="s">
        <v>5370</v>
      </c>
      <c r="B21" s="208" t="s">
        <v>69</v>
      </c>
      <c r="C21" s="292"/>
      <c r="D21" s="283" t="s">
        <v>5899</v>
      </c>
      <c r="E21" s="215"/>
      <c r="F21" s="207"/>
      <c r="G21" s="207"/>
      <c r="H21" s="207"/>
      <c r="I21" s="207"/>
    </row>
    <row r="22" spans="1:11" ht="30" customHeight="1" x14ac:dyDescent="0.15">
      <c r="A22" s="258" t="s">
        <v>5371</v>
      </c>
      <c r="B22" s="208" t="s">
        <v>69</v>
      </c>
      <c r="C22" s="292"/>
      <c r="D22" s="283" t="s">
        <v>5900</v>
      </c>
      <c r="E22" s="206"/>
      <c r="F22" s="207"/>
      <c r="G22" s="207"/>
      <c r="H22" s="207"/>
      <c r="I22" s="207"/>
    </row>
    <row r="23" spans="1:11" ht="30" customHeight="1" x14ac:dyDescent="0.15">
      <c r="A23" s="258" t="s">
        <v>5372</v>
      </c>
      <c r="B23" s="208" t="s">
        <v>69</v>
      </c>
      <c r="C23" s="292"/>
      <c r="D23" s="283" t="s">
        <v>5900</v>
      </c>
      <c r="E23" s="206"/>
      <c r="F23" s="207"/>
      <c r="G23" s="207"/>
      <c r="H23" s="207"/>
      <c r="I23" s="207"/>
    </row>
    <row r="24" spans="1:11" ht="30" customHeight="1" x14ac:dyDescent="0.15">
      <c r="A24" s="258" t="s">
        <v>5373</v>
      </c>
      <c r="B24" s="216" t="s">
        <v>70</v>
      </c>
      <c r="C24" s="293"/>
      <c r="D24" s="283" t="s">
        <v>5901</v>
      </c>
      <c r="E24" s="206"/>
      <c r="F24" s="207"/>
      <c r="G24" s="207"/>
      <c r="H24" s="207"/>
      <c r="I24" s="207"/>
    </row>
    <row r="25" spans="1:11" ht="30" customHeight="1" x14ac:dyDescent="0.15">
      <c r="A25" s="258" t="s">
        <v>5374</v>
      </c>
      <c r="B25" s="216" t="s">
        <v>70</v>
      </c>
      <c r="C25" s="293"/>
      <c r="D25" s="283" t="s">
        <v>5902</v>
      </c>
      <c r="E25" s="206"/>
      <c r="F25" s="207"/>
      <c r="G25" s="207"/>
      <c r="H25" s="207"/>
      <c r="I25" s="207"/>
    </row>
    <row r="26" spans="1:11" ht="30" customHeight="1" x14ac:dyDescent="0.15">
      <c r="A26" s="258" t="s">
        <v>5375</v>
      </c>
      <c r="B26" s="216" t="s">
        <v>70</v>
      </c>
      <c r="C26" s="293"/>
      <c r="D26" s="283" t="s">
        <v>5903</v>
      </c>
      <c r="E26" s="206"/>
      <c r="F26" s="207"/>
      <c r="G26" s="207"/>
      <c r="H26" s="207"/>
      <c r="I26" s="207"/>
    </row>
    <row r="27" spans="1:11" ht="30" customHeight="1" x14ac:dyDescent="0.15">
      <c r="A27" s="258" t="s">
        <v>5376</v>
      </c>
      <c r="B27" s="216" t="s">
        <v>70</v>
      </c>
      <c r="C27" s="293"/>
      <c r="D27" s="283" t="s">
        <v>5903</v>
      </c>
      <c r="E27" s="206"/>
      <c r="F27" s="207"/>
      <c r="G27" s="207"/>
      <c r="H27" s="207"/>
      <c r="I27" s="207"/>
    </row>
    <row r="28" spans="1:11" ht="30" customHeight="1" x14ac:dyDescent="0.15">
      <c r="A28" s="258" t="s">
        <v>5377</v>
      </c>
      <c r="B28" s="208" t="s">
        <v>71</v>
      </c>
      <c r="C28" s="293"/>
      <c r="D28" s="283" t="s">
        <v>5904</v>
      </c>
      <c r="E28" s="206"/>
      <c r="F28" s="207"/>
      <c r="G28" s="207"/>
      <c r="H28" s="207"/>
      <c r="I28" s="207"/>
    </row>
    <row r="29" spans="1:11" ht="45" x14ac:dyDescent="0.15">
      <c r="A29" s="258" t="s">
        <v>5385</v>
      </c>
      <c r="B29" s="208" t="s">
        <v>9013</v>
      </c>
      <c r="C29" s="293" t="s">
        <v>2225</v>
      </c>
      <c r="D29" s="223"/>
      <c r="E29" s="223"/>
      <c r="F29" s="223"/>
      <c r="G29" s="223"/>
      <c r="H29" s="223"/>
      <c r="I29" s="223"/>
      <c r="J29" s="223"/>
      <c r="K29" s="223"/>
    </row>
    <row r="30" spans="1:11" ht="30" customHeight="1" x14ac:dyDescent="0.15">
      <c r="A30" s="258" t="s">
        <v>5378</v>
      </c>
      <c r="B30" s="208" t="s">
        <v>5400</v>
      </c>
      <c r="C30" s="297">
        <f>COUNTA(C39:K39)</f>
        <v>1</v>
      </c>
      <c r="D30" s="217" t="s">
        <v>9014</v>
      </c>
      <c r="E30" s="218"/>
      <c r="F30" s="207"/>
      <c r="G30" s="207"/>
      <c r="H30" s="207"/>
      <c r="I30" s="207"/>
    </row>
    <row r="31" spans="1:11" ht="30" customHeight="1" x14ac:dyDescent="0.15">
      <c r="A31" s="258" t="s">
        <v>5379</v>
      </c>
      <c r="B31" s="208" t="s">
        <v>3954</v>
      </c>
      <c r="C31" s="293">
        <v>2</v>
      </c>
      <c r="D31" s="217" t="s">
        <v>8999</v>
      </c>
      <c r="E31" s="218"/>
      <c r="F31" s="207"/>
      <c r="G31" s="207"/>
      <c r="H31" s="207"/>
      <c r="I31" s="207"/>
    </row>
    <row r="32" spans="1:11" ht="30" customHeight="1" x14ac:dyDescent="0.15">
      <c r="A32" s="258" t="s">
        <v>9203</v>
      </c>
      <c r="B32" s="208" t="s">
        <v>9204</v>
      </c>
      <c r="C32" s="293"/>
      <c r="D32" s="283"/>
      <c r="E32" s="218"/>
      <c r="F32" s="207"/>
      <c r="G32" s="207"/>
      <c r="H32" s="207"/>
      <c r="I32" s="207"/>
    </row>
    <row r="33" spans="1:11" ht="30" customHeight="1" x14ac:dyDescent="0.15">
      <c r="A33" s="258" t="s">
        <v>9205</v>
      </c>
      <c r="B33" s="208" t="s">
        <v>9206</v>
      </c>
      <c r="C33" s="293"/>
      <c r="D33" s="312"/>
      <c r="E33" s="218"/>
      <c r="F33" s="207"/>
      <c r="G33" s="207"/>
      <c r="H33" s="207"/>
      <c r="I33" s="207"/>
    </row>
    <row r="34" spans="1:11" ht="30" customHeight="1" x14ac:dyDescent="0.15">
      <c r="A34" s="258" t="s">
        <v>5380</v>
      </c>
      <c r="B34" s="208" t="s">
        <v>68</v>
      </c>
      <c r="C34" s="293"/>
      <c r="D34" s="217" t="s">
        <v>8998</v>
      </c>
      <c r="E34" s="219"/>
      <c r="F34" s="207"/>
      <c r="G34" s="207"/>
      <c r="H34" s="207"/>
      <c r="I34" s="207"/>
    </row>
    <row r="35" spans="1:11" ht="30" customHeight="1" x14ac:dyDescent="0.15">
      <c r="A35" s="258" t="s">
        <v>5381</v>
      </c>
      <c r="B35" s="208" t="s">
        <v>3951</v>
      </c>
      <c r="C35" s="293"/>
      <c r="D35" s="214"/>
      <c r="E35" s="219"/>
      <c r="F35" s="207"/>
      <c r="G35" s="207"/>
      <c r="H35" s="207"/>
      <c r="I35" s="207"/>
    </row>
    <row r="36" spans="1:11" ht="30" customHeight="1" x14ac:dyDescent="0.15">
      <c r="A36" s="258" t="s">
        <v>5382</v>
      </c>
      <c r="B36" s="208" t="s">
        <v>5894</v>
      </c>
      <c r="C36" s="297">
        <f>COUNTA(C37:K37)</f>
        <v>0</v>
      </c>
      <c r="D36" s="217" t="s">
        <v>9015</v>
      </c>
      <c r="E36" s="219"/>
      <c r="F36" s="207"/>
      <c r="G36" s="207"/>
      <c r="H36" s="207"/>
      <c r="I36" s="207"/>
    </row>
    <row r="37" spans="1:11" ht="30" customHeight="1" x14ac:dyDescent="0.15">
      <c r="A37" s="258" t="s">
        <v>5383</v>
      </c>
      <c r="B37" s="216" t="s">
        <v>3952</v>
      </c>
      <c r="C37" s="293"/>
      <c r="D37" s="224"/>
      <c r="E37" s="224"/>
      <c r="F37" s="224"/>
      <c r="G37" s="224"/>
      <c r="H37" s="224"/>
      <c r="I37" s="224"/>
      <c r="J37" s="224"/>
      <c r="K37" s="224"/>
    </row>
    <row r="38" spans="1:11" ht="30" customHeight="1" x14ac:dyDescent="0.15">
      <c r="A38" s="258" t="s">
        <v>5384</v>
      </c>
      <c r="B38" s="208" t="s">
        <v>3953</v>
      </c>
      <c r="C38" s="293"/>
      <c r="D38" s="220"/>
      <c r="E38" s="209"/>
      <c r="F38" s="207"/>
      <c r="G38" s="207"/>
      <c r="H38" s="207"/>
      <c r="I38" s="207"/>
    </row>
    <row r="39" spans="1:11" ht="30" customHeight="1" x14ac:dyDescent="0.15">
      <c r="A39" s="258" t="s">
        <v>5385</v>
      </c>
      <c r="B39" s="208" t="s">
        <v>8997</v>
      </c>
      <c r="C39" s="293" t="s">
        <v>2225</v>
      </c>
      <c r="D39" s="223"/>
      <c r="E39" s="223"/>
      <c r="F39" s="223"/>
      <c r="G39" s="223"/>
      <c r="H39" s="223"/>
      <c r="I39" s="223"/>
      <c r="J39" s="223"/>
      <c r="K39" s="223"/>
    </row>
    <row r="40" spans="1:11" ht="30" customHeight="1" x14ac:dyDescent="0.15">
      <c r="A40" s="258" t="s">
        <v>5386</v>
      </c>
      <c r="B40" s="221" t="s">
        <v>5913</v>
      </c>
      <c r="C40" s="294" t="s">
        <v>9017</v>
      </c>
      <c r="D40" s="327" t="s">
        <v>5912</v>
      </c>
      <c r="E40" s="328"/>
      <c r="F40" s="328"/>
      <c r="G40" s="328"/>
      <c r="H40" s="328"/>
      <c r="I40" s="207"/>
    </row>
    <row r="41" spans="1:11" ht="30" customHeight="1" x14ac:dyDescent="0.15">
      <c r="A41" s="258" t="s">
        <v>5387</v>
      </c>
      <c r="B41" s="221" t="s">
        <v>5914</v>
      </c>
      <c r="C41" s="294"/>
      <c r="D41" s="329"/>
      <c r="E41" s="330"/>
      <c r="F41" s="330"/>
      <c r="G41" s="330"/>
      <c r="H41" s="330"/>
      <c r="I41" s="207"/>
    </row>
    <row r="42" spans="1:11" ht="30" customHeight="1" x14ac:dyDescent="0.15">
      <c r="A42" s="258" t="s">
        <v>5388</v>
      </c>
      <c r="B42" s="221" t="s">
        <v>5915</v>
      </c>
      <c r="C42" s="294"/>
      <c r="D42" s="329"/>
      <c r="E42" s="330"/>
      <c r="F42" s="330"/>
      <c r="G42" s="330"/>
      <c r="H42" s="330"/>
      <c r="I42" s="207"/>
    </row>
    <row r="43" spans="1:11" ht="30" customHeight="1" x14ac:dyDescent="0.15">
      <c r="A43" s="258" t="s">
        <v>5389</v>
      </c>
      <c r="B43" s="222" t="s">
        <v>57</v>
      </c>
      <c r="C43" s="294" t="s">
        <v>9207</v>
      </c>
      <c r="D43" s="283" t="s">
        <v>5895</v>
      </c>
      <c r="F43" s="207"/>
      <c r="G43" s="207"/>
      <c r="H43" s="207"/>
      <c r="I43" s="207"/>
    </row>
    <row r="44" spans="1:11" ht="20" customHeight="1" x14ac:dyDescent="0.15"/>
    <row r="45" spans="1:11" ht="20" customHeight="1" x14ac:dyDescent="0.15"/>
    <row r="46" spans="1:11" ht="20" customHeight="1" x14ac:dyDescent="0.15"/>
  </sheetData>
  <sheetProtection algorithmName="SHA-512" hashValue="hHSCVXvoJSBRQhrchzFUwOwy3gIDYJVAFG4bPdFpj9aTb1XOFbSsTFCh8VwqZfTH4zJ5x7qLAXdsiFNrAZj5MA==" saltValue="rMMD8xMhmusVFKKmWt5FDw==" spinCount="100000" sheet="1" objects="1" scenarios="1" formatColumns="0" formatRows="0"/>
  <dataConsolidate/>
  <customSheetViews>
    <customSheetView guid="{D5B14F2C-2005-4A46-8CC9-D91764B00F08}" showPageBreaks="1" fitToPage="1" printArea="1">
      <selection activeCell="A10" sqref="A10"/>
      <pageMargins left="0.19685039370078741" right="0.19685039370078741" top="0.39370078740157483" bottom="0.59055118110236227" header="0.19685039370078741" footer="0.19685039370078741"/>
      <printOptions horizontalCentered="1" verticalCentered="1"/>
      <pageSetup paperSize="8" scale="75" orientation="landscape" r:id="rId1"/>
      <headerFooter>
        <oddHeader>&amp;R&amp;"Trebuchet MS,Italique"&amp;8&amp;K000000Département d'évaluation de la recherche</oddHeader>
        <oddFooter>&amp;L&amp;"Trebuchet MS,Italique"&amp;8&amp;K000000Vague E : campagne d’évaluation 2018 – 2019
Novembre 2017&amp;C&amp;"Trebuchet MS,Italique"&amp;8&amp;K000000Page &amp;P/&amp;N&amp;R&amp;"Trebuchet MS,Italique"&amp;8&amp;K000000&amp;F
&amp;A</oddFooter>
      </headerFooter>
    </customSheetView>
    <customSheetView guid="{16E30FE5-CA9F-4336-8D1A-21719AC9AE43}" showPageBreaks="1" fitToPage="1" printArea="1">
      <selection activeCell="A10" sqref="A10"/>
      <pageMargins left="0.19685039370078741" right="0.19685039370078741" top="0.39370078740157483" bottom="0.59055118110236227" header="0.19685039370078741" footer="0.19685039370078741"/>
      <printOptions horizontalCentered="1" verticalCentered="1"/>
      <pageSetup paperSize="8" scale="75" orientation="landscape" r:id="rId2"/>
      <headerFooter>
        <oddHeader>&amp;R&amp;"Trebuchet MS,Italique"&amp;8&amp;K000000Département d'évaluation de la recherche</oddHeader>
        <oddFooter>&amp;L&amp;"Trebuchet MS,Italique"&amp;8&amp;K000000Vague E : campagne d’évaluation 2018 – 2019
Novembre 2017&amp;C&amp;"Trebuchet MS,Italique"&amp;8&amp;K000000Page &amp;P/&amp;N&amp;R&amp;"Trebuchet MS,Italique"&amp;8&amp;K000000&amp;F
&amp;A</oddFooter>
      </headerFooter>
    </customSheetView>
  </customSheetViews>
  <mergeCells count="2">
    <mergeCell ref="D40:H42"/>
    <mergeCell ref="D11:E11"/>
  </mergeCells>
  <phoneticPr fontId="0" type="noConversion"/>
  <dataValidations count="12">
    <dataValidation sqref="D30:D31 D34 D36" xr:uid="{00000000-0002-0000-0100-000000000000}"/>
    <dataValidation type="list" allowBlank="1" showErrorMessage="1" errorTitle="Erreur de saisie" error="Veuillez saisir un organisme dans le menu déroulant proposé" sqref="C24:C27" xr:uid="{00000000-0002-0000-0100-000001000000}">
      <formula1>Organismes_recherche</formula1>
    </dataValidation>
    <dataValidation type="list" allowBlank="1" sqref="C28" xr:uid="{00000000-0002-0000-0100-000002000000}">
      <formula1>Tutelle_deposante</formula1>
    </dataValidation>
    <dataValidation type="list" allowBlank="1" showErrorMessage="1" errorTitle="Erreur de saisie" error="Veuillez selectionner un établissement dans le menu déroulant" sqref="C20:C23" xr:uid="{00000000-0002-0000-0100-000003000000}">
      <formula1>Etablissements_enseignement_sup_et_recherche</formula1>
    </dataValidation>
    <dataValidation type="list" allowBlank="1" showInputMessage="1" showErrorMessage="1" errorTitle="Erreur de saisie" error="Veuillez selectionner une unité proposée dans le menu déroulant" sqref="C14" xr:uid="{00000000-0002-0000-0100-000004000000}">
      <formula1>INDIRECT($C$13)</formula1>
    </dataValidation>
    <dataValidation type="whole" allowBlank="1" showInputMessage="1" showErrorMessage="1" errorTitle="Erreur de saisie" error="Veuillez saisir un nombre entier" sqref="C34 C31" xr:uid="{00000000-0002-0000-0100-000005000000}">
      <formula1>1</formula1>
      <formula2>61</formula2>
    </dataValidation>
    <dataValidation type="list" allowBlank="1" sqref="C39:K39 C29:K29" xr:uid="{00000000-0002-0000-0100-000006000000}">
      <formula1>Écoles_Doctorales</formula1>
    </dataValidation>
    <dataValidation type="list" allowBlank="1" showInputMessage="1" sqref="C37:K37" xr:uid="{00000000-0002-0000-0100-000007000000}">
      <formula1>Écoles_Doctorales</formula1>
    </dataValidation>
    <dataValidation type="list" allowBlank="1" showInputMessage="1" showErrorMessage="1" errorTitle="Information non valide" error="Merci d'effacer votre saisie et de sélectionner une modalité dans la liste." sqref="C40:C42" xr:uid="{00000000-0002-0000-0100-000008000000}">
      <formula1>Domaines_scientifiques</formula1>
    </dataValidation>
    <dataValidation type="list" allowBlank="1" showErrorMessage="1" errorTitle="Erreur de saisie" error="Veuillez selectionner un établissement dans le menu déroulant" sqref="C13" xr:uid="{00000000-0002-0000-0100-000009000000}">
      <formula1>Tutelle_deposante</formula1>
    </dataValidation>
    <dataValidation type="list" allowBlank="1" showInputMessage="1" showErrorMessage="1" sqref="C38" xr:uid="{00000000-0002-0000-0100-00000A000000}">
      <formula1>codes_postaux</formula1>
    </dataValidation>
    <dataValidation type="textLength" allowBlank="1" showInputMessage="1" showErrorMessage="1" errorTitle="Erreur de saisie" error="Veuillez saisir un code postal à 5 chiffres" sqref="C32:C33" xr:uid="{00000000-0002-0000-0100-00000B000000}">
      <formula1>5</formula1>
      <formula2>5</formula2>
    </dataValidation>
  </dataValidations>
  <printOptions horizontalCentered="1" verticalCentered="1"/>
  <pageMargins left="0.19685039370078741" right="0.19685039370078741" top="0.39370078740157483" bottom="0.59055118110236227" header="0.19685039370078741" footer="0.19685039370078741"/>
  <pageSetup paperSize="8" scale="59" orientation="landscape" r:id="rId3"/>
  <headerFooter>
    <oddHeader>&amp;R&amp;"Trebuchet MS,Italique"&amp;9&amp;K000000Département d'évaluation de la recherche</oddHeader>
    <oddFooter>&amp;L&amp;"Century Gothic,Italique"Vague C : campagne d’évaluation 2022-2023 - juillet 2021&amp;CPage &amp;P&amp;R&amp;"Trebuchet MS,Italique"&amp;9 1. Info. admin.</oddFooter>
  </headerFooter>
  <drawing r:id="rId4"/>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A1:AN3162"/>
  <sheetViews>
    <sheetView workbookViewId="0">
      <pane ySplit="1" topLeftCell="A532" activePane="bottomLeft" state="frozen"/>
      <selection pane="bottomLeft" activeCell="D546" sqref="D546"/>
    </sheetView>
  </sheetViews>
  <sheetFormatPr baseColWidth="10" defaultColWidth="11.5" defaultRowHeight="14" x14ac:dyDescent="0.15"/>
  <cols>
    <col min="1" max="1" width="42.5" style="194" customWidth="1"/>
    <col min="2" max="2" width="31.5" style="194" customWidth="1"/>
    <col min="3" max="3" width="18.1640625" style="194" customWidth="1"/>
    <col min="4" max="4" width="50.1640625" style="194" customWidth="1"/>
    <col min="5" max="5" width="15.1640625" style="194" customWidth="1"/>
    <col min="6" max="6" width="13.5" style="194" customWidth="1"/>
    <col min="7" max="7" width="20.33203125" style="194" customWidth="1"/>
    <col min="8" max="9" width="15.5" style="194" customWidth="1"/>
    <col min="10" max="19" width="11.5" style="194"/>
    <col min="20" max="20" width="11.5" style="76"/>
    <col min="21" max="16384" width="11.5" style="194"/>
  </cols>
  <sheetData>
    <row r="1" spans="1:40" s="36" customFormat="1" ht="34.5" customHeight="1" x14ac:dyDescent="0.15">
      <c r="A1" s="190" t="s">
        <v>2772</v>
      </c>
      <c r="B1" s="191" t="s">
        <v>2774</v>
      </c>
      <c r="C1" s="191" t="s">
        <v>2773</v>
      </c>
      <c r="D1" s="191" t="s">
        <v>2761</v>
      </c>
      <c r="E1" s="192" t="s">
        <v>1543</v>
      </c>
      <c r="F1" s="192" t="s">
        <v>3</v>
      </c>
      <c r="G1" s="192" t="s">
        <v>72</v>
      </c>
      <c r="H1" s="192" t="s">
        <v>53</v>
      </c>
      <c r="I1" s="192" t="s">
        <v>54</v>
      </c>
      <c r="J1" s="193"/>
      <c r="K1" s="36" t="s">
        <v>2797</v>
      </c>
      <c r="M1" s="188" t="s">
        <v>2775</v>
      </c>
      <c r="N1" s="188" t="s">
        <v>2777</v>
      </c>
      <c r="O1" s="188" t="s">
        <v>2778</v>
      </c>
      <c r="P1" s="188" t="s">
        <v>2779</v>
      </c>
      <c r="Q1" s="188" t="s">
        <v>2776</v>
      </c>
      <c r="R1" s="188" t="s">
        <v>2780</v>
      </c>
      <c r="S1" s="188" t="s">
        <v>2781</v>
      </c>
      <c r="T1" s="188" t="s">
        <v>1591</v>
      </c>
      <c r="U1" s="189" t="s">
        <v>2782</v>
      </c>
      <c r="V1" s="189" t="s">
        <v>2791</v>
      </c>
      <c r="W1" s="189" t="s">
        <v>2793</v>
      </c>
      <c r="X1" s="189" t="s">
        <v>5830</v>
      </c>
      <c r="Y1" s="189" t="s">
        <v>2792</v>
      </c>
      <c r="Z1" s="189" t="s">
        <v>2784</v>
      </c>
      <c r="AA1" s="189" t="s">
        <v>2783</v>
      </c>
      <c r="AB1" s="189" t="s">
        <v>2785</v>
      </c>
      <c r="AC1" s="189" t="s">
        <v>2789</v>
      </c>
      <c r="AD1" s="189" t="s">
        <v>2794</v>
      </c>
      <c r="AE1" s="189" t="s">
        <v>2790</v>
      </c>
      <c r="AF1" s="189" t="s">
        <v>2786</v>
      </c>
      <c r="AG1" s="189" t="s">
        <v>2787</v>
      </c>
      <c r="AH1" s="189" t="s">
        <v>2788</v>
      </c>
      <c r="AI1" s="189" t="s">
        <v>2795</v>
      </c>
      <c r="AJ1" s="189" t="s">
        <v>2796</v>
      </c>
      <c r="AK1" s="189" t="s">
        <v>81</v>
      </c>
      <c r="AL1" s="189" t="s">
        <v>201</v>
      </c>
      <c r="AM1" s="189" t="s">
        <v>140</v>
      </c>
      <c r="AN1" s="189" t="s">
        <v>148</v>
      </c>
    </row>
    <row r="2" spans="1:40" s="36" customFormat="1" ht="20" customHeight="1" x14ac:dyDescent="0.15">
      <c r="A2" s="5" t="s">
        <v>5834</v>
      </c>
      <c r="B2" s="193" t="s">
        <v>80</v>
      </c>
      <c r="C2" s="193" t="s">
        <v>2775</v>
      </c>
      <c r="D2" s="193" t="s">
        <v>2804</v>
      </c>
      <c r="E2" s="193" t="s">
        <v>2807</v>
      </c>
      <c r="F2" s="193" t="s">
        <v>2801</v>
      </c>
      <c r="G2" s="193" t="s">
        <v>2798</v>
      </c>
      <c r="H2" s="193" t="s">
        <v>2810</v>
      </c>
      <c r="I2" s="193" t="s">
        <v>5835</v>
      </c>
      <c r="J2" s="193"/>
      <c r="M2" s="76" t="s">
        <v>2805</v>
      </c>
      <c r="N2" s="76" t="s">
        <v>2853</v>
      </c>
      <c r="O2" s="136" t="s">
        <v>2858</v>
      </c>
      <c r="P2" s="136" t="s">
        <v>2862</v>
      </c>
      <c r="Q2" s="136" t="s">
        <v>2868</v>
      </c>
      <c r="R2" s="136" t="s">
        <v>2875</v>
      </c>
      <c r="S2" s="76" t="s">
        <v>3039</v>
      </c>
      <c r="T2" s="76" t="s">
        <v>3239</v>
      </c>
      <c r="U2" s="36" t="s">
        <v>3718</v>
      </c>
      <c r="V2" s="36" t="s">
        <v>3763</v>
      </c>
      <c r="W2" s="36" t="s">
        <v>3891</v>
      </c>
      <c r="X2" s="36" t="s">
        <v>4041</v>
      </c>
      <c r="Y2" s="36" t="s">
        <v>4196</v>
      </c>
      <c r="Z2" s="36" t="s">
        <v>4317</v>
      </c>
      <c r="AA2" s="36" t="s">
        <v>5401</v>
      </c>
      <c r="AB2" s="36" t="s">
        <v>5341</v>
      </c>
      <c r="AC2" s="36" t="s">
        <v>5330</v>
      </c>
      <c r="AD2" s="36" t="s">
        <v>5144</v>
      </c>
      <c r="AE2" s="36" t="s">
        <v>5101</v>
      </c>
      <c r="AF2" s="36" t="s">
        <v>4728</v>
      </c>
      <c r="AG2" s="36" t="s">
        <v>4541</v>
      </c>
      <c r="AH2" s="36" t="s">
        <v>4362</v>
      </c>
      <c r="AI2" s="36" t="s">
        <v>3946</v>
      </c>
      <c r="AJ2" s="36" t="s">
        <v>5829</v>
      </c>
      <c r="AK2" s="36" t="s">
        <v>2832</v>
      </c>
      <c r="AL2" s="187" t="s">
        <v>2880</v>
      </c>
      <c r="AM2" s="36" t="s">
        <v>2965</v>
      </c>
      <c r="AN2" s="187" t="s">
        <v>3021</v>
      </c>
    </row>
    <row r="3" spans="1:40" s="36" customFormat="1" ht="20" customHeight="1" x14ac:dyDescent="0.15">
      <c r="A3" s="5" t="s">
        <v>5834</v>
      </c>
      <c r="B3" s="193" t="s">
        <v>80</v>
      </c>
      <c r="C3" s="193" t="s">
        <v>2775</v>
      </c>
      <c r="D3" s="193" t="s">
        <v>2805</v>
      </c>
      <c r="E3" s="193" t="s">
        <v>2808</v>
      </c>
      <c r="F3" s="193" t="s">
        <v>2802</v>
      </c>
      <c r="G3" s="193" t="s">
        <v>2799</v>
      </c>
      <c r="H3" s="193" t="s">
        <v>2811</v>
      </c>
      <c r="I3" s="193" t="s">
        <v>2812</v>
      </c>
      <c r="J3" s="193"/>
      <c r="M3" s="76" t="s">
        <v>2804</v>
      </c>
      <c r="N3" s="136" t="s">
        <v>2852</v>
      </c>
      <c r="O3" s="76">
        <v>1</v>
      </c>
      <c r="P3" s="76">
        <v>1</v>
      </c>
      <c r="Q3" s="76">
        <v>1</v>
      </c>
      <c r="R3" s="76">
        <v>1</v>
      </c>
      <c r="S3" s="76" t="s">
        <v>3027</v>
      </c>
      <c r="T3" s="76" t="s">
        <v>3466</v>
      </c>
      <c r="U3" s="36" t="s">
        <v>3689</v>
      </c>
      <c r="V3" s="36" t="s">
        <v>3791</v>
      </c>
      <c r="W3" s="36" t="s">
        <v>3897</v>
      </c>
      <c r="X3" s="36" t="s">
        <v>3955</v>
      </c>
      <c r="Y3" s="36" t="s">
        <v>4214</v>
      </c>
      <c r="Z3" s="36" t="s">
        <v>4328</v>
      </c>
      <c r="AA3" s="36" t="s">
        <v>5402</v>
      </c>
      <c r="AB3" s="36" t="s">
        <v>5335</v>
      </c>
      <c r="AC3" s="36" t="s">
        <v>5175</v>
      </c>
      <c r="AD3" s="36" t="s">
        <v>5162</v>
      </c>
      <c r="AE3" s="36" t="s">
        <v>5088</v>
      </c>
      <c r="AF3" s="36" t="s">
        <v>4707</v>
      </c>
      <c r="AG3" s="36" t="s">
        <v>4562</v>
      </c>
      <c r="AH3" s="36" t="s">
        <v>4393</v>
      </c>
      <c r="AI3" s="36" t="s">
        <v>3935</v>
      </c>
      <c r="AJ3" s="36" t="s">
        <v>3903</v>
      </c>
      <c r="AK3" s="36" t="s">
        <v>2831</v>
      </c>
      <c r="AL3" s="36">
        <v>1</v>
      </c>
      <c r="AM3" s="36" t="s">
        <v>2994</v>
      </c>
      <c r="AN3" s="36">
        <v>1</v>
      </c>
    </row>
    <row r="4" spans="1:40" s="36" customFormat="1" ht="20" customHeight="1" x14ac:dyDescent="0.15">
      <c r="A4" s="5" t="s">
        <v>5834</v>
      </c>
      <c r="B4" s="193" t="s">
        <v>80</v>
      </c>
      <c r="C4" s="193" t="s">
        <v>2775</v>
      </c>
      <c r="D4" s="193" t="s">
        <v>2806</v>
      </c>
      <c r="E4" s="193" t="s">
        <v>2809</v>
      </c>
      <c r="F4" s="193" t="s">
        <v>2803</v>
      </c>
      <c r="G4" s="193" t="s">
        <v>2800</v>
      </c>
      <c r="H4" s="193" t="s">
        <v>2813</v>
      </c>
      <c r="I4" s="193" t="s">
        <v>2814</v>
      </c>
      <c r="J4" s="193"/>
      <c r="M4" s="136" t="s">
        <v>2806</v>
      </c>
      <c r="N4" s="76">
        <v>2</v>
      </c>
      <c r="O4" s="76"/>
      <c r="P4" s="76"/>
      <c r="Q4" s="76"/>
      <c r="R4" s="76"/>
      <c r="S4" s="136" t="s">
        <v>3033</v>
      </c>
      <c r="T4" s="76" t="s">
        <v>3530</v>
      </c>
      <c r="U4" s="36" t="s">
        <v>3724</v>
      </c>
      <c r="V4" s="36" t="s">
        <v>3751</v>
      </c>
      <c r="W4" s="36" t="s">
        <v>3885</v>
      </c>
      <c r="X4" s="36" t="s">
        <v>3996</v>
      </c>
      <c r="Y4" s="36" t="s">
        <v>4166</v>
      </c>
      <c r="Z4" s="36" t="s">
        <v>4356</v>
      </c>
      <c r="AA4" s="36" t="s">
        <v>5403</v>
      </c>
      <c r="AB4" s="36" t="s">
        <v>5347</v>
      </c>
      <c r="AC4" s="36" t="s">
        <v>5192</v>
      </c>
      <c r="AD4" s="36" t="s">
        <v>5147</v>
      </c>
      <c r="AE4" s="36" t="s">
        <v>5126</v>
      </c>
      <c r="AF4" s="36" t="s">
        <v>4618</v>
      </c>
      <c r="AG4" s="36" t="s">
        <v>4527</v>
      </c>
      <c r="AH4" s="36" t="s">
        <v>4420</v>
      </c>
      <c r="AI4" s="187" t="s">
        <v>3940</v>
      </c>
      <c r="AJ4" s="36" t="s">
        <v>3923</v>
      </c>
      <c r="AK4" s="36" t="s">
        <v>2830</v>
      </c>
      <c r="AM4" s="36" t="s">
        <v>2902</v>
      </c>
    </row>
    <row r="5" spans="1:40" s="36" customFormat="1" ht="20" customHeight="1" x14ac:dyDescent="0.15">
      <c r="A5" s="5" t="s">
        <v>5836</v>
      </c>
      <c r="B5" s="193" t="s">
        <v>126</v>
      </c>
      <c r="C5" s="193" t="s">
        <v>2777</v>
      </c>
      <c r="D5" s="193" t="s">
        <v>2852</v>
      </c>
      <c r="E5" s="193" t="s">
        <v>2850</v>
      </c>
      <c r="F5" s="193" t="s">
        <v>2848</v>
      </c>
      <c r="G5" s="193" t="s">
        <v>2846</v>
      </c>
      <c r="H5" s="193" t="s">
        <v>2854</v>
      </c>
      <c r="I5" s="193" t="s">
        <v>2855</v>
      </c>
      <c r="J5" s="193"/>
      <c r="M5" s="76">
        <v>3</v>
      </c>
      <c r="N5" s="76"/>
      <c r="O5" s="76"/>
      <c r="P5" s="76"/>
      <c r="Q5" s="76"/>
      <c r="R5" s="76"/>
      <c r="S5" s="76">
        <v>3</v>
      </c>
      <c r="T5" s="76" t="s">
        <v>3472</v>
      </c>
      <c r="U5" s="36" t="s">
        <v>3695</v>
      </c>
      <c r="V5" s="36" t="s">
        <v>3857</v>
      </c>
      <c r="W5" s="136" t="s">
        <v>3879</v>
      </c>
      <c r="X5" s="36" t="s">
        <v>3976</v>
      </c>
      <c r="Y5" s="36" t="s">
        <v>4172</v>
      </c>
      <c r="Z5" s="36" t="s">
        <v>4340</v>
      </c>
      <c r="AA5" s="36" t="s">
        <v>5404</v>
      </c>
      <c r="AB5" s="36" t="s">
        <v>5357</v>
      </c>
      <c r="AC5" s="36" t="s">
        <v>5187</v>
      </c>
      <c r="AD5" s="36" t="s">
        <v>5151</v>
      </c>
      <c r="AE5" s="36" t="s">
        <v>5107</v>
      </c>
      <c r="AF5" s="36" t="s">
        <v>4717</v>
      </c>
      <c r="AG5" s="36" t="s">
        <v>4546</v>
      </c>
      <c r="AH5" s="36" t="s">
        <v>4437</v>
      </c>
      <c r="AI5" s="36">
        <v>3</v>
      </c>
      <c r="AJ5" s="36" t="s">
        <v>3913</v>
      </c>
      <c r="AK5" s="36" t="s">
        <v>2829</v>
      </c>
      <c r="AM5" s="36" t="s">
        <v>2976</v>
      </c>
    </row>
    <row r="6" spans="1:40" s="36" customFormat="1" ht="20" customHeight="1" x14ac:dyDescent="0.15">
      <c r="A6" s="5" t="s">
        <v>5836</v>
      </c>
      <c r="B6" s="193" t="s">
        <v>126</v>
      </c>
      <c r="C6" s="193" t="s">
        <v>2777</v>
      </c>
      <c r="D6" s="193" t="s">
        <v>2853</v>
      </c>
      <c r="E6" s="193" t="s">
        <v>2851</v>
      </c>
      <c r="F6" s="193" t="s">
        <v>2849</v>
      </c>
      <c r="G6" s="193" t="s">
        <v>2847</v>
      </c>
      <c r="H6" s="193" t="s">
        <v>2856</v>
      </c>
      <c r="I6" s="193" t="s">
        <v>2857</v>
      </c>
      <c r="J6" s="193"/>
      <c r="M6" s="76"/>
      <c r="N6" s="76"/>
      <c r="O6" s="76"/>
      <c r="P6" s="76"/>
      <c r="Q6" s="76"/>
      <c r="R6" s="76"/>
      <c r="S6" s="76"/>
      <c r="T6" s="76" t="s">
        <v>3329</v>
      </c>
      <c r="U6" s="36" t="s">
        <v>3683</v>
      </c>
      <c r="V6" s="36" t="s">
        <v>3837</v>
      </c>
      <c r="W6" s="36">
        <v>4</v>
      </c>
      <c r="X6" s="36" t="s">
        <v>4080</v>
      </c>
      <c r="Y6" s="36" t="s">
        <v>4249</v>
      </c>
      <c r="Z6" s="36" t="s">
        <v>4351</v>
      </c>
      <c r="AA6" s="36" t="s">
        <v>5405</v>
      </c>
      <c r="AB6" s="187" t="s">
        <v>5352</v>
      </c>
      <c r="AC6" s="36" t="s">
        <v>5198</v>
      </c>
      <c r="AD6" s="36" t="s">
        <v>5154</v>
      </c>
      <c r="AE6" s="36" t="s">
        <v>5025</v>
      </c>
      <c r="AF6" s="36" t="s">
        <v>4821</v>
      </c>
      <c r="AG6" s="36" t="s">
        <v>4532</v>
      </c>
      <c r="AH6" s="36" t="s">
        <v>4431</v>
      </c>
      <c r="AJ6" s="36" t="s">
        <v>3908</v>
      </c>
      <c r="AK6" s="36" t="s">
        <v>2828</v>
      </c>
      <c r="AM6" s="36" t="s">
        <v>3015</v>
      </c>
    </row>
    <row r="7" spans="1:40" s="36" customFormat="1" ht="20" customHeight="1" x14ac:dyDescent="0.15">
      <c r="A7" s="5" t="s">
        <v>5837</v>
      </c>
      <c r="B7" s="193" t="s">
        <v>129</v>
      </c>
      <c r="C7" s="193" t="s">
        <v>2778</v>
      </c>
      <c r="D7" s="193" t="s">
        <v>2858</v>
      </c>
      <c r="E7" s="193" t="s">
        <v>2859</v>
      </c>
      <c r="F7" s="193" t="s">
        <v>2860</v>
      </c>
      <c r="G7" s="193">
        <v>3806</v>
      </c>
      <c r="H7" s="193" t="s">
        <v>2874</v>
      </c>
      <c r="I7" s="193" t="s">
        <v>2861</v>
      </c>
      <c r="J7" s="193"/>
      <c r="M7" s="76"/>
      <c r="N7" s="76"/>
      <c r="O7" s="76"/>
      <c r="P7" s="76"/>
      <c r="Q7" s="76"/>
      <c r="R7" s="76"/>
      <c r="S7" s="76"/>
      <c r="T7" s="76" t="s">
        <v>3290</v>
      </c>
      <c r="U7" s="36" t="s">
        <v>3707</v>
      </c>
      <c r="V7" s="36" t="s">
        <v>3873</v>
      </c>
      <c r="X7" s="36" t="s">
        <v>3965</v>
      </c>
      <c r="Y7" s="36" t="s">
        <v>4272</v>
      </c>
      <c r="Z7" s="36" t="s">
        <v>4346</v>
      </c>
      <c r="AA7" s="36" t="s">
        <v>5406</v>
      </c>
      <c r="AB7" s="36">
        <v>5</v>
      </c>
      <c r="AC7" s="36" t="s">
        <v>5313</v>
      </c>
      <c r="AD7" s="36" t="s">
        <v>5167</v>
      </c>
      <c r="AE7" s="36" t="s">
        <v>4998</v>
      </c>
      <c r="AF7" s="36" t="s">
        <v>4933</v>
      </c>
      <c r="AG7" s="36" t="s">
        <v>4557</v>
      </c>
      <c r="AH7" s="36" t="s">
        <v>4496</v>
      </c>
      <c r="AJ7" s="187" t="s">
        <v>3929</v>
      </c>
      <c r="AK7" s="187" t="s">
        <v>2833</v>
      </c>
      <c r="AM7" s="36" t="s">
        <v>3010</v>
      </c>
    </row>
    <row r="8" spans="1:40" s="36" customFormat="1" ht="20" customHeight="1" x14ac:dyDescent="0.15">
      <c r="A8" s="5" t="s">
        <v>5838</v>
      </c>
      <c r="B8" s="193" t="s">
        <v>132</v>
      </c>
      <c r="C8" s="193" t="s">
        <v>2779</v>
      </c>
      <c r="D8" s="193" t="s">
        <v>2862</v>
      </c>
      <c r="E8" s="193" t="s">
        <v>2863</v>
      </c>
      <c r="F8" s="193" t="s">
        <v>2864</v>
      </c>
      <c r="G8" s="193" t="s">
        <v>2865</v>
      </c>
      <c r="H8" s="193" t="s">
        <v>2866</v>
      </c>
      <c r="I8" s="193" t="s">
        <v>2867</v>
      </c>
      <c r="J8" s="193"/>
      <c r="T8" s="76" t="s">
        <v>3178</v>
      </c>
      <c r="U8" s="36" t="s">
        <v>3701</v>
      </c>
      <c r="V8" s="36" t="s">
        <v>3747</v>
      </c>
      <c r="X8" s="36" t="s">
        <v>4007</v>
      </c>
      <c r="Y8" s="36" t="s">
        <v>4278</v>
      </c>
      <c r="Z8" s="36" t="s">
        <v>4334</v>
      </c>
      <c r="AA8" s="36" t="s">
        <v>5407</v>
      </c>
      <c r="AC8" s="36" t="s">
        <v>5275</v>
      </c>
      <c r="AD8" s="36" t="s">
        <v>5141</v>
      </c>
      <c r="AE8" s="36" t="s">
        <v>5003</v>
      </c>
      <c r="AF8" s="36" t="s">
        <v>4927</v>
      </c>
      <c r="AG8" s="36" t="s">
        <v>4537</v>
      </c>
      <c r="AH8" s="36" t="s">
        <v>4506</v>
      </c>
      <c r="AJ8" s="36">
        <v>6</v>
      </c>
      <c r="AK8" s="36">
        <v>6</v>
      </c>
      <c r="AM8" s="36" t="s">
        <v>2914</v>
      </c>
    </row>
    <row r="9" spans="1:40" s="36" customFormat="1" ht="20" customHeight="1" x14ac:dyDescent="0.15">
      <c r="A9" s="5" t="s">
        <v>5839</v>
      </c>
      <c r="B9" s="193" t="s">
        <v>1413</v>
      </c>
      <c r="C9" s="193" t="s">
        <v>2776</v>
      </c>
      <c r="D9" s="193" t="s">
        <v>2868</v>
      </c>
      <c r="E9" s="193" t="s">
        <v>2869</v>
      </c>
      <c r="F9" s="193" t="s">
        <v>2870</v>
      </c>
      <c r="G9" s="193" t="s">
        <v>2871</v>
      </c>
      <c r="H9" s="193" t="s">
        <v>2872</v>
      </c>
      <c r="I9" s="193" t="s">
        <v>2873</v>
      </c>
      <c r="J9" s="193"/>
      <c r="T9" s="76" t="s">
        <v>3351</v>
      </c>
      <c r="U9" s="187" t="s">
        <v>3713</v>
      </c>
      <c r="V9" s="36" t="s">
        <v>3807</v>
      </c>
      <c r="X9" s="36" t="s">
        <v>4035</v>
      </c>
      <c r="Y9" s="36" t="s">
        <v>4255</v>
      </c>
      <c r="Z9" s="36" t="s">
        <v>4311</v>
      </c>
      <c r="AA9" s="36" t="s">
        <v>5408</v>
      </c>
      <c r="AC9" s="36" t="s">
        <v>5270</v>
      </c>
      <c r="AD9" s="187" t="s">
        <v>5158</v>
      </c>
      <c r="AE9" s="36" t="s">
        <v>5076</v>
      </c>
      <c r="AF9" s="36" t="s">
        <v>4844</v>
      </c>
      <c r="AG9" s="187" t="s">
        <v>4551</v>
      </c>
      <c r="AH9" s="36" t="s">
        <v>4372</v>
      </c>
      <c r="AM9" s="36" t="s">
        <v>2926</v>
      </c>
    </row>
    <row r="10" spans="1:40" s="36" customFormat="1" ht="20" customHeight="1" x14ac:dyDescent="0.15">
      <c r="A10" s="5" t="s">
        <v>5840</v>
      </c>
      <c r="B10" s="193" t="s">
        <v>138</v>
      </c>
      <c r="C10" s="193" t="s">
        <v>2780</v>
      </c>
      <c r="D10" s="193" t="s">
        <v>2875</v>
      </c>
      <c r="E10" s="193" t="s">
        <v>2876</v>
      </c>
      <c r="F10" s="193" t="s">
        <v>2877</v>
      </c>
      <c r="G10" s="193" t="s">
        <v>2878</v>
      </c>
      <c r="H10" s="193" t="s">
        <v>2879</v>
      </c>
      <c r="I10" s="193" t="s">
        <v>2841</v>
      </c>
      <c r="J10" s="193"/>
      <c r="T10" s="76" t="s">
        <v>3639</v>
      </c>
      <c r="U10" s="36">
        <v>8</v>
      </c>
      <c r="V10" s="36" t="s">
        <v>3843</v>
      </c>
      <c r="X10" s="36" t="s">
        <v>4085</v>
      </c>
      <c r="Y10" s="36" t="s">
        <v>4305</v>
      </c>
      <c r="Z10" s="187" t="s">
        <v>4323</v>
      </c>
      <c r="AA10" s="36" t="s">
        <v>5409</v>
      </c>
      <c r="AC10" s="36" t="s">
        <v>5259</v>
      </c>
      <c r="AD10" s="36">
        <v>8</v>
      </c>
      <c r="AE10" s="36" t="s">
        <v>4994</v>
      </c>
      <c r="AF10" s="36" t="s">
        <v>4643</v>
      </c>
      <c r="AG10" s="36">
        <v>8</v>
      </c>
      <c r="AH10" s="36" t="s">
        <v>4481</v>
      </c>
      <c r="AM10" s="36" t="s">
        <v>2982</v>
      </c>
    </row>
    <row r="11" spans="1:40" s="36" customFormat="1" ht="20" customHeight="1" x14ac:dyDescent="0.15">
      <c r="A11" s="5" t="s">
        <v>5841</v>
      </c>
      <c r="B11" s="193" t="s">
        <v>151</v>
      </c>
      <c r="C11" s="193" t="s">
        <v>2781</v>
      </c>
      <c r="D11" s="193" t="s">
        <v>3039</v>
      </c>
      <c r="E11" s="193" t="s">
        <v>3040</v>
      </c>
      <c r="F11" s="193" t="s">
        <v>3041</v>
      </c>
      <c r="G11" s="193" t="s">
        <v>3042</v>
      </c>
      <c r="H11" s="193" t="s">
        <v>3043</v>
      </c>
      <c r="I11" s="193" t="s">
        <v>3044</v>
      </c>
      <c r="J11" s="193"/>
      <c r="T11" s="76" t="s">
        <v>3057</v>
      </c>
      <c r="V11" s="36" t="s">
        <v>3833</v>
      </c>
      <c r="X11" s="36" t="s">
        <v>4047</v>
      </c>
      <c r="Y11" s="36" t="s">
        <v>4261</v>
      </c>
      <c r="Z11" s="36">
        <v>9</v>
      </c>
      <c r="AA11" s="36" t="s">
        <v>5410</v>
      </c>
      <c r="AC11" s="36" t="s">
        <v>5309</v>
      </c>
      <c r="AE11" s="36" t="s">
        <v>5072</v>
      </c>
      <c r="AF11" s="36" t="s">
        <v>4675</v>
      </c>
      <c r="AH11" s="36" t="s">
        <v>4459</v>
      </c>
      <c r="AM11" s="36" t="s">
        <v>2954</v>
      </c>
    </row>
    <row r="12" spans="1:40" s="36" customFormat="1" ht="20" customHeight="1" x14ac:dyDescent="0.15">
      <c r="A12" s="5" t="s">
        <v>5841</v>
      </c>
      <c r="B12" s="193" t="s">
        <v>151</v>
      </c>
      <c r="C12" s="193" t="s">
        <v>2781</v>
      </c>
      <c r="D12" s="193" t="s">
        <v>5842</v>
      </c>
      <c r="E12" s="193" t="s">
        <v>3028</v>
      </c>
      <c r="F12" s="193" t="s">
        <v>3029</v>
      </c>
      <c r="G12" s="193" t="s">
        <v>3030</v>
      </c>
      <c r="H12" s="193" t="s">
        <v>3031</v>
      </c>
      <c r="I12" s="193" t="s">
        <v>3032</v>
      </c>
      <c r="J12" s="193"/>
      <c r="T12" s="76" t="s">
        <v>3400</v>
      </c>
      <c r="V12" s="36" t="s">
        <v>3847</v>
      </c>
      <c r="X12" s="36" t="s">
        <v>3991</v>
      </c>
      <c r="Y12" s="36" t="s">
        <v>4295</v>
      </c>
      <c r="AA12" s="36" t="s">
        <v>5411</v>
      </c>
      <c r="AC12" s="36" t="s">
        <v>5243</v>
      </c>
      <c r="AE12" s="36" t="s">
        <v>5029</v>
      </c>
      <c r="AF12" s="36" t="s">
        <v>4603</v>
      </c>
      <c r="AH12" s="36" t="s">
        <v>4464</v>
      </c>
      <c r="AM12" s="36" t="s">
        <v>2948</v>
      </c>
    </row>
    <row r="13" spans="1:40" s="36" customFormat="1" ht="20" customHeight="1" x14ac:dyDescent="0.15">
      <c r="A13" s="5" t="s">
        <v>5841</v>
      </c>
      <c r="B13" s="193" t="s">
        <v>151</v>
      </c>
      <c r="C13" s="193" t="s">
        <v>2781</v>
      </c>
      <c r="D13" s="193" t="s">
        <v>3033</v>
      </c>
      <c r="E13" s="193" t="s">
        <v>3034</v>
      </c>
      <c r="F13" s="193" t="s">
        <v>3035</v>
      </c>
      <c r="G13" s="193" t="s">
        <v>3036</v>
      </c>
      <c r="H13" s="193" t="s">
        <v>3037</v>
      </c>
      <c r="I13" s="193" t="s">
        <v>3038</v>
      </c>
      <c r="J13" s="193"/>
      <c r="T13" s="76" t="s">
        <v>3200</v>
      </c>
      <c r="V13" s="36" t="s">
        <v>3829</v>
      </c>
      <c r="X13" s="36" t="s">
        <v>3960</v>
      </c>
      <c r="Y13" s="36" t="s">
        <v>4232</v>
      </c>
      <c r="AA13" s="36" t="s">
        <v>5412</v>
      </c>
      <c r="AC13" s="36" t="s">
        <v>5232</v>
      </c>
      <c r="AE13" s="36" t="s">
        <v>5097</v>
      </c>
      <c r="AF13" s="36" t="s">
        <v>4976</v>
      </c>
      <c r="AH13" s="36" t="s">
        <v>4415</v>
      </c>
      <c r="AM13" s="36" t="s">
        <v>2960</v>
      </c>
    </row>
    <row r="14" spans="1:40" s="36" customFormat="1" ht="20" customHeight="1" x14ac:dyDescent="0.15">
      <c r="A14" s="5" t="s">
        <v>5831</v>
      </c>
      <c r="B14" s="193" t="s">
        <v>153</v>
      </c>
      <c r="C14" s="193" t="s">
        <v>1591</v>
      </c>
      <c r="D14" s="193" t="s">
        <v>3239</v>
      </c>
      <c r="E14" s="193" t="s">
        <v>3240</v>
      </c>
      <c r="F14" s="193" t="s">
        <v>3241</v>
      </c>
      <c r="G14" s="193" t="s">
        <v>3242</v>
      </c>
      <c r="H14" s="193" t="s">
        <v>3243</v>
      </c>
      <c r="I14" s="193" t="s">
        <v>3244</v>
      </c>
      <c r="J14" s="193"/>
      <c r="T14" s="76" t="s">
        <v>3091</v>
      </c>
      <c r="V14" s="36" t="s">
        <v>3738</v>
      </c>
      <c r="X14" s="36" t="s">
        <v>4018</v>
      </c>
      <c r="Y14" s="36" t="s">
        <v>4220</v>
      </c>
      <c r="AA14" s="36" t="s">
        <v>5413</v>
      </c>
      <c r="AC14" s="36" t="s">
        <v>5324</v>
      </c>
      <c r="AE14" s="36" t="s">
        <v>5008</v>
      </c>
      <c r="AF14" s="36" t="s">
        <v>4665</v>
      </c>
      <c r="AH14" s="36" t="s">
        <v>4516</v>
      </c>
      <c r="AM14" s="36" t="s">
        <v>2942</v>
      </c>
    </row>
    <row r="15" spans="1:40" s="36" customFormat="1" ht="20" customHeight="1" x14ac:dyDescent="0.15">
      <c r="A15" s="5" t="s">
        <v>5831</v>
      </c>
      <c r="B15" s="193" t="s">
        <v>153</v>
      </c>
      <c r="C15" s="193" t="s">
        <v>1591</v>
      </c>
      <c r="D15" s="193" t="s">
        <v>3466</v>
      </c>
      <c r="E15" s="193" t="s">
        <v>3467</v>
      </c>
      <c r="F15" s="193" t="s">
        <v>3468</v>
      </c>
      <c r="G15" s="193" t="s">
        <v>3469</v>
      </c>
      <c r="H15" s="193" t="s">
        <v>3470</v>
      </c>
      <c r="I15" s="193" t="s">
        <v>3471</v>
      </c>
      <c r="J15" s="193"/>
      <c r="T15" s="76" t="s">
        <v>3228</v>
      </c>
      <c r="V15" s="36" t="s">
        <v>3813</v>
      </c>
      <c r="X15" s="36" t="s">
        <v>4064</v>
      </c>
      <c r="Y15" s="36" t="s">
        <v>4238</v>
      </c>
      <c r="AA15" s="36" t="s">
        <v>5414</v>
      </c>
      <c r="AC15" s="36" t="s">
        <v>5249</v>
      </c>
      <c r="AE15" s="36" t="s">
        <v>4986</v>
      </c>
      <c r="AF15" s="36" t="s">
        <v>4918</v>
      </c>
      <c r="AH15" s="36" t="s">
        <v>4399</v>
      </c>
      <c r="AM15" s="36" t="s">
        <v>2999</v>
      </c>
    </row>
    <row r="16" spans="1:40" s="36" customFormat="1" ht="20" customHeight="1" x14ac:dyDescent="0.15">
      <c r="A16" s="5" t="s">
        <v>5831</v>
      </c>
      <c r="B16" s="193" t="s">
        <v>153</v>
      </c>
      <c r="C16" s="193" t="s">
        <v>1591</v>
      </c>
      <c r="D16" s="193" t="s">
        <v>3530</v>
      </c>
      <c r="E16" s="193" t="s">
        <v>3531</v>
      </c>
      <c r="F16" s="193" t="s">
        <v>3532</v>
      </c>
      <c r="G16" s="193" t="s">
        <v>3533</v>
      </c>
      <c r="H16" s="193" t="s">
        <v>3534</v>
      </c>
      <c r="I16" s="193" t="s">
        <v>3535</v>
      </c>
      <c r="J16" s="193"/>
      <c r="T16" s="76" t="s">
        <v>3308</v>
      </c>
      <c r="V16" s="36" t="s">
        <v>3769</v>
      </c>
      <c r="X16" s="36" t="s">
        <v>4023</v>
      </c>
      <c r="Y16" s="36" t="s">
        <v>4290</v>
      </c>
      <c r="AA16" s="36" t="s">
        <v>5415</v>
      </c>
      <c r="AC16" s="36" t="s">
        <v>5303</v>
      </c>
      <c r="AE16" s="36" t="s">
        <v>5063</v>
      </c>
      <c r="AF16" s="36" t="s">
        <v>4740</v>
      </c>
      <c r="AH16" s="36" t="s">
        <v>4426</v>
      </c>
      <c r="AM16" s="36" t="s">
        <v>2891</v>
      </c>
    </row>
    <row r="17" spans="1:39" s="36" customFormat="1" ht="20" customHeight="1" x14ac:dyDescent="0.15">
      <c r="A17" s="282" t="s">
        <v>5831</v>
      </c>
      <c r="B17" s="282" t="s">
        <v>153</v>
      </c>
      <c r="C17" s="282" t="s">
        <v>1591</v>
      </c>
      <c r="D17" s="282" t="s">
        <v>3472</v>
      </c>
      <c r="E17" s="282" t="s">
        <v>3473</v>
      </c>
      <c r="F17" s="282" t="s">
        <v>3474</v>
      </c>
      <c r="G17" s="282" t="s">
        <v>3475</v>
      </c>
      <c r="H17" s="282" t="s">
        <v>3480</v>
      </c>
      <c r="I17" s="282" t="s">
        <v>3481</v>
      </c>
      <c r="T17" s="76" t="s">
        <v>3314</v>
      </c>
      <c r="V17" s="36" t="s">
        <v>3732</v>
      </c>
      <c r="X17" s="36" t="s">
        <v>4013</v>
      </c>
      <c r="Y17" s="36" t="s">
        <v>4155</v>
      </c>
      <c r="AA17" s="36" t="s">
        <v>5416</v>
      </c>
      <c r="AC17" s="36" t="s">
        <v>5181</v>
      </c>
      <c r="AE17" s="36" t="s">
        <v>5051</v>
      </c>
      <c r="AF17" s="36" t="s">
        <v>4854</v>
      </c>
      <c r="AH17" s="36" t="s">
        <v>4404</v>
      </c>
      <c r="AM17" s="36" t="s">
        <v>2988</v>
      </c>
    </row>
    <row r="18" spans="1:39" s="36" customFormat="1" ht="20" customHeight="1" x14ac:dyDescent="0.15">
      <c r="A18" s="5" t="s">
        <v>5831</v>
      </c>
      <c r="B18" s="193" t="s">
        <v>153</v>
      </c>
      <c r="C18" s="193" t="s">
        <v>1591</v>
      </c>
      <c r="D18" s="193" t="s">
        <v>3329</v>
      </c>
      <c r="E18" s="193" t="s">
        <v>3330</v>
      </c>
      <c r="F18" s="193" t="s">
        <v>3331</v>
      </c>
      <c r="G18" s="193" t="s">
        <v>3332</v>
      </c>
      <c r="H18" s="193" t="s">
        <v>3333</v>
      </c>
      <c r="I18" s="193" t="s">
        <v>3334</v>
      </c>
      <c r="T18" s="76" t="s">
        <v>3274</v>
      </c>
      <c r="V18" s="36" t="s">
        <v>3851</v>
      </c>
      <c r="X18" s="36" t="s">
        <v>4029</v>
      </c>
      <c r="Y18" s="36" t="s">
        <v>4284</v>
      </c>
      <c r="AA18" s="36" t="s">
        <v>5417</v>
      </c>
      <c r="AC18" s="36" t="s">
        <v>5281</v>
      </c>
      <c r="AE18" s="36" t="s">
        <v>5012</v>
      </c>
      <c r="AF18" s="36" t="s">
        <v>4578</v>
      </c>
      <c r="AH18" s="36" t="s">
        <v>4409</v>
      </c>
      <c r="AM18" s="36" t="s">
        <v>2908</v>
      </c>
    </row>
    <row r="19" spans="1:39" s="36" customFormat="1" ht="20" customHeight="1" x14ac:dyDescent="0.15">
      <c r="A19" s="5" t="s">
        <v>5831</v>
      </c>
      <c r="B19" s="193" t="s">
        <v>153</v>
      </c>
      <c r="C19" s="193" t="str">
        <f>IF(ISERROR(INDEX('Doonees A MASQUER'!H2:H546,MATCH(1,('Doonees A MASQUER'!A2:A546=$C$14)*('Doonees A MASQUER'!D2:D546=$C$15),0))),"",(INDEX('Doonees A MASQUER'!H2:H546,MATCH(1,('[2]Doonees A MASQUER'!$A$2:$A$546=$C$14)*('[2]Doonees A MASQUER'!$D$2:$D$546=$C$15),0))))</f>
        <v/>
      </c>
      <c r="D19" s="193" t="s">
        <v>3290</v>
      </c>
      <c r="E19" s="193" t="s">
        <v>3291</v>
      </c>
      <c r="F19" s="193" t="s">
        <v>3292</v>
      </c>
      <c r="G19" s="193" t="s">
        <v>3293</v>
      </c>
      <c r="H19" s="193" t="s">
        <v>3294</v>
      </c>
      <c r="I19" s="193" t="s">
        <v>3295</v>
      </c>
      <c r="T19" s="76" t="s">
        <v>3389</v>
      </c>
      <c r="V19" s="36" t="s">
        <v>3867</v>
      </c>
      <c r="X19" s="36" t="s">
        <v>4058</v>
      </c>
      <c r="Y19" s="36" t="s">
        <v>4161</v>
      </c>
      <c r="AA19" s="36" t="s">
        <v>5418</v>
      </c>
      <c r="AC19" s="36" t="s">
        <v>5318</v>
      </c>
      <c r="AE19" s="36" t="s">
        <v>4990</v>
      </c>
      <c r="AF19" s="36" t="s">
        <v>4811</v>
      </c>
      <c r="AH19" s="36" t="s">
        <v>4469</v>
      </c>
      <c r="AM19" s="36" t="s">
        <v>3005</v>
      </c>
    </row>
    <row r="20" spans="1:39" s="36" customFormat="1" ht="20" customHeight="1" x14ac:dyDescent="0.15">
      <c r="A20" s="5" t="s">
        <v>5831</v>
      </c>
      <c r="B20" s="193" t="s">
        <v>153</v>
      </c>
      <c r="C20" s="193" t="s">
        <v>1591</v>
      </c>
      <c r="D20" s="193" t="s">
        <v>3178</v>
      </c>
      <c r="E20" s="193" t="s">
        <v>3179</v>
      </c>
      <c r="F20" s="193" t="s">
        <v>3180</v>
      </c>
      <c r="G20" s="193" t="s">
        <v>3181</v>
      </c>
      <c r="H20" s="193" t="s">
        <v>3182</v>
      </c>
      <c r="I20" s="193" t="s">
        <v>3183</v>
      </c>
      <c r="T20" s="76" t="s">
        <v>3063</v>
      </c>
      <c r="V20" s="36" t="s">
        <v>3861</v>
      </c>
      <c r="X20" s="36" t="s">
        <v>4137</v>
      </c>
      <c r="Y20" s="36" t="s">
        <v>4208</v>
      </c>
      <c r="AA20" s="36" t="s">
        <v>5419</v>
      </c>
      <c r="AC20" s="36" t="s">
        <v>5254</v>
      </c>
      <c r="AE20" s="36" t="s">
        <v>5021</v>
      </c>
      <c r="AF20" s="36" t="s">
        <v>4864</v>
      </c>
      <c r="AH20" s="36" t="s">
        <v>4491</v>
      </c>
      <c r="AM20" s="36" t="s">
        <v>2971</v>
      </c>
    </row>
    <row r="21" spans="1:39" s="36" customFormat="1" ht="20" customHeight="1" x14ac:dyDescent="0.15">
      <c r="A21" s="5" t="s">
        <v>5831</v>
      </c>
      <c r="B21" s="193" t="s">
        <v>153</v>
      </c>
      <c r="C21" s="193" t="s">
        <v>1591</v>
      </c>
      <c r="D21" s="193" t="s">
        <v>3351</v>
      </c>
      <c r="E21" s="193" t="s">
        <v>3352</v>
      </c>
      <c r="F21" s="193" t="s">
        <v>3353</v>
      </c>
      <c r="G21" s="193" t="s">
        <v>3354</v>
      </c>
      <c r="H21" s="193" t="s">
        <v>3355</v>
      </c>
      <c r="I21" s="193" t="s">
        <v>3356</v>
      </c>
      <c r="T21" s="76" t="s">
        <v>3086</v>
      </c>
      <c r="V21" s="36" t="s">
        <v>2804</v>
      </c>
      <c r="X21" s="36" t="s">
        <v>4090</v>
      </c>
      <c r="Y21" s="36" t="s">
        <v>4178</v>
      </c>
      <c r="AA21" s="36" t="s">
        <v>5420</v>
      </c>
      <c r="AC21" s="36" t="s">
        <v>5264</v>
      </c>
      <c r="AE21" s="36" t="s">
        <v>5111</v>
      </c>
      <c r="AF21" s="36" t="s">
        <v>4875</v>
      </c>
      <c r="AH21" s="36" t="s">
        <v>4454</v>
      </c>
      <c r="AM21" s="36" t="s">
        <v>2897</v>
      </c>
    </row>
    <row r="22" spans="1:39" s="36" customFormat="1" ht="20" customHeight="1" x14ac:dyDescent="0.15">
      <c r="A22" s="5" t="s">
        <v>5831</v>
      </c>
      <c r="B22" s="193" t="s">
        <v>153</v>
      </c>
      <c r="C22" s="193" t="s">
        <v>1591</v>
      </c>
      <c r="D22" s="193" t="s">
        <v>3639</v>
      </c>
      <c r="E22" s="193" t="s">
        <v>3640</v>
      </c>
      <c r="F22" s="193" t="s">
        <v>3641</v>
      </c>
      <c r="G22" s="193" t="s">
        <v>3642</v>
      </c>
      <c r="H22" s="193" t="s">
        <v>3643</v>
      </c>
      <c r="I22" s="193" t="s">
        <v>3644</v>
      </c>
      <c r="T22" s="76" t="s">
        <v>3302</v>
      </c>
      <c r="V22" s="36" t="s">
        <v>3785</v>
      </c>
      <c r="X22" s="36" t="s">
        <v>4074</v>
      </c>
      <c r="Y22" s="36" t="s">
        <v>4202</v>
      </c>
      <c r="AA22" s="36" t="s">
        <v>5421</v>
      </c>
      <c r="AC22" s="36" t="s">
        <v>5203</v>
      </c>
      <c r="AE22" s="36" t="s">
        <v>5043</v>
      </c>
      <c r="AF22" s="36" t="s">
        <v>4907</v>
      </c>
      <c r="AH22" s="36" t="s">
        <v>4383</v>
      </c>
      <c r="AM22" s="36" t="s">
        <v>2937</v>
      </c>
    </row>
    <row r="23" spans="1:39" s="36" customFormat="1" ht="20" customHeight="1" x14ac:dyDescent="0.15">
      <c r="A23" s="5" t="s">
        <v>5831</v>
      </c>
      <c r="B23" s="193" t="s">
        <v>153</v>
      </c>
      <c r="C23" s="193" t="s">
        <v>1591</v>
      </c>
      <c r="D23" s="193" t="s">
        <v>3057</v>
      </c>
      <c r="E23" s="193" t="s">
        <v>3058</v>
      </c>
      <c r="F23" s="193" t="s">
        <v>3059</v>
      </c>
      <c r="G23" s="193" t="s">
        <v>3060</v>
      </c>
      <c r="H23" s="193" t="s">
        <v>3061</v>
      </c>
      <c r="I23" s="193" t="s">
        <v>3062</v>
      </c>
      <c r="T23" s="76" t="s">
        <v>3263</v>
      </c>
      <c r="V23" s="36" t="s">
        <v>3818</v>
      </c>
      <c r="X23" s="36" t="s">
        <v>4122</v>
      </c>
      <c r="Y23" s="36" t="s">
        <v>4184</v>
      </c>
      <c r="AA23" s="36" t="s">
        <v>5422</v>
      </c>
      <c r="AC23" s="36" t="s">
        <v>5287</v>
      </c>
      <c r="AE23" s="36" t="s">
        <v>5059</v>
      </c>
      <c r="AF23" s="36" t="s">
        <v>4943</v>
      </c>
      <c r="AH23" s="36" t="s">
        <v>4443</v>
      </c>
      <c r="AM23" s="36" t="s">
        <v>2885</v>
      </c>
    </row>
    <row r="24" spans="1:39" s="36" customFormat="1" ht="20" customHeight="1" x14ac:dyDescent="0.15">
      <c r="A24" s="5" t="s">
        <v>5831</v>
      </c>
      <c r="B24" s="193" t="s">
        <v>153</v>
      </c>
      <c r="C24" s="193" t="s">
        <v>1591</v>
      </c>
      <c r="D24" s="193" t="s">
        <v>3400</v>
      </c>
      <c r="E24" s="193" t="s">
        <v>3401</v>
      </c>
      <c r="F24" s="193" t="s">
        <v>3402</v>
      </c>
      <c r="G24" s="193" t="s">
        <v>3403</v>
      </c>
      <c r="H24" s="193" t="s">
        <v>3404</v>
      </c>
      <c r="I24" s="193" t="s">
        <v>3405</v>
      </c>
      <c r="T24" s="76" t="s">
        <v>3097</v>
      </c>
      <c r="V24" s="36" t="s">
        <v>3779</v>
      </c>
      <c r="X24" s="36" t="s">
        <v>4069</v>
      </c>
      <c r="Y24" s="36" t="s">
        <v>4243</v>
      </c>
      <c r="AA24" s="36" t="s">
        <v>5423</v>
      </c>
      <c r="AC24" s="36" t="s">
        <v>5226</v>
      </c>
      <c r="AE24" s="36" t="s">
        <v>5130</v>
      </c>
      <c r="AF24" s="36" t="s">
        <v>4622</v>
      </c>
      <c r="AH24" s="36" t="s">
        <v>4487</v>
      </c>
      <c r="AM24" s="36" t="s">
        <v>2931</v>
      </c>
    </row>
    <row r="25" spans="1:39" s="36" customFormat="1" ht="20" customHeight="1" x14ac:dyDescent="0.15">
      <c r="A25" s="5" t="s">
        <v>5831</v>
      </c>
      <c r="B25" s="193" t="s">
        <v>153</v>
      </c>
      <c r="C25" s="193" t="s">
        <v>1591</v>
      </c>
      <c r="D25" s="193" t="s">
        <v>3200</v>
      </c>
      <c r="E25" s="193" t="s">
        <v>3201</v>
      </c>
      <c r="F25" s="193" t="s">
        <v>3202</v>
      </c>
      <c r="G25" s="193" t="s">
        <v>3203</v>
      </c>
      <c r="H25" s="193" t="s">
        <v>3204</v>
      </c>
      <c r="I25" s="193" t="s">
        <v>3205</v>
      </c>
      <c r="T25" s="76" t="s">
        <v>3074</v>
      </c>
      <c r="V25" s="36" t="s">
        <v>3775</v>
      </c>
      <c r="X25" s="36" t="s">
        <v>4105</v>
      </c>
      <c r="Y25" s="36" t="s">
        <v>4226</v>
      </c>
      <c r="AA25" s="36" t="s">
        <v>5424</v>
      </c>
      <c r="AC25" s="36" t="s">
        <v>5298</v>
      </c>
      <c r="AE25" s="36" t="s">
        <v>5039</v>
      </c>
      <c r="AF25" s="36" t="s">
        <v>4593</v>
      </c>
      <c r="AH25" s="36" t="s">
        <v>4388</v>
      </c>
      <c r="AM25" s="187" t="s">
        <v>2920</v>
      </c>
    </row>
    <row r="26" spans="1:39" s="36" customFormat="1" ht="20" customHeight="1" x14ac:dyDescent="0.15">
      <c r="A26" s="5" t="s">
        <v>5831</v>
      </c>
      <c r="B26" s="193" t="s">
        <v>153</v>
      </c>
      <c r="C26" s="193" t="s">
        <v>1591</v>
      </c>
      <c r="D26" s="193" t="s">
        <v>3091</v>
      </c>
      <c r="E26" s="193" t="s">
        <v>3092</v>
      </c>
      <c r="F26" s="193" t="s">
        <v>3093</v>
      </c>
      <c r="G26" s="193" t="s">
        <v>3094</v>
      </c>
      <c r="H26" s="193" t="s">
        <v>3095</v>
      </c>
      <c r="I26" s="193" t="s">
        <v>3096</v>
      </c>
      <c r="T26" s="76" t="s">
        <v>3667</v>
      </c>
      <c r="V26" s="36" t="s">
        <v>3757</v>
      </c>
      <c r="X26" s="36" t="s">
        <v>3986</v>
      </c>
      <c r="Y26" s="36" t="s">
        <v>4267</v>
      </c>
      <c r="AA26" s="36" t="s">
        <v>5425</v>
      </c>
      <c r="AC26" s="36" t="s">
        <v>5220</v>
      </c>
      <c r="AE26" s="36" t="s">
        <v>3903</v>
      </c>
      <c r="AF26" s="36" t="s">
        <v>4970</v>
      </c>
      <c r="AH26" s="36" t="s">
        <v>4449</v>
      </c>
      <c r="AM26" s="36">
        <v>24</v>
      </c>
    </row>
    <row r="27" spans="1:39" s="36" customFormat="1" ht="20" customHeight="1" x14ac:dyDescent="0.15">
      <c r="A27" s="5" t="s">
        <v>5831</v>
      </c>
      <c r="B27" s="193" t="s">
        <v>153</v>
      </c>
      <c r="C27" s="193" t="s">
        <v>1591</v>
      </c>
      <c r="D27" s="193" t="s">
        <v>3228</v>
      </c>
      <c r="E27" s="193" t="s">
        <v>3229</v>
      </c>
      <c r="F27" s="193" t="s">
        <v>3230</v>
      </c>
      <c r="G27" s="193" t="s">
        <v>3231</v>
      </c>
      <c r="H27" s="193" t="s">
        <v>3232</v>
      </c>
      <c r="I27" s="193" t="s">
        <v>2839</v>
      </c>
      <c r="T27" s="76" t="s">
        <v>3135</v>
      </c>
      <c r="V27" s="36" t="s">
        <v>3742</v>
      </c>
      <c r="X27" s="36" t="s">
        <v>4100</v>
      </c>
      <c r="Y27" s="36" t="s">
        <v>4299</v>
      </c>
      <c r="AA27" s="36" t="s">
        <v>5426</v>
      </c>
      <c r="AC27" s="36" t="s">
        <v>5214</v>
      </c>
      <c r="AE27" s="36" t="s">
        <v>5137</v>
      </c>
      <c r="AF27" s="36" t="s">
        <v>4746</v>
      </c>
      <c r="AH27" s="36" t="s">
        <v>4501</v>
      </c>
    </row>
    <row r="28" spans="1:39" s="36" customFormat="1" ht="20" customHeight="1" x14ac:dyDescent="0.15">
      <c r="A28" s="5" t="s">
        <v>5831</v>
      </c>
      <c r="B28" s="193" t="s">
        <v>153</v>
      </c>
      <c r="C28" s="193" t="s">
        <v>1591</v>
      </c>
      <c r="D28" s="193" t="s">
        <v>3308</v>
      </c>
      <c r="E28" s="193" t="s">
        <v>3309</v>
      </c>
      <c r="F28" s="193" t="s">
        <v>3310</v>
      </c>
      <c r="G28" s="193" t="s">
        <v>3311</v>
      </c>
      <c r="H28" s="193" t="s">
        <v>3312</v>
      </c>
      <c r="I28" s="193" t="s">
        <v>3313</v>
      </c>
      <c r="T28" s="76" t="s">
        <v>3661</v>
      </c>
      <c r="V28" s="36" t="s">
        <v>3797</v>
      </c>
      <c r="X28" s="36" t="s">
        <v>4133</v>
      </c>
      <c r="Y28" s="187" t="s">
        <v>4190</v>
      </c>
      <c r="AA28" s="36" t="s">
        <v>5427</v>
      </c>
      <c r="AC28" s="36" t="s">
        <v>5237</v>
      </c>
      <c r="AE28" s="36" t="s">
        <v>5082</v>
      </c>
      <c r="AF28" s="36" t="s">
        <v>4587</v>
      </c>
      <c r="AH28" s="36" t="s">
        <v>4367</v>
      </c>
    </row>
    <row r="29" spans="1:39" s="36" customFormat="1" ht="20" customHeight="1" x14ac:dyDescent="0.15">
      <c r="A29" s="5" t="s">
        <v>5831</v>
      </c>
      <c r="B29" s="193" t="s">
        <v>153</v>
      </c>
      <c r="C29" s="193" t="s">
        <v>1591</v>
      </c>
      <c r="D29" s="193" t="s">
        <v>3314</v>
      </c>
      <c r="E29" s="193" t="s">
        <v>3315</v>
      </c>
      <c r="F29" s="193" t="s">
        <v>3316</v>
      </c>
      <c r="G29" s="193" t="s">
        <v>3317</v>
      </c>
      <c r="H29" s="193" t="s">
        <v>2997</v>
      </c>
      <c r="I29" s="193" t="s">
        <v>3079</v>
      </c>
      <c r="T29" s="76" t="s">
        <v>3456</v>
      </c>
      <c r="V29" s="36" t="s">
        <v>3801</v>
      </c>
      <c r="X29" s="36" t="s">
        <v>4154</v>
      </c>
      <c r="Y29" s="36">
        <v>27</v>
      </c>
      <c r="AA29" s="36" t="s">
        <v>5428</v>
      </c>
      <c r="AC29" s="36" t="s">
        <v>5292</v>
      </c>
      <c r="AE29" s="36" t="s">
        <v>5134</v>
      </c>
      <c r="AF29" s="36" t="s">
        <v>4922</v>
      </c>
      <c r="AH29" s="36" t="s">
        <v>4522</v>
      </c>
    </row>
    <row r="30" spans="1:39" s="36" customFormat="1" ht="20" customHeight="1" x14ac:dyDescent="0.15">
      <c r="A30" s="5" t="s">
        <v>5831</v>
      </c>
      <c r="B30" s="193" t="s">
        <v>153</v>
      </c>
      <c r="C30" s="193" t="s">
        <v>1591</v>
      </c>
      <c r="D30" s="193" t="s">
        <v>3274</v>
      </c>
      <c r="E30" s="193" t="s">
        <v>3275</v>
      </c>
      <c r="F30" s="193" t="s">
        <v>3276</v>
      </c>
      <c r="G30" s="193" t="s">
        <v>3277</v>
      </c>
      <c r="H30" s="193" t="s">
        <v>3278</v>
      </c>
      <c r="I30" s="193" t="s">
        <v>3279</v>
      </c>
      <c r="T30" s="76" t="s">
        <v>3384</v>
      </c>
      <c r="V30" s="187" t="s">
        <v>3824</v>
      </c>
      <c r="X30" s="36" t="s">
        <v>4095</v>
      </c>
      <c r="AA30" s="36" t="s">
        <v>5429</v>
      </c>
      <c r="AC30" s="187" t="s">
        <v>5209</v>
      </c>
      <c r="AE30" s="36" t="s">
        <v>5068</v>
      </c>
      <c r="AF30" s="36" t="s">
        <v>4613</v>
      </c>
      <c r="AH30" s="36" t="s">
        <v>4511</v>
      </c>
    </row>
    <row r="31" spans="1:39" s="36" customFormat="1" ht="20" customHeight="1" x14ac:dyDescent="0.15">
      <c r="A31" s="5" t="s">
        <v>5831</v>
      </c>
      <c r="B31" s="193" t="s">
        <v>153</v>
      </c>
      <c r="C31" s="193" t="s">
        <v>1591</v>
      </c>
      <c r="D31" s="193" t="s">
        <v>3389</v>
      </c>
      <c r="E31" s="193" t="s">
        <v>3390</v>
      </c>
      <c r="F31" s="193" t="s">
        <v>3391</v>
      </c>
      <c r="G31" s="193" t="s">
        <v>3392</v>
      </c>
      <c r="H31" s="193" t="s">
        <v>3393</v>
      </c>
      <c r="I31" s="193" t="s">
        <v>2841</v>
      </c>
      <c r="T31" s="76" t="s">
        <v>3514</v>
      </c>
      <c r="V31" s="36">
        <v>29</v>
      </c>
      <c r="X31" s="36" t="s">
        <v>4052</v>
      </c>
      <c r="AA31" s="36" t="s">
        <v>5430</v>
      </c>
      <c r="AC31" s="36">
        <v>29</v>
      </c>
      <c r="AE31" s="36" t="s">
        <v>5033</v>
      </c>
      <c r="AF31" s="36" t="s">
        <v>4880</v>
      </c>
      <c r="AH31" s="36" t="s">
        <v>4378</v>
      </c>
    </row>
    <row r="32" spans="1:39" s="36" customFormat="1" ht="20" customHeight="1" x14ac:dyDescent="0.15">
      <c r="A32" s="5" t="s">
        <v>5831</v>
      </c>
      <c r="B32" s="193" t="s">
        <v>153</v>
      </c>
      <c r="C32" s="193" t="s">
        <v>1591</v>
      </c>
      <c r="D32" s="193" t="s">
        <v>3063</v>
      </c>
      <c r="E32" s="193" t="s">
        <v>3064</v>
      </c>
      <c r="F32" s="193" t="s">
        <v>3065</v>
      </c>
      <c r="G32" s="193" t="s">
        <v>3066</v>
      </c>
      <c r="H32" s="193" t="s">
        <v>3067</v>
      </c>
      <c r="I32" s="193" t="s">
        <v>2814</v>
      </c>
      <c r="T32" s="76" t="s">
        <v>3206</v>
      </c>
      <c r="X32" s="36" t="s">
        <v>3981</v>
      </c>
      <c r="AA32" s="36" t="s">
        <v>5431</v>
      </c>
      <c r="AE32" s="36" t="s">
        <v>5122</v>
      </c>
      <c r="AF32" s="36" t="s">
        <v>4608</v>
      </c>
      <c r="AH32" s="187" t="s">
        <v>4475</v>
      </c>
    </row>
    <row r="33" spans="1:34" s="36" customFormat="1" ht="20" customHeight="1" x14ac:dyDescent="0.15">
      <c r="A33" s="5" t="s">
        <v>5831</v>
      </c>
      <c r="B33" s="193" t="s">
        <v>153</v>
      </c>
      <c r="C33" s="193" t="s">
        <v>1591</v>
      </c>
      <c r="D33" s="193" t="s">
        <v>3086</v>
      </c>
      <c r="E33" s="193" t="s">
        <v>3087</v>
      </c>
      <c r="F33" s="193" t="s">
        <v>3088</v>
      </c>
      <c r="G33" s="193" t="s">
        <v>3089</v>
      </c>
      <c r="H33" s="193" t="s">
        <v>3090</v>
      </c>
      <c r="I33" s="193" t="s">
        <v>2987</v>
      </c>
      <c r="T33" s="76" t="s">
        <v>2875</v>
      </c>
      <c r="X33" s="36" t="s">
        <v>4117</v>
      </c>
      <c r="AA33" s="36" t="s">
        <v>5432</v>
      </c>
      <c r="AE33" s="36" t="s">
        <v>5093</v>
      </c>
      <c r="AF33" s="36" t="s">
        <v>4734</v>
      </c>
      <c r="AH33" s="36">
        <v>31</v>
      </c>
    </row>
    <row r="34" spans="1:34" s="36" customFormat="1" ht="20" customHeight="1" x14ac:dyDescent="0.15">
      <c r="A34" s="5" t="s">
        <v>5831</v>
      </c>
      <c r="B34" s="193" t="s">
        <v>153</v>
      </c>
      <c r="C34" s="193" t="s">
        <v>1591</v>
      </c>
      <c r="D34" s="193" t="s">
        <v>3302</v>
      </c>
      <c r="E34" s="193" t="s">
        <v>3303</v>
      </c>
      <c r="F34" s="193" t="s">
        <v>3304</v>
      </c>
      <c r="G34" s="193" t="s">
        <v>3305</v>
      </c>
      <c r="H34" s="193" t="s">
        <v>3306</v>
      </c>
      <c r="I34" s="193" t="s">
        <v>3307</v>
      </c>
      <c r="T34" s="76" t="s">
        <v>3577</v>
      </c>
      <c r="X34" s="36" t="s">
        <v>4111</v>
      </c>
      <c r="AA34" s="36" t="s">
        <v>5433</v>
      </c>
      <c r="AE34" s="36" t="s">
        <v>5047</v>
      </c>
      <c r="AF34" s="36" t="s">
        <v>4685</v>
      </c>
    </row>
    <row r="35" spans="1:34" s="36" customFormat="1" ht="20" customHeight="1" x14ac:dyDescent="0.15">
      <c r="A35" s="5" t="s">
        <v>5831</v>
      </c>
      <c r="B35" s="193" t="s">
        <v>153</v>
      </c>
      <c r="C35" s="193" t="s">
        <v>1591</v>
      </c>
      <c r="D35" s="193" t="s">
        <v>3263</v>
      </c>
      <c r="E35" s="193" t="s">
        <v>3264</v>
      </c>
      <c r="F35" s="193" t="s">
        <v>3265</v>
      </c>
      <c r="G35" s="193" t="s">
        <v>3266</v>
      </c>
      <c r="H35" s="193" t="s">
        <v>3267</v>
      </c>
      <c r="I35" s="193" t="s">
        <v>2839</v>
      </c>
      <c r="T35" s="76" t="s">
        <v>3598</v>
      </c>
      <c r="X35" s="36" t="s">
        <v>4146</v>
      </c>
      <c r="AA35" s="36" t="s">
        <v>5434</v>
      </c>
      <c r="AE35" s="36" t="s">
        <v>5116</v>
      </c>
      <c r="AF35" s="36" t="s">
        <v>4752</v>
      </c>
    </row>
    <row r="36" spans="1:34" s="36" customFormat="1" ht="20" customHeight="1" x14ac:dyDescent="0.15">
      <c r="A36" s="5" t="s">
        <v>5831</v>
      </c>
      <c r="B36" s="193" t="s">
        <v>153</v>
      </c>
      <c r="C36" s="193" t="s">
        <v>1591</v>
      </c>
      <c r="D36" s="193" t="s">
        <v>3097</v>
      </c>
      <c r="E36" s="193" t="s">
        <v>3098</v>
      </c>
      <c r="F36" s="193" t="s">
        <v>3099</v>
      </c>
      <c r="G36" s="193" t="s">
        <v>3100</v>
      </c>
      <c r="H36" s="193" t="s">
        <v>3101</v>
      </c>
      <c r="I36" s="193" t="s">
        <v>2890</v>
      </c>
      <c r="T36" s="76" t="s">
        <v>3318</v>
      </c>
      <c r="X36" s="36" t="s">
        <v>4127</v>
      </c>
      <c r="AA36" s="36" t="s">
        <v>5435</v>
      </c>
      <c r="AE36" s="187" t="s">
        <v>5016</v>
      </c>
      <c r="AF36" s="36" t="s">
        <v>4631</v>
      </c>
    </row>
    <row r="37" spans="1:34" s="36" customFormat="1" ht="20" customHeight="1" x14ac:dyDescent="0.15">
      <c r="A37" s="5" t="s">
        <v>5831</v>
      </c>
      <c r="B37" s="193" t="s">
        <v>153</v>
      </c>
      <c r="C37" s="193" t="s">
        <v>1591</v>
      </c>
      <c r="D37" s="193" t="s">
        <v>3074</v>
      </c>
      <c r="E37" s="193" t="s">
        <v>3075</v>
      </c>
      <c r="F37" s="193" t="s">
        <v>3076</v>
      </c>
      <c r="G37" s="193" t="s">
        <v>3077</v>
      </c>
      <c r="H37" s="193" t="s">
        <v>3078</v>
      </c>
      <c r="I37" s="193" t="s">
        <v>3079</v>
      </c>
      <c r="T37" s="76" t="s">
        <v>3195</v>
      </c>
      <c r="X37" s="36" t="s">
        <v>4002</v>
      </c>
      <c r="AA37" s="36" t="s">
        <v>5436</v>
      </c>
      <c r="AE37" s="36">
        <v>35</v>
      </c>
      <c r="AF37" s="36" t="s">
        <v>4712</v>
      </c>
    </row>
    <row r="38" spans="1:34" s="36" customFormat="1" ht="20" customHeight="1" x14ac:dyDescent="0.15">
      <c r="A38" s="5" t="s">
        <v>5831</v>
      </c>
      <c r="B38" s="193" t="s">
        <v>153</v>
      </c>
      <c r="C38" s="193" t="s">
        <v>1591</v>
      </c>
      <c r="D38" s="193" t="s">
        <v>3667</v>
      </c>
      <c r="E38" s="193" t="s">
        <v>3668</v>
      </c>
      <c r="F38" s="193" t="s">
        <v>3669</v>
      </c>
      <c r="G38" s="193" t="s">
        <v>3670</v>
      </c>
      <c r="H38" s="193" t="s">
        <v>3671</v>
      </c>
      <c r="I38" s="193" t="s">
        <v>3672</v>
      </c>
      <c r="T38" s="76" t="s">
        <v>3211</v>
      </c>
      <c r="X38" s="36" t="s">
        <v>4142</v>
      </c>
      <c r="AA38" s="36" t="s">
        <v>5437</v>
      </c>
      <c r="AF38" s="36" t="s">
        <v>4637</v>
      </c>
    </row>
    <row r="39" spans="1:34" s="36" customFormat="1" ht="20" customHeight="1" x14ac:dyDescent="0.15">
      <c r="A39" s="5" t="s">
        <v>5831</v>
      </c>
      <c r="B39" s="193" t="s">
        <v>153</v>
      </c>
      <c r="C39" s="193" t="s">
        <v>1591</v>
      </c>
      <c r="D39" s="193" t="s">
        <v>3135</v>
      </c>
      <c r="E39" s="193" t="s">
        <v>3136</v>
      </c>
      <c r="F39" s="193" t="s">
        <v>3137</v>
      </c>
      <c r="G39" s="193" t="s">
        <v>3138</v>
      </c>
      <c r="H39" s="193" t="s">
        <v>3139</v>
      </c>
      <c r="I39" s="193" t="s">
        <v>3004</v>
      </c>
      <c r="T39" s="76" t="s">
        <v>3673</v>
      </c>
      <c r="X39" s="187" t="s">
        <v>4150</v>
      </c>
      <c r="AA39" s="36" t="s">
        <v>5438</v>
      </c>
      <c r="AF39" s="36" t="s">
        <v>4626</v>
      </c>
    </row>
    <row r="40" spans="1:34" s="36" customFormat="1" ht="20" customHeight="1" x14ac:dyDescent="0.15">
      <c r="A40" s="5" t="s">
        <v>5831</v>
      </c>
      <c r="B40" s="193" t="s">
        <v>153</v>
      </c>
      <c r="C40" s="193" t="s">
        <v>1591</v>
      </c>
      <c r="D40" s="193" t="s">
        <v>3661</v>
      </c>
      <c r="E40" s="193" t="s">
        <v>3662</v>
      </c>
      <c r="F40" s="193" t="s">
        <v>3663</v>
      </c>
      <c r="G40" s="193" t="s">
        <v>3664</v>
      </c>
      <c r="H40" s="193" t="s">
        <v>3665</v>
      </c>
      <c r="I40" s="193" t="s">
        <v>3666</v>
      </c>
      <c r="T40" s="76" t="s">
        <v>3157</v>
      </c>
      <c r="X40" s="36">
        <v>38</v>
      </c>
      <c r="AA40" s="36" t="s">
        <v>5439</v>
      </c>
      <c r="AF40" s="36" t="s">
        <v>4573</v>
      </c>
    </row>
    <row r="41" spans="1:34" s="36" customFormat="1" ht="20" customHeight="1" x14ac:dyDescent="0.15">
      <c r="A41" s="5" t="s">
        <v>5831</v>
      </c>
      <c r="B41" s="193" t="s">
        <v>153</v>
      </c>
      <c r="C41" s="193" t="s">
        <v>1591</v>
      </c>
      <c r="D41" s="193" t="s">
        <v>3456</v>
      </c>
      <c r="E41" s="193" t="s">
        <v>3457</v>
      </c>
      <c r="F41" s="193" t="s">
        <v>3458</v>
      </c>
      <c r="G41" s="193" t="s">
        <v>3459</v>
      </c>
      <c r="H41" s="193" t="s">
        <v>3460</v>
      </c>
      <c r="I41" s="193" t="s">
        <v>3244</v>
      </c>
      <c r="T41" s="76" t="s">
        <v>3152</v>
      </c>
      <c r="AA41" s="36" t="s">
        <v>5440</v>
      </c>
      <c r="AF41" s="36" t="s">
        <v>4779</v>
      </c>
    </row>
    <row r="42" spans="1:34" s="36" customFormat="1" ht="20" customHeight="1" x14ac:dyDescent="0.15">
      <c r="A42" s="5" t="s">
        <v>5831</v>
      </c>
      <c r="B42" s="193" t="s">
        <v>153</v>
      </c>
      <c r="C42" s="193" t="s">
        <v>1591</v>
      </c>
      <c r="D42" s="193" t="s">
        <v>3384</v>
      </c>
      <c r="E42" s="193" t="s">
        <v>3385</v>
      </c>
      <c r="F42" s="193" t="s">
        <v>3386</v>
      </c>
      <c r="G42" s="193" t="s">
        <v>3387</v>
      </c>
      <c r="H42" s="193" t="s">
        <v>3388</v>
      </c>
      <c r="I42" s="193" t="s">
        <v>3134</v>
      </c>
      <c r="T42" s="76" t="s">
        <v>3189</v>
      </c>
      <c r="AA42" s="36" t="s">
        <v>5441</v>
      </c>
      <c r="AF42" s="36" t="s">
        <v>4722</v>
      </c>
    </row>
    <row r="43" spans="1:34" s="36" customFormat="1" ht="20" customHeight="1" x14ac:dyDescent="0.15">
      <c r="A43" s="5" t="s">
        <v>5831</v>
      </c>
      <c r="B43" s="193" t="s">
        <v>153</v>
      </c>
      <c r="C43" s="193" t="s">
        <v>1591</v>
      </c>
      <c r="D43" s="193" t="s">
        <v>3514</v>
      </c>
      <c r="E43" s="193" t="s">
        <v>3515</v>
      </c>
      <c r="F43" s="193" t="s">
        <v>3516</v>
      </c>
      <c r="G43" s="193" t="s">
        <v>3517</v>
      </c>
      <c r="H43" s="193" t="s">
        <v>3518</v>
      </c>
      <c r="I43" s="193" t="s">
        <v>3477</v>
      </c>
      <c r="T43" s="76" t="s">
        <v>3583</v>
      </c>
      <c r="AA43" s="36" t="s">
        <v>5442</v>
      </c>
      <c r="AF43" s="36" t="s">
        <v>4701</v>
      </c>
    </row>
    <row r="44" spans="1:34" s="36" customFormat="1" ht="20" customHeight="1" x14ac:dyDescent="0.15">
      <c r="A44" s="5" t="s">
        <v>5831</v>
      </c>
      <c r="B44" s="193" t="s">
        <v>153</v>
      </c>
      <c r="C44" s="193" t="s">
        <v>1591</v>
      </c>
      <c r="D44" s="193" t="s">
        <v>3206</v>
      </c>
      <c r="E44" s="193" t="s">
        <v>3207</v>
      </c>
      <c r="F44" s="193" t="s">
        <v>3208</v>
      </c>
      <c r="G44" s="193" t="s">
        <v>3209</v>
      </c>
      <c r="H44" s="193" t="s">
        <v>3210</v>
      </c>
      <c r="I44" s="193" t="s">
        <v>2953</v>
      </c>
      <c r="T44" s="76" t="s">
        <v>3172</v>
      </c>
      <c r="AA44" s="36" t="s">
        <v>5443</v>
      </c>
      <c r="AF44" s="36" t="s">
        <v>4806</v>
      </c>
    </row>
    <row r="45" spans="1:34" s="36" customFormat="1" ht="20" customHeight="1" x14ac:dyDescent="0.15">
      <c r="A45" s="5" t="s">
        <v>5831</v>
      </c>
      <c r="B45" s="193" t="s">
        <v>153</v>
      </c>
      <c r="C45" s="193" t="s">
        <v>1591</v>
      </c>
      <c r="D45" s="193" t="s">
        <v>2875</v>
      </c>
      <c r="E45" s="193" t="s">
        <v>2876</v>
      </c>
      <c r="F45" s="193" t="s">
        <v>2877</v>
      </c>
      <c r="G45" s="193" t="s">
        <v>2878</v>
      </c>
      <c r="H45" s="193" t="s">
        <v>2879</v>
      </c>
      <c r="I45" s="193" t="s">
        <v>2841</v>
      </c>
      <c r="T45" s="76" t="s">
        <v>3571</v>
      </c>
      <c r="AA45" s="36" t="s">
        <v>5444</v>
      </c>
      <c r="AF45" s="36" t="s">
        <v>4773</v>
      </c>
    </row>
    <row r="46" spans="1:34" s="36" customFormat="1" ht="20" customHeight="1" x14ac:dyDescent="0.15">
      <c r="A46" s="5" t="s">
        <v>5831</v>
      </c>
      <c r="B46" s="193" t="s">
        <v>153</v>
      </c>
      <c r="C46" s="193" t="s">
        <v>1591</v>
      </c>
      <c r="D46" s="193" t="s">
        <v>3577</v>
      </c>
      <c r="E46" s="193" t="s">
        <v>3578</v>
      </c>
      <c r="F46" s="193" t="s">
        <v>3579</v>
      </c>
      <c r="G46" s="193" t="s">
        <v>3580</v>
      </c>
      <c r="H46" s="193" t="s">
        <v>3581</v>
      </c>
      <c r="I46" s="193" t="s">
        <v>3582</v>
      </c>
      <c r="T46" s="76" t="s">
        <v>3445</v>
      </c>
      <c r="AA46" s="36" t="s">
        <v>5445</v>
      </c>
      <c r="AF46" s="36" t="s">
        <v>4980</v>
      </c>
    </row>
    <row r="47" spans="1:34" s="36" customFormat="1" ht="20" customHeight="1" x14ac:dyDescent="0.15">
      <c r="A47" s="5" t="s">
        <v>5831</v>
      </c>
      <c r="B47" s="193" t="s">
        <v>153</v>
      </c>
      <c r="C47" s="193" t="s">
        <v>1591</v>
      </c>
      <c r="D47" s="193" t="s">
        <v>3598</v>
      </c>
      <c r="E47" s="193" t="s">
        <v>3599</v>
      </c>
      <c r="F47" s="193" t="s">
        <v>3600</v>
      </c>
      <c r="G47" s="193" t="s">
        <v>3601</v>
      </c>
      <c r="H47" s="193" t="s">
        <v>3602</v>
      </c>
      <c r="I47" s="193" t="s">
        <v>2812</v>
      </c>
      <c r="T47" s="76" t="s">
        <v>3629</v>
      </c>
      <c r="AA47" s="36" t="s">
        <v>5446</v>
      </c>
      <c r="AF47" s="36" t="s">
        <v>4912</v>
      </c>
    </row>
    <row r="48" spans="1:34" s="36" customFormat="1" ht="20" customHeight="1" x14ac:dyDescent="0.15">
      <c r="A48" s="5" t="s">
        <v>5831</v>
      </c>
      <c r="B48" s="193" t="s">
        <v>153</v>
      </c>
      <c r="C48" s="193" t="s">
        <v>1591</v>
      </c>
      <c r="D48" s="193" t="s">
        <v>3318</v>
      </c>
      <c r="E48" s="193" t="s">
        <v>3319</v>
      </c>
      <c r="F48" s="193" t="s">
        <v>3320</v>
      </c>
      <c r="G48" s="193" t="s">
        <v>3321</v>
      </c>
      <c r="H48" s="193" t="s">
        <v>3322</v>
      </c>
      <c r="I48" s="193" t="s">
        <v>3323</v>
      </c>
      <c r="T48" s="76" t="s">
        <v>3542</v>
      </c>
      <c r="AA48" s="36" t="s">
        <v>5447</v>
      </c>
      <c r="AF48" s="36" t="s">
        <v>4789</v>
      </c>
    </row>
    <row r="49" spans="1:32" s="36" customFormat="1" ht="20" customHeight="1" x14ac:dyDescent="0.15">
      <c r="A49" s="5" t="s">
        <v>5831</v>
      </c>
      <c r="B49" s="193" t="s">
        <v>153</v>
      </c>
      <c r="C49" s="193" t="s">
        <v>1591</v>
      </c>
      <c r="D49" s="193" t="s">
        <v>3195</v>
      </c>
      <c r="E49" s="193" t="s">
        <v>3196</v>
      </c>
      <c r="F49" s="193" t="s">
        <v>3197</v>
      </c>
      <c r="G49" s="193" t="s">
        <v>3198</v>
      </c>
      <c r="H49" s="193" t="s">
        <v>3199</v>
      </c>
      <c r="I49" s="193" t="s">
        <v>3079</v>
      </c>
      <c r="T49" s="76" t="s">
        <v>3615</v>
      </c>
      <c r="AA49" s="36" t="s">
        <v>5448</v>
      </c>
      <c r="AF49" s="36" t="s">
        <v>4800</v>
      </c>
    </row>
    <row r="50" spans="1:32" s="36" customFormat="1" ht="20" customHeight="1" x14ac:dyDescent="0.15">
      <c r="A50" s="5" t="s">
        <v>5831</v>
      </c>
      <c r="B50" s="193" t="s">
        <v>153</v>
      </c>
      <c r="C50" s="193" t="s">
        <v>1591</v>
      </c>
      <c r="D50" s="193" t="s">
        <v>3211</v>
      </c>
      <c r="E50" s="193" t="s">
        <v>3212</v>
      </c>
      <c r="F50" s="193" t="s">
        <v>3213</v>
      </c>
      <c r="G50" s="193" t="s">
        <v>3214</v>
      </c>
      <c r="H50" s="193" t="s">
        <v>3215</v>
      </c>
      <c r="I50" s="193" t="s">
        <v>2867</v>
      </c>
      <c r="T50" s="76" t="s">
        <v>3587</v>
      </c>
      <c r="AA50" s="36" t="s">
        <v>5449</v>
      </c>
      <c r="AF50" s="36" t="s">
        <v>4757</v>
      </c>
    </row>
    <row r="51" spans="1:32" s="36" customFormat="1" ht="20" customHeight="1" x14ac:dyDescent="0.15">
      <c r="A51" s="5" t="s">
        <v>5831</v>
      </c>
      <c r="B51" s="193" t="s">
        <v>153</v>
      </c>
      <c r="C51" s="193" t="s">
        <v>1591</v>
      </c>
      <c r="D51" s="193" t="s">
        <v>3673</v>
      </c>
      <c r="E51" s="193" t="s">
        <v>3674</v>
      </c>
      <c r="F51" s="193" t="s">
        <v>3675</v>
      </c>
      <c r="G51" s="193" t="s">
        <v>3676</v>
      </c>
      <c r="H51" s="193" t="s">
        <v>3677</v>
      </c>
      <c r="I51" s="193" t="s">
        <v>3678</v>
      </c>
      <c r="T51" s="76" t="s">
        <v>3268</v>
      </c>
      <c r="AA51" s="36" t="s">
        <v>5450</v>
      </c>
      <c r="AF51" s="36" t="s">
        <v>4897</v>
      </c>
    </row>
    <row r="52" spans="1:32" s="36" customFormat="1" ht="20" customHeight="1" x14ac:dyDescent="0.15">
      <c r="A52" s="5" t="s">
        <v>5831</v>
      </c>
      <c r="B52" s="193" t="s">
        <v>153</v>
      </c>
      <c r="C52" s="193" t="s">
        <v>1591</v>
      </c>
      <c r="D52" s="193" t="s">
        <v>3157</v>
      </c>
      <c r="E52" s="193" t="s">
        <v>3158</v>
      </c>
      <c r="F52" s="193" t="s">
        <v>3159</v>
      </c>
      <c r="G52" s="193" t="s">
        <v>3160</v>
      </c>
      <c r="H52" s="193" t="s">
        <v>3161</v>
      </c>
      <c r="I52" s="193" t="s">
        <v>3162</v>
      </c>
      <c r="T52" s="76" t="s">
        <v>3296</v>
      </c>
      <c r="AA52" s="36" t="s">
        <v>5451</v>
      </c>
      <c r="AF52" s="36" t="s">
        <v>4870</v>
      </c>
    </row>
    <row r="53" spans="1:32" s="36" customFormat="1" ht="20" customHeight="1" x14ac:dyDescent="0.15">
      <c r="A53" s="5" t="s">
        <v>5831</v>
      </c>
      <c r="B53" s="193" t="s">
        <v>153</v>
      </c>
      <c r="C53" s="193" t="s">
        <v>1591</v>
      </c>
      <c r="D53" s="193" t="s">
        <v>3152</v>
      </c>
      <c r="E53" s="193" t="s">
        <v>3153</v>
      </c>
      <c r="F53" s="193" t="s">
        <v>3154</v>
      </c>
      <c r="G53" s="193" t="s">
        <v>3155</v>
      </c>
      <c r="H53" s="193" t="s">
        <v>3156</v>
      </c>
      <c r="I53" s="193" t="s">
        <v>2812</v>
      </c>
      <c r="T53" s="76" t="s">
        <v>3257</v>
      </c>
      <c r="AA53" s="36" t="s">
        <v>5452</v>
      </c>
      <c r="AF53" s="36" t="s">
        <v>3482</v>
      </c>
    </row>
    <row r="54" spans="1:32" s="36" customFormat="1" ht="20" customHeight="1" x14ac:dyDescent="0.15">
      <c r="A54" s="5" t="s">
        <v>5831</v>
      </c>
      <c r="B54" s="193" t="s">
        <v>153</v>
      </c>
      <c r="C54" s="193" t="s">
        <v>1591</v>
      </c>
      <c r="D54" s="193" t="s">
        <v>3189</v>
      </c>
      <c r="E54" s="193" t="s">
        <v>3190</v>
      </c>
      <c r="F54" s="193" t="s">
        <v>3191</v>
      </c>
      <c r="G54" s="193" t="s">
        <v>3192</v>
      </c>
      <c r="H54" s="193" t="s">
        <v>3193</v>
      </c>
      <c r="I54" s="193" t="s">
        <v>3194</v>
      </c>
      <c r="T54" s="76" t="s">
        <v>3363</v>
      </c>
      <c r="AA54" s="36" t="s">
        <v>5453</v>
      </c>
      <c r="AF54" s="36" t="s">
        <v>4826</v>
      </c>
    </row>
    <row r="55" spans="1:32" s="36" customFormat="1" ht="20" customHeight="1" x14ac:dyDescent="0.15">
      <c r="A55" s="5" t="s">
        <v>5831</v>
      </c>
      <c r="B55" s="193" t="s">
        <v>153</v>
      </c>
      <c r="C55" s="193" t="s">
        <v>1591</v>
      </c>
      <c r="D55" s="193" t="s">
        <v>3583</v>
      </c>
      <c r="E55" s="193"/>
      <c r="F55" s="193" t="s">
        <v>3584</v>
      </c>
      <c r="G55" s="193" t="s">
        <v>3585</v>
      </c>
      <c r="H55" s="193" t="s">
        <v>3586</v>
      </c>
      <c r="I55" s="193" t="s">
        <v>2839</v>
      </c>
      <c r="T55" s="76" t="s">
        <v>3394</v>
      </c>
      <c r="AA55" s="36" t="s">
        <v>5454</v>
      </c>
      <c r="AF55" s="36" t="s">
        <v>4670</v>
      </c>
    </row>
    <row r="56" spans="1:32" s="36" customFormat="1" ht="20" customHeight="1" x14ac:dyDescent="0.15">
      <c r="A56" s="5" t="s">
        <v>5831</v>
      </c>
      <c r="B56" s="193" t="s">
        <v>153</v>
      </c>
      <c r="C56" s="193" t="s">
        <v>1591</v>
      </c>
      <c r="D56" s="193" t="s">
        <v>3172</v>
      </c>
      <c r="E56" s="193" t="s">
        <v>3173</v>
      </c>
      <c r="F56" s="193" t="s">
        <v>3174</v>
      </c>
      <c r="G56" s="193" t="s">
        <v>3175</v>
      </c>
      <c r="H56" s="193" t="s">
        <v>3176</v>
      </c>
      <c r="I56" s="193" t="s">
        <v>3177</v>
      </c>
      <c r="T56" s="76" t="s">
        <v>3412</v>
      </c>
      <c r="AA56" s="36" t="s">
        <v>5455</v>
      </c>
      <c r="AF56" s="36" t="s">
        <v>4859</v>
      </c>
    </row>
    <row r="57" spans="1:32" s="36" customFormat="1" ht="20" customHeight="1" x14ac:dyDescent="0.15">
      <c r="A57" s="5" t="s">
        <v>5831</v>
      </c>
      <c r="B57" s="193" t="s">
        <v>153</v>
      </c>
      <c r="C57" s="193" t="s">
        <v>1591</v>
      </c>
      <c r="D57" s="193" t="s">
        <v>3571</v>
      </c>
      <c r="E57" s="193" t="s">
        <v>3572</v>
      </c>
      <c r="F57" s="193" t="s">
        <v>3573</v>
      </c>
      <c r="G57" s="193" t="s">
        <v>3574</v>
      </c>
      <c r="H57" s="193" t="s">
        <v>3575</v>
      </c>
      <c r="I57" s="193" t="s">
        <v>3576</v>
      </c>
      <c r="T57" s="76" t="s">
        <v>3519</v>
      </c>
      <c r="AA57" s="36" t="s">
        <v>5456</v>
      </c>
      <c r="AF57" s="36" t="s">
        <v>4568</v>
      </c>
    </row>
    <row r="58" spans="1:32" s="36" customFormat="1" ht="20" customHeight="1" x14ac:dyDescent="0.15">
      <c r="A58" s="5" t="s">
        <v>5831</v>
      </c>
      <c r="B58" s="193" t="s">
        <v>153</v>
      </c>
      <c r="C58" s="193" t="s">
        <v>1591</v>
      </c>
      <c r="D58" s="193" t="s">
        <v>3445</v>
      </c>
      <c r="E58" s="193" t="s">
        <v>3446</v>
      </c>
      <c r="F58" s="193" t="s">
        <v>3447</v>
      </c>
      <c r="G58" s="193" t="s">
        <v>3448</v>
      </c>
      <c r="H58" s="193" t="s">
        <v>3449</v>
      </c>
      <c r="I58" s="193" t="s">
        <v>2814</v>
      </c>
      <c r="T58" s="76" t="s">
        <v>3450</v>
      </c>
      <c r="AA58" s="36" t="s">
        <v>5457</v>
      </c>
      <c r="AF58" s="36" t="s">
        <v>4959</v>
      </c>
    </row>
    <row r="59" spans="1:32" s="36" customFormat="1" ht="20" customHeight="1" x14ac:dyDescent="0.15">
      <c r="A59" s="5" t="s">
        <v>5831</v>
      </c>
      <c r="B59" s="193" t="s">
        <v>153</v>
      </c>
      <c r="C59" s="193" t="s">
        <v>1591</v>
      </c>
      <c r="D59" s="193" t="s">
        <v>3629</v>
      </c>
      <c r="E59" s="193" t="s">
        <v>3630</v>
      </c>
      <c r="F59" s="193" t="s">
        <v>3631</v>
      </c>
      <c r="G59" s="193" t="s">
        <v>3632</v>
      </c>
      <c r="H59" s="193" t="s">
        <v>3633</v>
      </c>
      <c r="I59" s="193" t="s">
        <v>3205</v>
      </c>
      <c r="T59" s="76" t="s">
        <v>3493</v>
      </c>
      <c r="AA59" s="36" t="s">
        <v>5458</v>
      </c>
      <c r="AF59" s="36" t="s">
        <v>4784</v>
      </c>
    </row>
    <row r="60" spans="1:32" s="36" customFormat="1" ht="20" customHeight="1" x14ac:dyDescent="0.15">
      <c r="A60" s="5" t="s">
        <v>5831</v>
      </c>
      <c r="B60" s="193" t="s">
        <v>153</v>
      </c>
      <c r="C60" s="193" t="s">
        <v>1591</v>
      </c>
      <c r="D60" s="193" t="s">
        <v>3542</v>
      </c>
      <c r="E60" s="193" t="s">
        <v>3543</v>
      </c>
      <c r="F60" s="193" t="s">
        <v>3544</v>
      </c>
      <c r="G60" s="193" t="s">
        <v>3545</v>
      </c>
      <c r="H60" s="193" t="s">
        <v>3546</v>
      </c>
      <c r="I60" s="193" t="s">
        <v>3547</v>
      </c>
      <c r="T60" s="76" t="s">
        <v>3428</v>
      </c>
      <c r="AA60" s="36" t="s">
        <v>5459</v>
      </c>
      <c r="AF60" s="36" t="s">
        <v>4902</v>
      </c>
    </row>
    <row r="61" spans="1:32" s="36" customFormat="1" ht="20" customHeight="1" x14ac:dyDescent="0.15">
      <c r="A61" s="5" t="s">
        <v>5831</v>
      </c>
      <c r="B61" s="193" t="s">
        <v>153</v>
      </c>
      <c r="C61" s="193" t="s">
        <v>1591</v>
      </c>
      <c r="D61" s="193" t="s">
        <v>3615</v>
      </c>
      <c r="E61" s="193" t="s">
        <v>3616</v>
      </c>
      <c r="F61" s="193" t="s">
        <v>3617</v>
      </c>
      <c r="G61" s="193" t="s">
        <v>3618</v>
      </c>
      <c r="H61" s="193" t="s">
        <v>3619</v>
      </c>
      <c r="I61" s="193" t="s">
        <v>3620</v>
      </c>
      <c r="T61" s="76" t="s">
        <v>3118</v>
      </c>
      <c r="AA61" s="36" t="s">
        <v>3123</v>
      </c>
      <c r="AF61" s="36" t="s">
        <v>4655</v>
      </c>
    </row>
    <row r="62" spans="1:32" s="36" customFormat="1" ht="20" customHeight="1" x14ac:dyDescent="0.15">
      <c r="A62" s="5" t="s">
        <v>5831</v>
      </c>
      <c r="B62" s="193" t="s">
        <v>153</v>
      </c>
      <c r="C62" s="193" t="s">
        <v>1591</v>
      </c>
      <c r="D62" s="193" t="s">
        <v>3587</v>
      </c>
      <c r="E62" s="193" t="s">
        <v>3588</v>
      </c>
      <c r="F62" s="193" t="s">
        <v>3589</v>
      </c>
      <c r="G62" s="193" t="s">
        <v>3590</v>
      </c>
      <c r="H62" s="193" t="s">
        <v>3591</v>
      </c>
      <c r="I62" s="193" t="s">
        <v>3592</v>
      </c>
      <c r="T62" s="76" t="s">
        <v>3498</v>
      </c>
      <c r="AA62" s="36" t="s">
        <v>5460</v>
      </c>
      <c r="AF62" s="36" t="s">
        <v>4840</v>
      </c>
    </row>
    <row r="63" spans="1:32" s="36" customFormat="1" ht="20" customHeight="1" x14ac:dyDescent="0.15">
      <c r="A63" s="5" t="s">
        <v>5831</v>
      </c>
      <c r="B63" s="193" t="s">
        <v>153</v>
      </c>
      <c r="C63" s="193" t="s">
        <v>1591</v>
      </c>
      <c r="D63" s="193" t="s">
        <v>3268</v>
      </c>
      <c r="E63" s="193" t="s">
        <v>3269</v>
      </c>
      <c r="F63" s="193" t="s">
        <v>3270</v>
      </c>
      <c r="G63" s="193" t="s">
        <v>3271</v>
      </c>
      <c r="H63" s="193" t="s">
        <v>3272</v>
      </c>
      <c r="I63" s="193" t="s">
        <v>3273</v>
      </c>
      <c r="T63" s="136" t="s">
        <v>3503</v>
      </c>
      <c r="AA63" s="36" t="s">
        <v>5461</v>
      </c>
      <c r="AF63" s="36" t="s">
        <v>3478</v>
      </c>
    </row>
    <row r="64" spans="1:32" s="36" customFormat="1" ht="20" customHeight="1" x14ac:dyDescent="0.15">
      <c r="A64" s="5" t="s">
        <v>5831</v>
      </c>
      <c r="B64" s="193" t="s">
        <v>153</v>
      </c>
      <c r="C64" s="193" t="s">
        <v>1591</v>
      </c>
      <c r="D64" s="193" t="s">
        <v>3296</v>
      </c>
      <c r="E64" s="193" t="s">
        <v>3297</v>
      </c>
      <c r="F64" s="193" t="s">
        <v>3298</v>
      </c>
      <c r="G64" s="193" t="s">
        <v>3299</v>
      </c>
      <c r="H64" s="193" t="s">
        <v>3300</v>
      </c>
      <c r="I64" s="193" t="s">
        <v>3301</v>
      </c>
      <c r="T64" s="76" t="s">
        <v>3509</v>
      </c>
      <c r="AA64" s="36" t="s">
        <v>5462</v>
      </c>
      <c r="AF64" s="36" t="s">
        <v>4835</v>
      </c>
    </row>
    <row r="65" spans="1:32" s="36" customFormat="1" ht="20" customHeight="1" x14ac:dyDescent="0.15">
      <c r="A65" s="5" t="s">
        <v>5831</v>
      </c>
      <c r="B65" s="193" t="s">
        <v>153</v>
      </c>
      <c r="C65" s="193" t="s">
        <v>1591</v>
      </c>
      <c r="D65" s="193" t="s">
        <v>3257</v>
      </c>
      <c r="E65" s="193" t="s">
        <v>3258</v>
      </c>
      <c r="F65" s="193" t="s">
        <v>3259</v>
      </c>
      <c r="G65" s="193" t="s">
        <v>3260</v>
      </c>
      <c r="H65" s="193" t="s">
        <v>3261</v>
      </c>
      <c r="I65" s="193" t="s">
        <v>3262</v>
      </c>
      <c r="T65" s="76" t="s">
        <v>3525</v>
      </c>
      <c r="AA65" s="187" t="s">
        <v>5463</v>
      </c>
      <c r="AF65" s="36" t="s">
        <v>4954</v>
      </c>
    </row>
    <row r="66" spans="1:32" s="36" customFormat="1" ht="20" customHeight="1" x14ac:dyDescent="0.15">
      <c r="A66" s="5" t="s">
        <v>5831</v>
      </c>
      <c r="B66" s="193" t="s">
        <v>153</v>
      </c>
      <c r="C66" s="193" t="s">
        <v>1591</v>
      </c>
      <c r="D66" s="193" t="s">
        <v>3363</v>
      </c>
      <c r="E66" s="193" t="s">
        <v>3364</v>
      </c>
      <c r="F66" s="193" t="s">
        <v>3365</v>
      </c>
      <c r="G66" s="193" t="s">
        <v>3366</v>
      </c>
      <c r="H66" s="193" t="s">
        <v>3367</v>
      </c>
      <c r="I66" s="193" t="s">
        <v>2812</v>
      </c>
      <c r="T66" s="76" t="s">
        <v>3335</v>
      </c>
      <c r="AA66" s="36">
        <v>64</v>
      </c>
      <c r="AF66" s="36" t="s">
        <v>4767</v>
      </c>
    </row>
    <row r="67" spans="1:32" s="36" customFormat="1" ht="20" customHeight="1" x14ac:dyDescent="0.15">
      <c r="A67" s="5" t="s">
        <v>5831</v>
      </c>
      <c r="B67" s="193" t="s">
        <v>153</v>
      </c>
      <c r="C67" s="193" t="s">
        <v>1591</v>
      </c>
      <c r="D67" s="193" t="s">
        <v>3394</v>
      </c>
      <c r="E67" s="193" t="s">
        <v>3395</v>
      </c>
      <c r="F67" s="193" t="s">
        <v>3396</v>
      </c>
      <c r="G67" s="193" t="s">
        <v>3397</v>
      </c>
      <c r="H67" s="193" t="s">
        <v>3398</v>
      </c>
      <c r="I67" s="193" t="s">
        <v>3399</v>
      </c>
      <c r="T67" s="76" t="s">
        <v>3374</v>
      </c>
      <c r="AF67" s="36" t="s">
        <v>4695</v>
      </c>
    </row>
    <row r="68" spans="1:32" s="36" customFormat="1" ht="20" customHeight="1" x14ac:dyDescent="0.15">
      <c r="A68" s="5" t="s">
        <v>5831</v>
      </c>
      <c r="B68" s="193" t="s">
        <v>153</v>
      </c>
      <c r="C68" s="193" t="s">
        <v>1591</v>
      </c>
      <c r="D68" s="193" t="s">
        <v>3412</v>
      </c>
      <c r="E68" s="193" t="s">
        <v>3413</v>
      </c>
      <c r="F68" s="193" t="s">
        <v>3414</v>
      </c>
      <c r="G68" s="193" t="s">
        <v>3415</v>
      </c>
      <c r="H68" s="193" t="s">
        <v>3416</v>
      </c>
      <c r="I68" s="193" t="s">
        <v>3417</v>
      </c>
      <c r="T68" s="76" t="s">
        <v>3536</v>
      </c>
      <c r="AF68" s="36" t="s">
        <v>4680</v>
      </c>
    </row>
    <row r="69" spans="1:32" s="36" customFormat="1" ht="20" customHeight="1" x14ac:dyDescent="0.15">
      <c r="A69" s="5" t="s">
        <v>5831</v>
      </c>
      <c r="B69" s="193" t="s">
        <v>153</v>
      </c>
      <c r="C69" s="193" t="s">
        <v>1591</v>
      </c>
      <c r="D69" s="193" t="s">
        <v>3519</v>
      </c>
      <c r="E69" s="193" t="s">
        <v>3520</v>
      </c>
      <c r="F69" s="193" t="s">
        <v>3521</v>
      </c>
      <c r="G69" s="193" t="s">
        <v>3522</v>
      </c>
      <c r="H69" s="193" t="s">
        <v>3523</v>
      </c>
      <c r="I69" s="193" t="s">
        <v>3524</v>
      </c>
      <c r="T69" s="76" t="s">
        <v>3368</v>
      </c>
      <c r="AF69" s="36" t="s">
        <v>4849</v>
      </c>
    </row>
    <row r="70" spans="1:32" s="36" customFormat="1" ht="20" customHeight="1" x14ac:dyDescent="0.15">
      <c r="A70" s="5" t="s">
        <v>5831</v>
      </c>
      <c r="B70" s="193" t="s">
        <v>153</v>
      </c>
      <c r="C70" s="193" t="s">
        <v>1591</v>
      </c>
      <c r="D70" s="193" t="s">
        <v>3450</v>
      </c>
      <c r="E70" s="193" t="s">
        <v>3451</v>
      </c>
      <c r="F70" s="193" t="s">
        <v>3452</v>
      </c>
      <c r="G70" s="193" t="s">
        <v>3453</v>
      </c>
      <c r="H70" s="193" t="s">
        <v>3454</v>
      </c>
      <c r="I70" s="193" t="s">
        <v>3455</v>
      </c>
      <c r="T70" s="76" t="s">
        <v>3418</v>
      </c>
      <c r="AF70" s="36" t="s">
        <v>4964</v>
      </c>
    </row>
    <row r="71" spans="1:32" s="36" customFormat="1" ht="20" customHeight="1" x14ac:dyDescent="0.15">
      <c r="A71" s="5" t="s">
        <v>5831</v>
      </c>
      <c r="B71" s="193" t="s">
        <v>153</v>
      </c>
      <c r="C71" s="193" t="s">
        <v>1591</v>
      </c>
      <c r="D71" s="193" t="s">
        <v>3493</v>
      </c>
      <c r="E71" s="193" t="s">
        <v>3494</v>
      </c>
      <c r="F71" s="193" t="s">
        <v>3495</v>
      </c>
      <c r="G71" s="193" t="s">
        <v>3496</v>
      </c>
      <c r="H71" s="193" t="s">
        <v>3497</v>
      </c>
      <c r="I71" s="193" t="s">
        <v>3295</v>
      </c>
      <c r="T71" s="76" t="s">
        <v>3140</v>
      </c>
      <c r="AF71" s="36" t="s">
        <v>4762</v>
      </c>
    </row>
    <row r="72" spans="1:32" s="36" customFormat="1" ht="20" customHeight="1" x14ac:dyDescent="0.15">
      <c r="A72" s="5" t="s">
        <v>5831</v>
      </c>
      <c r="B72" s="193" t="s">
        <v>153</v>
      </c>
      <c r="C72" s="193" t="s">
        <v>1591</v>
      </c>
      <c r="D72" s="193" t="s">
        <v>3428</v>
      </c>
      <c r="E72" s="193" t="s">
        <v>3429</v>
      </c>
      <c r="F72" s="193" t="s">
        <v>3430</v>
      </c>
      <c r="G72" s="193" t="s">
        <v>3431</v>
      </c>
      <c r="H72" s="193" t="s">
        <v>3432</v>
      </c>
      <c r="I72" s="193" t="s">
        <v>3433</v>
      </c>
      <c r="T72" s="76" t="s">
        <v>3554</v>
      </c>
      <c r="AF72" s="36" t="s">
        <v>4649</v>
      </c>
    </row>
    <row r="73" spans="1:32" s="36" customFormat="1" ht="20" customHeight="1" x14ac:dyDescent="0.15">
      <c r="A73" s="5" t="s">
        <v>5831</v>
      </c>
      <c r="B73" s="193" t="s">
        <v>153</v>
      </c>
      <c r="C73" s="193" t="s">
        <v>1591</v>
      </c>
      <c r="D73" s="193" t="s">
        <v>3118</v>
      </c>
      <c r="E73" s="193" t="s">
        <v>3119</v>
      </c>
      <c r="F73" s="193" t="s">
        <v>3120</v>
      </c>
      <c r="G73" s="193" t="s">
        <v>3121</v>
      </c>
      <c r="H73" s="193" t="s">
        <v>3122</v>
      </c>
      <c r="I73" s="193" t="s">
        <v>2925</v>
      </c>
      <c r="T73" s="76" t="s">
        <v>3566</v>
      </c>
      <c r="AF73" s="36" t="s">
        <v>4949</v>
      </c>
    </row>
    <row r="74" spans="1:32" s="36" customFormat="1" ht="20" customHeight="1" x14ac:dyDescent="0.15">
      <c r="A74" s="5" t="s">
        <v>5831</v>
      </c>
      <c r="B74" s="193" t="s">
        <v>153</v>
      </c>
      <c r="C74" s="193" t="s">
        <v>1591</v>
      </c>
      <c r="D74" s="193" t="s">
        <v>3498</v>
      </c>
      <c r="E74" s="193" t="s">
        <v>3499</v>
      </c>
      <c r="F74" s="193" t="s">
        <v>3500</v>
      </c>
      <c r="G74" s="193" t="s">
        <v>3501</v>
      </c>
      <c r="H74" s="193" t="s">
        <v>3502</v>
      </c>
      <c r="I74" s="193" t="s">
        <v>3256</v>
      </c>
      <c r="T74" s="76" t="s">
        <v>3102</v>
      </c>
      <c r="AF74" s="36" t="s">
        <v>4938</v>
      </c>
    </row>
    <row r="75" spans="1:32" s="36" customFormat="1" ht="20" customHeight="1" x14ac:dyDescent="0.15">
      <c r="A75" s="5" t="s">
        <v>5831</v>
      </c>
      <c r="B75" s="193" t="s">
        <v>153</v>
      </c>
      <c r="C75" s="193" t="s">
        <v>1591</v>
      </c>
      <c r="D75" s="193" t="s">
        <v>3503</v>
      </c>
      <c r="E75" s="193" t="s">
        <v>3504</v>
      </c>
      <c r="F75" s="193" t="s">
        <v>3505</v>
      </c>
      <c r="G75" s="193" t="s">
        <v>3506</v>
      </c>
      <c r="H75" s="193" t="s">
        <v>3507</v>
      </c>
      <c r="I75" s="193" t="s">
        <v>3508</v>
      </c>
      <c r="T75" s="76" t="s">
        <v>3488</v>
      </c>
      <c r="AF75" s="36" t="s">
        <v>4659</v>
      </c>
    </row>
    <row r="76" spans="1:32" s="36" customFormat="1" ht="20" customHeight="1" x14ac:dyDescent="0.15">
      <c r="A76" s="5" t="s">
        <v>5831</v>
      </c>
      <c r="B76" s="193" t="s">
        <v>153</v>
      </c>
      <c r="C76" s="193" t="s">
        <v>1591</v>
      </c>
      <c r="D76" s="193" t="s">
        <v>3509</v>
      </c>
      <c r="E76" s="193" t="s">
        <v>3510</v>
      </c>
      <c r="F76" s="193" t="s">
        <v>3511</v>
      </c>
      <c r="G76" s="193" t="s">
        <v>3512</v>
      </c>
      <c r="H76" s="193" t="s">
        <v>3513</v>
      </c>
      <c r="I76" s="193" t="s">
        <v>2953</v>
      </c>
      <c r="T76" s="76" t="s">
        <v>3346</v>
      </c>
      <c r="AF76" s="36" t="s">
        <v>4891</v>
      </c>
    </row>
    <row r="77" spans="1:32" s="36" customFormat="1" ht="20" customHeight="1" x14ac:dyDescent="0.15">
      <c r="A77" s="5" t="s">
        <v>5831</v>
      </c>
      <c r="B77" s="193" t="s">
        <v>153</v>
      </c>
      <c r="C77" s="193" t="s">
        <v>1591</v>
      </c>
      <c r="D77" s="193" t="s">
        <v>3525</v>
      </c>
      <c r="E77" s="193" t="s">
        <v>3526</v>
      </c>
      <c r="F77" s="193" t="s">
        <v>3527</v>
      </c>
      <c r="G77" s="193" t="s">
        <v>3528</v>
      </c>
      <c r="H77" s="193" t="s">
        <v>3529</v>
      </c>
      <c r="I77" s="193" t="s">
        <v>3050</v>
      </c>
      <c r="T77" s="76" t="s">
        <v>3341</v>
      </c>
      <c r="AF77" s="36" t="s">
        <v>4598</v>
      </c>
    </row>
    <row r="78" spans="1:32" s="36" customFormat="1" ht="20" customHeight="1" x14ac:dyDescent="0.15">
      <c r="A78" s="5" t="s">
        <v>5831</v>
      </c>
      <c r="B78" s="193" t="s">
        <v>153</v>
      </c>
      <c r="C78" s="193" t="s">
        <v>1591</v>
      </c>
      <c r="D78" s="193" t="s">
        <v>3335</v>
      </c>
      <c r="E78" s="193" t="s">
        <v>3336</v>
      </c>
      <c r="F78" s="193" t="s">
        <v>3337</v>
      </c>
      <c r="G78" s="193" t="s">
        <v>3338</v>
      </c>
      <c r="H78" s="193" t="s">
        <v>3339</v>
      </c>
      <c r="I78" s="193" t="s">
        <v>3340</v>
      </c>
      <c r="T78" s="76" t="s">
        <v>3482</v>
      </c>
      <c r="AF78" s="36" t="s">
        <v>4689</v>
      </c>
    </row>
    <row r="79" spans="1:32" s="36" customFormat="1" ht="20" customHeight="1" x14ac:dyDescent="0.15">
      <c r="A79" s="5" t="s">
        <v>5831</v>
      </c>
      <c r="B79" s="193" t="s">
        <v>153</v>
      </c>
      <c r="C79" s="193" t="s">
        <v>1591</v>
      </c>
      <c r="D79" s="193" t="s">
        <v>3374</v>
      </c>
      <c r="E79" s="193" t="s">
        <v>3375</v>
      </c>
      <c r="F79" s="193" t="s">
        <v>3376</v>
      </c>
      <c r="G79" s="193" t="s">
        <v>3377</v>
      </c>
      <c r="H79" s="193" t="s">
        <v>3378</v>
      </c>
      <c r="I79" s="193" t="s">
        <v>3244</v>
      </c>
      <c r="T79" s="76" t="s">
        <v>3045</v>
      </c>
      <c r="AF79" s="36" t="s">
        <v>4794</v>
      </c>
    </row>
    <row r="80" spans="1:32" s="36" customFormat="1" ht="20" customHeight="1" x14ac:dyDescent="0.15">
      <c r="A80" s="5" t="s">
        <v>5831</v>
      </c>
      <c r="B80" s="193" t="s">
        <v>153</v>
      </c>
      <c r="C80" s="193" t="s">
        <v>1591</v>
      </c>
      <c r="D80" s="193" t="s">
        <v>3536</v>
      </c>
      <c r="E80" s="193" t="s">
        <v>3537</v>
      </c>
      <c r="F80" s="193" t="s">
        <v>3538</v>
      </c>
      <c r="G80" s="193" t="s">
        <v>3539</v>
      </c>
      <c r="H80" s="193" t="s">
        <v>3540</v>
      </c>
      <c r="I80" s="193" t="s">
        <v>3541</v>
      </c>
      <c r="T80" s="76" t="s">
        <v>3080</v>
      </c>
      <c r="AF80" s="36" t="s">
        <v>2015</v>
      </c>
    </row>
    <row r="81" spans="1:32" s="36" customFormat="1" ht="20" customHeight="1" x14ac:dyDescent="0.15">
      <c r="A81" s="5" t="s">
        <v>5831</v>
      </c>
      <c r="B81" s="193" t="s">
        <v>153</v>
      </c>
      <c r="C81" s="193" t="s">
        <v>1591</v>
      </c>
      <c r="D81" s="193" t="s">
        <v>3368</v>
      </c>
      <c r="E81" s="193" t="s">
        <v>3369</v>
      </c>
      <c r="F81" s="193" t="s">
        <v>3370</v>
      </c>
      <c r="G81" s="193" t="s">
        <v>3371</v>
      </c>
      <c r="H81" s="193" t="s">
        <v>3372</v>
      </c>
      <c r="I81" s="193" t="s">
        <v>3373</v>
      </c>
      <c r="T81" s="76" t="s">
        <v>3461</v>
      </c>
      <c r="AF81" s="187" t="s">
        <v>4886</v>
      </c>
    </row>
    <row r="82" spans="1:32" s="36" customFormat="1" ht="20" customHeight="1" x14ac:dyDescent="0.15">
      <c r="A82" s="5" t="s">
        <v>5831</v>
      </c>
      <c r="B82" s="193" t="s">
        <v>153</v>
      </c>
      <c r="C82" s="193" t="s">
        <v>1591</v>
      </c>
      <c r="D82" s="193" t="s">
        <v>3418</v>
      </c>
      <c r="E82" s="193" t="s">
        <v>3419</v>
      </c>
      <c r="F82" s="193" t="s">
        <v>3420</v>
      </c>
      <c r="G82" s="193" t="s">
        <v>3421</v>
      </c>
      <c r="H82" s="193" t="s">
        <v>3422</v>
      </c>
      <c r="I82" s="193" t="s">
        <v>3162</v>
      </c>
      <c r="T82" s="76" t="s">
        <v>3113</v>
      </c>
      <c r="AF82" s="36">
        <v>80</v>
      </c>
    </row>
    <row r="83" spans="1:32" s="36" customFormat="1" ht="20" customHeight="1" x14ac:dyDescent="0.15">
      <c r="A83" s="5" t="s">
        <v>5831</v>
      </c>
      <c r="B83" s="193" t="s">
        <v>153</v>
      </c>
      <c r="C83" s="193" t="s">
        <v>1591</v>
      </c>
      <c r="D83" s="193" t="s">
        <v>3140</v>
      </c>
      <c r="E83" s="193" t="s">
        <v>3141</v>
      </c>
      <c r="F83" s="193" t="s">
        <v>3142</v>
      </c>
      <c r="G83" s="193" t="s">
        <v>3143</v>
      </c>
      <c r="H83" s="193" t="s">
        <v>3144</v>
      </c>
      <c r="I83" s="193" t="s">
        <v>3145</v>
      </c>
      <c r="T83" s="76" t="s">
        <v>3051</v>
      </c>
    </row>
    <row r="84" spans="1:32" s="36" customFormat="1" ht="20" customHeight="1" x14ac:dyDescent="0.15">
      <c r="A84" s="5" t="s">
        <v>5831</v>
      </c>
      <c r="B84" s="193" t="s">
        <v>153</v>
      </c>
      <c r="C84" s="193" t="s">
        <v>1591</v>
      </c>
      <c r="D84" s="193" t="s">
        <v>3554</v>
      </c>
      <c r="E84" s="193" t="s">
        <v>3555</v>
      </c>
      <c r="F84" s="193" t="s">
        <v>3556</v>
      </c>
      <c r="G84" s="193" t="s">
        <v>3557</v>
      </c>
      <c r="H84" s="193" t="s">
        <v>3558</v>
      </c>
      <c r="I84" s="193" t="s">
        <v>3559</v>
      </c>
      <c r="T84" s="76" t="s">
        <v>3216</v>
      </c>
    </row>
    <row r="85" spans="1:32" s="36" customFormat="1" ht="20" customHeight="1" x14ac:dyDescent="0.15">
      <c r="A85" s="5" t="s">
        <v>5831</v>
      </c>
      <c r="B85" s="193" t="s">
        <v>153</v>
      </c>
      <c r="C85" s="193" t="s">
        <v>1591</v>
      </c>
      <c r="D85" s="193" t="s">
        <v>3566</v>
      </c>
      <c r="E85" s="193" t="s">
        <v>3567</v>
      </c>
      <c r="F85" s="193" t="s">
        <v>3568</v>
      </c>
      <c r="G85" s="193" t="s">
        <v>3569</v>
      </c>
      <c r="H85" s="193" t="s">
        <v>3570</v>
      </c>
      <c r="I85" s="193" t="s">
        <v>3221</v>
      </c>
      <c r="T85" s="76" t="s">
        <v>3650</v>
      </c>
    </row>
    <row r="86" spans="1:32" s="36" customFormat="1" ht="20" customHeight="1" x14ac:dyDescent="0.15">
      <c r="A86" s="5" t="s">
        <v>5831</v>
      </c>
      <c r="B86" s="193" t="s">
        <v>153</v>
      </c>
      <c r="C86" s="193" t="s">
        <v>1591</v>
      </c>
      <c r="D86" s="193" t="s">
        <v>3102</v>
      </c>
      <c r="E86" s="193" t="s">
        <v>3103</v>
      </c>
      <c r="F86" s="193" t="s">
        <v>3104</v>
      </c>
      <c r="G86" s="193" t="s">
        <v>3105</v>
      </c>
      <c r="H86" s="193" t="s">
        <v>3106</v>
      </c>
      <c r="I86" s="193" t="s">
        <v>3107</v>
      </c>
      <c r="T86" s="76" t="s">
        <v>3560</v>
      </c>
    </row>
    <row r="87" spans="1:32" s="36" customFormat="1" ht="20" customHeight="1" x14ac:dyDescent="0.15">
      <c r="A87" s="5" t="s">
        <v>5831</v>
      </c>
      <c r="B87" s="193" t="s">
        <v>153</v>
      </c>
      <c r="C87" s="193" t="s">
        <v>1591</v>
      </c>
      <c r="D87" s="193" t="s">
        <v>3488</v>
      </c>
      <c r="E87" s="193" t="s">
        <v>3489</v>
      </c>
      <c r="F87" s="193" t="s">
        <v>3490</v>
      </c>
      <c r="G87" s="193" t="s">
        <v>3491</v>
      </c>
      <c r="H87" s="193" t="s">
        <v>3492</v>
      </c>
      <c r="I87" s="193" t="s">
        <v>3477</v>
      </c>
      <c r="T87" s="76" t="s">
        <v>3222</v>
      </c>
    </row>
    <row r="88" spans="1:32" s="36" customFormat="1" ht="20" customHeight="1" x14ac:dyDescent="0.15">
      <c r="A88" s="5" t="s">
        <v>5831</v>
      </c>
      <c r="B88" s="193" t="s">
        <v>153</v>
      </c>
      <c r="C88" s="193" t="s">
        <v>1591</v>
      </c>
      <c r="D88" s="193" t="s">
        <v>3346</v>
      </c>
      <c r="E88" s="193" t="s">
        <v>3347</v>
      </c>
      <c r="F88" s="193" t="s">
        <v>3348</v>
      </c>
      <c r="G88" s="193" t="s">
        <v>3349</v>
      </c>
      <c r="H88" s="193" t="s">
        <v>3350</v>
      </c>
      <c r="I88" s="193" t="s">
        <v>3079</v>
      </c>
      <c r="T88" s="76" t="s">
        <v>3068</v>
      </c>
    </row>
    <row r="89" spans="1:32" s="36" customFormat="1" ht="20" customHeight="1" x14ac:dyDescent="0.15">
      <c r="A89" s="5" t="s">
        <v>5831</v>
      </c>
      <c r="B89" s="193" t="s">
        <v>153</v>
      </c>
      <c r="C89" s="193" t="s">
        <v>1591</v>
      </c>
      <c r="D89" s="193" t="s">
        <v>3341</v>
      </c>
      <c r="E89" s="193" t="s">
        <v>3342</v>
      </c>
      <c r="F89" s="193"/>
      <c r="G89" s="193" t="s">
        <v>3343</v>
      </c>
      <c r="H89" s="193" t="s">
        <v>3344</v>
      </c>
      <c r="I89" s="193" t="s">
        <v>3345</v>
      </c>
      <c r="T89" s="76" t="s">
        <v>3324</v>
      </c>
    </row>
    <row r="90" spans="1:32" s="36" customFormat="1" ht="20" customHeight="1" x14ac:dyDescent="0.15">
      <c r="A90" s="5" t="s">
        <v>5831</v>
      </c>
      <c r="B90" s="193" t="s">
        <v>153</v>
      </c>
      <c r="C90" s="193" t="s">
        <v>1591</v>
      </c>
      <c r="D90" s="193" t="s">
        <v>3482</v>
      </c>
      <c r="E90" s="193" t="s">
        <v>3483</v>
      </c>
      <c r="F90" s="193" t="s">
        <v>3484</v>
      </c>
      <c r="G90" s="193" t="s">
        <v>3485</v>
      </c>
      <c r="H90" s="193" t="s">
        <v>3486</v>
      </c>
      <c r="I90" s="193" t="s">
        <v>3487</v>
      </c>
      <c r="T90" s="76" t="s">
        <v>3406</v>
      </c>
    </row>
    <row r="91" spans="1:32" s="36" customFormat="1" ht="20" customHeight="1" x14ac:dyDescent="0.15">
      <c r="A91" s="5" t="s">
        <v>5831</v>
      </c>
      <c r="B91" s="193" t="s">
        <v>153</v>
      </c>
      <c r="C91" s="193" t="s">
        <v>1591</v>
      </c>
      <c r="D91" s="193" t="s">
        <v>3045</v>
      </c>
      <c r="E91" s="193" t="s">
        <v>3046</v>
      </c>
      <c r="F91" s="193" t="s">
        <v>3047</v>
      </c>
      <c r="G91" s="193" t="s">
        <v>3048</v>
      </c>
      <c r="H91" s="193" t="s">
        <v>3049</v>
      </c>
      <c r="I91" s="193" t="s">
        <v>3050</v>
      </c>
      <c r="T91" s="76" t="s">
        <v>3423</v>
      </c>
    </row>
    <row r="92" spans="1:32" s="36" customFormat="1" ht="20" customHeight="1" x14ac:dyDescent="0.15">
      <c r="A92" s="5" t="s">
        <v>5831</v>
      </c>
      <c r="B92" s="193" t="s">
        <v>153</v>
      </c>
      <c r="C92" s="193" t="s">
        <v>1591</v>
      </c>
      <c r="D92" s="193" t="s">
        <v>3080</v>
      </c>
      <c r="E92" s="193" t="s">
        <v>3081</v>
      </c>
      <c r="F92" s="193" t="s">
        <v>3082</v>
      </c>
      <c r="G92" s="193" t="s">
        <v>3083</v>
      </c>
      <c r="H92" s="193" t="s">
        <v>3084</v>
      </c>
      <c r="I92" s="193" t="s">
        <v>3085</v>
      </c>
      <c r="T92" s="76" t="s">
        <v>3379</v>
      </c>
    </row>
    <row r="93" spans="1:32" s="36" customFormat="1" ht="20" customHeight="1" x14ac:dyDescent="0.15">
      <c r="A93" s="5" t="s">
        <v>5831</v>
      </c>
      <c r="B93" s="193" t="s">
        <v>153</v>
      </c>
      <c r="C93" s="193" t="s">
        <v>1591</v>
      </c>
      <c r="D93" s="193" t="s">
        <v>3461</v>
      </c>
      <c r="E93" s="193" t="s">
        <v>3462</v>
      </c>
      <c r="F93" s="193" t="s">
        <v>3463</v>
      </c>
      <c r="G93" s="193" t="s">
        <v>3464</v>
      </c>
      <c r="H93" s="193" t="s">
        <v>3465</v>
      </c>
      <c r="I93" s="193" t="s">
        <v>3079</v>
      </c>
      <c r="T93" s="76" t="s">
        <v>3146</v>
      </c>
    </row>
    <row r="94" spans="1:32" s="36" customFormat="1" ht="20" customHeight="1" x14ac:dyDescent="0.15">
      <c r="A94" s="5" t="s">
        <v>5831</v>
      </c>
      <c r="B94" s="193" t="s">
        <v>153</v>
      </c>
      <c r="C94" s="193" t="s">
        <v>1591</v>
      </c>
      <c r="D94" s="193" t="s">
        <v>3113</v>
      </c>
      <c r="E94" s="193" t="s">
        <v>3114</v>
      </c>
      <c r="F94" s="193" t="s">
        <v>3115</v>
      </c>
      <c r="G94" s="193" t="s">
        <v>3116</v>
      </c>
      <c r="H94" s="193" t="s">
        <v>3117</v>
      </c>
      <c r="I94" s="193" t="s">
        <v>2845</v>
      </c>
      <c r="T94" s="76" t="s">
        <v>3166</v>
      </c>
    </row>
    <row r="95" spans="1:32" s="36" customFormat="1" ht="20" customHeight="1" x14ac:dyDescent="0.15">
      <c r="A95" s="5" t="s">
        <v>5831</v>
      </c>
      <c r="B95" s="193" t="s">
        <v>153</v>
      </c>
      <c r="C95" s="193" t="s">
        <v>1591</v>
      </c>
      <c r="D95" s="193" t="s">
        <v>3051</v>
      </c>
      <c r="E95" s="193" t="s">
        <v>3052</v>
      </c>
      <c r="F95" s="193" t="s">
        <v>3053</v>
      </c>
      <c r="G95" s="193" t="s">
        <v>3054</v>
      </c>
      <c r="H95" s="193" t="s">
        <v>3055</v>
      </c>
      <c r="I95" s="193" t="s">
        <v>3056</v>
      </c>
      <c r="T95" s="76" t="s">
        <v>3251</v>
      </c>
    </row>
    <row r="96" spans="1:32" s="36" customFormat="1" ht="20" customHeight="1" x14ac:dyDescent="0.15">
      <c r="A96" s="5" t="s">
        <v>5831</v>
      </c>
      <c r="B96" s="193" t="s">
        <v>153</v>
      </c>
      <c r="C96" s="193" t="s">
        <v>1591</v>
      </c>
      <c r="D96" s="193" t="s">
        <v>3216</v>
      </c>
      <c r="E96" s="193" t="s">
        <v>3217</v>
      </c>
      <c r="F96" s="193" t="s">
        <v>3218</v>
      </c>
      <c r="G96" s="193" t="s">
        <v>3219</v>
      </c>
      <c r="H96" s="193" t="s">
        <v>3220</v>
      </c>
      <c r="I96" s="193" t="s">
        <v>3221</v>
      </c>
      <c r="T96" s="76" t="s">
        <v>3603</v>
      </c>
    </row>
    <row r="97" spans="1:20" s="36" customFormat="1" ht="20" customHeight="1" x14ac:dyDescent="0.15">
      <c r="A97" s="5" t="s">
        <v>5831</v>
      </c>
      <c r="B97" s="193" t="s">
        <v>153</v>
      </c>
      <c r="C97" s="193" t="s">
        <v>1591</v>
      </c>
      <c r="D97" s="193" t="s">
        <v>3650</v>
      </c>
      <c r="E97" s="193" t="s">
        <v>3651</v>
      </c>
      <c r="F97" s="193" t="s">
        <v>3652</v>
      </c>
      <c r="G97" s="193" t="s">
        <v>3653</v>
      </c>
      <c r="H97" s="193" t="s">
        <v>3654</v>
      </c>
      <c r="I97" s="193" t="s">
        <v>2987</v>
      </c>
      <c r="T97" s="76" t="s">
        <v>3548</v>
      </c>
    </row>
    <row r="98" spans="1:20" s="36" customFormat="1" ht="20" customHeight="1" x14ac:dyDescent="0.15">
      <c r="A98" s="5" t="s">
        <v>5831</v>
      </c>
      <c r="B98" s="193" t="s">
        <v>153</v>
      </c>
      <c r="C98" s="193" t="s">
        <v>1591</v>
      </c>
      <c r="D98" s="193" t="s">
        <v>3560</v>
      </c>
      <c r="E98" s="193" t="s">
        <v>3561</v>
      </c>
      <c r="F98" s="193" t="s">
        <v>3562</v>
      </c>
      <c r="G98" s="193" t="s">
        <v>3563</v>
      </c>
      <c r="H98" s="193" t="s">
        <v>3564</v>
      </c>
      <c r="I98" s="193" t="s">
        <v>3565</v>
      </c>
      <c r="T98" s="76" t="s">
        <v>3609</v>
      </c>
    </row>
    <row r="99" spans="1:20" s="36" customFormat="1" ht="20" customHeight="1" x14ac:dyDescent="0.15">
      <c r="A99" s="5" t="s">
        <v>5831</v>
      </c>
      <c r="B99" s="193" t="s">
        <v>153</v>
      </c>
      <c r="C99" s="193" t="s">
        <v>1591</v>
      </c>
      <c r="D99" s="193" t="s">
        <v>3222</v>
      </c>
      <c r="E99" s="193" t="s">
        <v>3223</v>
      </c>
      <c r="F99" s="193" t="s">
        <v>3224</v>
      </c>
      <c r="G99" s="193" t="s">
        <v>3225</v>
      </c>
      <c r="H99" s="193" t="s">
        <v>3226</v>
      </c>
      <c r="I99" s="193" t="s">
        <v>3227</v>
      </c>
      <c r="T99" s="76" t="s">
        <v>3184</v>
      </c>
    </row>
    <row r="100" spans="1:20" s="36" customFormat="1" ht="20" customHeight="1" x14ac:dyDescent="0.15">
      <c r="A100" s="5" t="s">
        <v>5831</v>
      </c>
      <c r="B100" s="193" t="s">
        <v>153</v>
      </c>
      <c r="C100" s="193" t="s">
        <v>1591</v>
      </c>
      <c r="D100" s="193" t="s">
        <v>3068</v>
      </c>
      <c r="E100" s="193" t="s">
        <v>3069</v>
      </c>
      <c r="F100" s="193" t="s">
        <v>3070</v>
      </c>
      <c r="G100" s="193" t="s">
        <v>3071</v>
      </c>
      <c r="H100" s="193" t="s">
        <v>3072</v>
      </c>
      <c r="I100" s="193" t="s">
        <v>3073</v>
      </c>
      <c r="T100" s="76" t="s">
        <v>3655</v>
      </c>
    </row>
    <row r="101" spans="1:20" s="36" customFormat="1" ht="20" customHeight="1" x14ac:dyDescent="0.15">
      <c r="A101" s="5" t="s">
        <v>5831</v>
      </c>
      <c r="B101" s="193" t="s">
        <v>153</v>
      </c>
      <c r="C101" s="193" t="s">
        <v>1591</v>
      </c>
      <c r="D101" s="193" t="s">
        <v>3324</v>
      </c>
      <c r="E101" s="193" t="s">
        <v>3325</v>
      </c>
      <c r="F101" s="193" t="s">
        <v>3326</v>
      </c>
      <c r="G101" s="193" t="s">
        <v>3327</v>
      </c>
      <c r="H101" s="193" t="s">
        <v>3328</v>
      </c>
      <c r="I101" s="193" t="s">
        <v>3244</v>
      </c>
      <c r="T101" s="76" t="s">
        <v>3593</v>
      </c>
    </row>
    <row r="102" spans="1:20" s="36" customFormat="1" ht="20" customHeight="1" x14ac:dyDescent="0.15">
      <c r="A102" s="5" t="s">
        <v>5831</v>
      </c>
      <c r="B102" s="193" t="s">
        <v>153</v>
      </c>
      <c r="C102" s="193" t="s">
        <v>1591</v>
      </c>
      <c r="D102" s="193" t="s">
        <v>3406</v>
      </c>
      <c r="E102" s="193" t="s">
        <v>3407</v>
      </c>
      <c r="F102" s="193" t="s">
        <v>3408</v>
      </c>
      <c r="G102" s="193" t="s">
        <v>3409</v>
      </c>
      <c r="H102" s="193" t="s">
        <v>3410</v>
      </c>
      <c r="I102" s="193" t="s">
        <v>3411</v>
      </c>
      <c r="T102" s="76" t="s">
        <v>3621</v>
      </c>
    </row>
    <row r="103" spans="1:20" s="36" customFormat="1" ht="20" customHeight="1" x14ac:dyDescent="0.15">
      <c r="A103" s="5" t="s">
        <v>5831</v>
      </c>
      <c r="B103" s="193" t="s">
        <v>153</v>
      </c>
      <c r="C103" s="193" t="s">
        <v>1591</v>
      </c>
      <c r="D103" s="193" t="s">
        <v>3423</v>
      </c>
      <c r="E103" s="193" t="s">
        <v>3424</v>
      </c>
      <c r="F103" s="193" t="s">
        <v>3425</v>
      </c>
      <c r="G103" s="193" t="s">
        <v>3426</v>
      </c>
      <c r="H103" s="193" t="s">
        <v>3427</v>
      </c>
      <c r="I103" s="193" t="s">
        <v>2884</v>
      </c>
      <c r="T103" s="76" t="s">
        <v>3634</v>
      </c>
    </row>
    <row r="104" spans="1:20" s="36" customFormat="1" ht="20" customHeight="1" x14ac:dyDescent="0.15">
      <c r="A104" s="5" t="s">
        <v>5831</v>
      </c>
      <c r="B104" s="193" t="s">
        <v>153</v>
      </c>
      <c r="C104" s="193" t="s">
        <v>1591</v>
      </c>
      <c r="D104" s="193" t="s">
        <v>3379</v>
      </c>
      <c r="E104" s="193" t="s">
        <v>3380</v>
      </c>
      <c r="F104" s="193" t="s">
        <v>3381</v>
      </c>
      <c r="G104" s="193" t="s">
        <v>3382</v>
      </c>
      <c r="H104" s="193" t="s">
        <v>3383</v>
      </c>
      <c r="I104" s="193" t="s">
        <v>2814</v>
      </c>
      <c r="T104" s="76" t="s">
        <v>3357</v>
      </c>
    </row>
    <row r="105" spans="1:20" s="36" customFormat="1" ht="20" customHeight="1" x14ac:dyDescent="0.15">
      <c r="A105" s="5" t="s">
        <v>5831</v>
      </c>
      <c r="B105" s="193" t="s">
        <v>153</v>
      </c>
      <c r="C105" s="193" t="s">
        <v>1591</v>
      </c>
      <c r="D105" s="193" t="s">
        <v>3146</v>
      </c>
      <c r="E105" s="193" t="s">
        <v>3147</v>
      </c>
      <c r="F105" s="193" t="s">
        <v>3148</v>
      </c>
      <c r="G105" s="193" t="s">
        <v>3149</v>
      </c>
      <c r="H105" s="193" t="s">
        <v>3150</v>
      </c>
      <c r="I105" s="193" t="s">
        <v>3151</v>
      </c>
      <c r="T105" s="76" t="s">
        <v>3123</v>
      </c>
    </row>
    <row r="106" spans="1:20" s="36" customFormat="1" ht="20" customHeight="1" x14ac:dyDescent="0.15">
      <c r="A106" s="5" t="s">
        <v>5831</v>
      </c>
      <c r="B106" s="193" t="s">
        <v>153</v>
      </c>
      <c r="C106" s="193" t="s">
        <v>1591</v>
      </c>
      <c r="D106" s="193" t="s">
        <v>3166</v>
      </c>
      <c r="E106" s="193" t="s">
        <v>3167</v>
      </c>
      <c r="F106" s="193" t="s">
        <v>3168</v>
      </c>
      <c r="G106" s="193" t="s">
        <v>3169</v>
      </c>
      <c r="H106" s="193" t="s">
        <v>3170</v>
      </c>
      <c r="I106" s="193" t="s">
        <v>3171</v>
      </c>
      <c r="T106" s="76" t="s">
        <v>3108</v>
      </c>
    </row>
    <row r="107" spans="1:20" s="36" customFormat="1" ht="20" customHeight="1" x14ac:dyDescent="0.15">
      <c r="A107" s="5" t="s">
        <v>5831</v>
      </c>
      <c r="B107" s="193" t="s">
        <v>153</v>
      </c>
      <c r="C107" s="193" t="s">
        <v>1591</v>
      </c>
      <c r="D107" s="193" t="s">
        <v>3251</v>
      </c>
      <c r="E107" s="193" t="s">
        <v>3252</v>
      </c>
      <c r="F107" s="193" t="s">
        <v>3253</v>
      </c>
      <c r="G107" s="193" t="s">
        <v>3254</v>
      </c>
      <c r="H107" s="193" t="s">
        <v>3255</v>
      </c>
      <c r="I107" s="193" t="s">
        <v>3256</v>
      </c>
      <c r="T107" s="76" t="s">
        <v>3163</v>
      </c>
    </row>
    <row r="108" spans="1:20" s="36" customFormat="1" ht="20" customHeight="1" x14ac:dyDescent="0.15">
      <c r="A108" s="5" t="s">
        <v>5831</v>
      </c>
      <c r="B108" s="193" t="s">
        <v>153</v>
      </c>
      <c r="C108" s="193" t="s">
        <v>1591</v>
      </c>
      <c r="D108" s="193" t="s">
        <v>3603</v>
      </c>
      <c r="E108" s="193" t="s">
        <v>3604</v>
      </c>
      <c r="F108" s="193" t="s">
        <v>3605</v>
      </c>
      <c r="G108" s="193" t="s">
        <v>3606</v>
      </c>
      <c r="H108" s="193" t="s">
        <v>3607</v>
      </c>
      <c r="I108" s="193" t="s">
        <v>3608</v>
      </c>
      <c r="T108" s="76" t="s">
        <v>3627</v>
      </c>
    </row>
    <row r="109" spans="1:20" s="36" customFormat="1" ht="20" customHeight="1" x14ac:dyDescent="0.15">
      <c r="A109" s="5" t="s">
        <v>5831</v>
      </c>
      <c r="B109" s="193" t="s">
        <v>153</v>
      </c>
      <c r="C109" s="193" t="s">
        <v>1591</v>
      </c>
      <c r="D109" s="193" t="s">
        <v>3548</v>
      </c>
      <c r="E109" s="193" t="s">
        <v>3549</v>
      </c>
      <c r="F109" s="193" t="s">
        <v>3550</v>
      </c>
      <c r="G109" s="193" t="s">
        <v>3551</v>
      </c>
      <c r="H109" s="193" t="s">
        <v>3552</v>
      </c>
      <c r="I109" s="193" t="s">
        <v>3553</v>
      </c>
      <c r="T109" s="76" t="s">
        <v>3129</v>
      </c>
    </row>
    <row r="110" spans="1:20" s="36" customFormat="1" ht="20" customHeight="1" x14ac:dyDescent="0.15">
      <c r="A110" s="5" t="s">
        <v>5831</v>
      </c>
      <c r="B110" s="193" t="s">
        <v>153</v>
      </c>
      <c r="C110" s="193" t="s">
        <v>1591</v>
      </c>
      <c r="D110" s="193" t="s">
        <v>3609</v>
      </c>
      <c r="E110" s="193" t="s">
        <v>3610</v>
      </c>
      <c r="F110" s="193" t="s">
        <v>3611</v>
      </c>
      <c r="G110" s="193" t="s">
        <v>3612</v>
      </c>
      <c r="H110" s="193" t="s">
        <v>3613</v>
      </c>
      <c r="I110" s="193" t="s">
        <v>3614</v>
      </c>
      <c r="T110" s="76" t="s">
        <v>3233</v>
      </c>
    </row>
    <row r="111" spans="1:20" s="36" customFormat="1" ht="20" customHeight="1" x14ac:dyDescent="0.15">
      <c r="A111" s="5" t="s">
        <v>5831</v>
      </c>
      <c r="B111" s="193" t="s">
        <v>153</v>
      </c>
      <c r="C111" s="193" t="s">
        <v>1591</v>
      </c>
      <c r="D111" s="193" t="s">
        <v>3184</v>
      </c>
      <c r="E111" s="193" t="s">
        <v>1439</v>
      </c>
      <c r="F111" s="193" t="s">
        <v>3185</v>
      </c>
      <c r="G111" s="193" t="s">
        <v>3186</v>
      </c>
      <c r="H111" s="193" t="s">
        <v>3187</v>
      </c>
      <c r="I111" s="193" t="s">
        <v>3188</v>
      </c>
      <c r="T111" s="76" t="s">
        <v>3824</v>
      </c>
    </row>
    <row r="112" spans="1:20" s="36" customFormat="1" ht="20" customHeight="1" x14ac:dyDescent="0.15">
      <c r="A112" s="5" t="s">
        <v>5831</v>
      </c>
      <c r="B112" s="193" t="s">
        <v>153</v>
      </c>
      <c r="C112" s="193" t="s">
        <v>1591</v>
      </c>
      <c r="D112" s="193" t="s">
        <v>3655</v>
      </c>
      <c r="E112" s="193" t="s">
        <v>3656</v>
      </c>
      <c r="F112" s="193" t="s">
        <v>3657</v>
      </c>
      <c r="G112" s="193" t="s">
        <v>3658</v>
      </c>
      <c r="H112" s="193" t="s">
        <v>3659</v>
      </c>
      <c r="I112" s="193" t="s">
        <v>3660</v>
      </c>
      <c r="T112" s="76" t="s">
        <v>3682</v>
      </c>
    </row>
    <row r="113" spans="1:20" s="36" customFormat="1" ht="20" customHeight="1" x14ac:dyDescent="0.15">
      <c r="A113" s="5" t="s">
        <v>5831</v>
      </c>
      <c r="B113" s="193" t="s">
        <v>153</v>
      </c>
      <c r="C113" s="193" t="s">
        <v>1591</v>
      </c>
      <c r="D113" s="193" t="s">
        <v>3593</v>
      </c>
      <c r="E113" s="193" t="s">
        <v>3594</v>
      </c>
      <c r="F113" s="193" t="s">
        <v>3595</v>
      </c>
      <c r="G113" s="193" t="s">
        <v>3596</v>
      </c>
      <c r="H113" s="193" t="s">
        <v>3597</v>
      </c>
      <c r="I113" s="193" t="s">
        <v>2839</v>
      </c>
      <c r="T113" s="76" t="s">
        <v>3285</v>
      </c>
    </row>
    <row r="114" spans="1:20" s="36" customFormat="1" ht="20" customHeight="1" x14ac:dyDescent="0.15">
      <c r="A114" s="5" t="s">
        <v>5831</v>
      </c>
      <c r="B114" s="193" t="s">
        <v>153</v>
      </c>
      <c r="C114" s="193" t="s">
        <v>1591</v>
      </c>
      <c r="D114" s="193" t="s">
        <v>3621</v>
      </c>
      <c r="E114" s="193" t="s">
        <v>3622</v>
      </c>
      <c r="F114" s="193" t="s">
        <v>3623</v>
      </c>
      <c r="G114" s="193" t="s">
        <v>3624</v>
      </c>
      <c r="H114" s="193" t="s">
        <v>3625</v>
      </c>
      <c r="I114" s="193" t="s">
        <v>3626</v>
      </c>
      <c r="T114" s="76" t="s">
        <v>3434</v>
      </c>
    </row>
    <row r="115" spans="1:20" s="36" customFormat="1" ht="20" customHeight="1" x14ac:dyDescent="0.15">
      <c r="A115" s="5" t="s">
        <v>5831</v>
      </c>
      <c r="B115" s="193" t="s">
        <v>153</v>
      </c>
      <c r="C115" s="193" t="s">
        <v>1591</v>
      </c>
      <c r="D115" s="193" t="s">
        <v>3634</v>
      </c>
      <c r="E115" s="193" t="s">
        <v>3635</v>
      </c>
      <c r="F115" s="193" t="s">
        <v>3636</v>
      </c>
      <c r="G115" s="193" t="s">
        <v>3637</v>
      </c>
      <c r="H115" s="193" t="s">
        <v>3638</v>
      </c>
      <c r="I115" s="193" t="s">
        <v>3417</v>
      </c>
      <c r="T115" s="76" t="s">
        <v>3439</v>
      </c>
    </row>
    <row r="116" spans="1:20" s="36" customFormat="1" ht="20" customHeight="1" x14ac:dyDescent="0.15">
      <c r="A116" s="5" t="s">
        <v>5831</v>
      </c>
      <c r="B116" s="193" t="s">
        <v>153</v>
      </c>
      <c r="C116" s="193" t="s">
        <v>1591</v>
      </c>
      <c r="D116" s="193" t="s">
        <v>3357</v>
      </c>
      <c r="E116" s="193" t="s">
        <v>3358</v>
      </c>
      <c r="F116" s="193" t="s">
        <v>3359</v>
      </c>
      <c r="G116" s="193" t="s">
        <v>3360</v>
      </c>
      <c r="H116" s="193" t="s">
        <v>3361</v>
      </c>
      <c r="I116" s="193" t="s">
        <v>3362</v>
      </c>
      <c r="T116" s="76" t="s">
        <v>3280</v>
      </c>
    </row>
    <row r="117" spans="1:20" s="36" customFormat="1" ht="20" customHeight="1" x14ac:dyDescent="0.15">
      <c r="A117" s="5" t="s">
        <v>5831</v>
      </c>
      <c r="B117" s="193" t="s">
        <v>153</v>
      </c>
      <c r="C117" s="193" t="s">
        <v>1591</v>
      </c>
      <c r="D117" s="193" t="s">
        <v>3123</v>
      </c>
      <c r="E117" s="193" t="s">
        <v>3124</v>
      </c>
      <c r="F117" s="193" t="s">
        <v>3125</v>
      </c>
      <c r="G117" s="193" t="s">
        <v>3126</v>
      </c>
      <c r="H117" s="193" t="s">
        <v>3127</v>
      </c>
      <c r="I117" s="193" t="s">
        <v>3128</v>
      </c>
      <c r="T117" s="76" t="s">
        <v>3245</v>
      </c>
    </row>
    <row r="118" spans="1:20" s="36" customFormat="1" ht="20" customHeight="1" x14ac:dyDescent="0.15">
      <c r="A118" s="5" t="s">
        <v>5831</v>
      </c>
      <c r="B118" s="193" t="s">
        <v>153</v>
      </c>
      <c r="C118" s="193" t="s">
        <v>1591</v>
      </c>
      <c r="D118" s="193" t="s">
        <v>3108</v>
      </c>
      <c r="E118" s="193" t="s">
        <v>3109</v>
      </c>
      <c r="F118" s="193" t="s">
        <v>3110</v>
      </c>
      <c r="G118" s="193" t="s">
        <v>3111</v>
      </c>
      <c r="H118" s="193" t="s">
        <v>3112</v>
      </c>
      <c r="I118" s="193" t="s">
        <v>2947</v>
      </c>
      <c r="T118" s="136" t="s">
        <v>3645</v>
      </c>
    </row>
    <row r="119" spans="1:20" s="36" customFormat="1" ht="20" customHeight="1" x14ac:dyDescent="0.15">
      <c r="A119" s="5" t="s">
        <v>5831</v>
      </c>
      <c r="B119" s="193" t="s">
        <v>153</v>
      </c>
      <c r="C119" s="193" t="s">
        <v>1591</v>
      </c>
      <c r="D119" s="193" t="s">
        <v>3163</v>
      </c>
      <c r="E119" s="193"/>
      <c r="F119" s="193" t="s">
        <v>3164</v>
      </c>
      <c r="G119" s="193" t="s">
        <v>3165</v>
      </c>
      <c r="H119" s="193" t="s">
        <v>3101</v>
      </c>
      <c r="I119" s="193" t="s">
        <v>2890</v>
      </c>
      <c r="T119" s="76">
        <v>117</v>
      </c>
    </row>
    <row r="120" spans="1:20" s="36" customFormat="1" ht="20" customHeight="1" x14ac:dyDescent="0.15">
      <c r="A120" s="5" t="s">
        <v>5831</v>
      </c>
      <c r="B120" s="193" t="s">
        <v>153</v>
      </c>
      <c r="C120" s="193" t="s">
        <v>1591</v>
      </c>
      <c r="D120" s="193" t="s">
        <v>3627</v>
      </c>
      <c r="E120" s="193" t="s">
        <v>3006</v>
      </c>
      <c r="F120" s="193" t="s">
        <v>3628</v>
      </c>
      <c r="G120" s="193" t="s">
        <v>3008</v>
      </c>
      <c r="H120" s="193" t="s">
        <v>3009</v>
      </c>
      <c r="I120" s="193" t="s">
        <v>3026</v>
      </c>
      <c r="T120" s="76"/>
    </row>
    <row r="121" spans="1:20" s="36" customFormat="1" ht="20" customHeight="1" x14ac:dyDescent="0.15">
      <c r="A121" s="5" t="s">
        <v>5831</v>
      </c>
      <c r="B121" s="193" t="s">
        <v>153</v>
      </c>
      <c r="C121" s="193" t="s">
        <v>1591</v>
      </c>
      <c r="D121" s="193" t="s">
        <v>3129</v>
      </c>
      <c r="E121" s="193" t="s">
        <v>3130</v>
      </c>
      <c r="F121" s="193" t="s">
        <v>3131</v>
      </c>
      <c r="G121" s="193" t="s">
        <v>3132</v>
      </c>
      <c r="H121" s="193" t="s">
        <v>3133</v>
      </c>
      <c r="I121" s="193" t="s">
        <v>3134</v>
      </c>
      <c r="T121" s="76"/>
    </row>
    <row r="122" spans="1:20" s="36" customFormat="1" ht="20" customHeight="1" x14ac:dyDescent="0.15">
      <c r="A122" s="5" t="s">
        <v>5831</v>
      </c>
      <c r="B122" s="193" t="s">
        <v>153</v>
      </c>
      <c r="C122" s="193" t="s">
        <v>1591</v>
      </c>
      <c r="D122" s="193" t="s">
        <v>3233</v>
      </c>
      <c r="E122" s="193" t="s">
        <v>3234</v>
      </c>
      <c r="F122" s="193" t="s">
        <v>3235</v>
      </c>
      <c r="G122" s="193" t="s">
        <v>3236</v>
      </c>
      <c r="H122" s="193" t="s">
        <v>3237</v>
      </c>
      <c r="I122" s="193" t="s">
        <v>3238</v>
      </c>
      <c r="T122" s="76"/>
    </row>
    <row r="123" spans="1:20" s="36" customFormat="1" ht="20" customHeight="1" x14ac:dyDescent="0.15">
      <c r="A123" s="282" t="s">
        <v>5831</v>
      </c>
      <c r="B123" s="282" t="s">
        <v>153</v>
      </c>
      <c r="C123" s="282" t="s">
        <v>1591</v>
      </c>
      <c r="D123" s="282" t="s">
        <v>3824</v>
      </c>
      <c r="E123" s="282" t="s">
        <v>3825</v>
      </c>
      <c r="F123" s="282" t="s">
        <v>7424</v>
      </c>
      <c r="G123" s="282" t="s">
        <v>7425</v>
      </c>
      <c r="H123" s="282" t="s">
        <v>3476</v>
      </c>
      <c r="I123" s="282" t="s">
        <v>3477</v>
      </c>
      <c r="T123" s="76"/>
    </row>
    <row r="124" spans="1:20" s="36" customFormat="1" ht="20" customHeight="1" x14ac:dyDescent="0.15">
      <c r="A124" s="5" t="s">
        <v>5831</v>
      </c>
      <c r="B124" s="193" t="s">
        <v>153</v>
      </c>
      <c r="C124" s="193" t="s">
        <v>1591</v>
      </c>
      <c r="D124" s="193" t="s">
        <v>3682</v>
      </c>
      <c r="E124" s="193"/>
      <c r="F124" s="193"/>
      <c r="G124" s="193" t="s">
        <v>3679</v>
      </c>
      <c r="H124" s="193" t="s">
        <v>3680</v>
      </c>
      <c r="I124" s="193" t="s">
        <v>3681</v>
      </c>
      <c r="T124" s="76"/>
    </row>
    <row r="125" spans="1:20" s="36" customFormat="1" ht="20" customHeight="1" x14ac:dyDescent="0.15">
      <c r="A125" s="5" t="s">
        <v>5831</v>
      </c>
      <c r="B125" s="193" t="s">
        <v>153</v>
      </c>
      <c r="C125" s="193" t="s">
        <v>1591</v>
      </c>
      <c r="D125" s="193" t="s">
        <v>3285</v>
      </c>
      <c r="E125" s="193" t="s">
        <v>3286</v>
      </c>
      <c r="F125" s="193" t="s">
        <v>3287</v>
      </c>
      <c r="G125" s="193" t="s">
        <v>3288</v>
      </c>
      <c r="H125" s="193" t="s">
        <v>3289</v>
      </c>
      <c r="I125" s="193" t="s">
        <v>3134</v>
      </c>
      <c r="T125" s="76"/>
    </row>
    <row r="126" spans="1:20" s="36" customFormat="1" ht="20" customHeight="1" x14ac:dyDescent="0.15">
      <c r="A126" s="5" t="s">
        <v>5831</v>
      </c>
      <c r="B126" s="193" t="s">
        <v>153</v>
      </c>
      <c r="C126" s="193" t="s">
        <v>1591</v>
      </c>
      <c r="D126" s="193" t="s">
        <v>3434</v>
      </c>
      <c r="E126" s="193" t="s">
        <v>3435</v>
      </c>
      <c r="F126" s="193" t="s">
        <v>3436</v>
      </c>
      <c r="G126" s="193" t="s">
        <v>3437</v>
      </c>
      <c r="H126" s="193" t="s">
        <v>3438</v>
      </c>
      <c r="I126" s="193" t="s">
        <v>3250</v>
      </c>
      <c r="T126" s="76"/>
    </row>
    <row r="127" spans="1:20" s="36" customFormat="1" ht="20" customHeight="1" x14ac:dyDescent="0.15">
      <c r="A127" s="5" t="s">
        <v>5831</v>
      </c>
      <c r="B127" s="193" t="s">
        <v>153</v>
      </c>
      <c r="C127" s="193" t="s">
        <v>1591</v>
      </c>
      <c r="D127" s="193" t="s">
        <v>3439</v>
      </c>
      <c r="E127" s="193" t="s">
        <v>3440</v>
      </c>
      <c r="F127" s="193" t="s">
        <v>3441</v>
      </c>
      <c r="G127" s="193" t="s">
        <v>3442</v>
      </c>
      <c r="H127" s="193" t="s">
        <v>3443</v>
      </c>
      <c r="I127" s="193" t="s">
        <v>3444</v>
      </c>
      <c r="T127" s="76"/>
    </row>
    <row r="128" spans="1:20" s="36" customFormat="1" ht="20" customHeight="1" x14ac:dyDescent="0.15">
      <c r="A128" s="5" t="s">
        <v>5831</v>
      </c>
      <c r="B128" s="193" t="s">
        <v>153</v>
      </c>
      <c r="C128" s="193" t="s">
        <v>1591</v>
      </c>
      <c r="D128" s="193" t="s">
        <v>3280</v>
      </c>
      <c r="E128" s="193" t="s">
        <v>3281</v>
      </c>
      <c r="F128" s="193" t="s">
        <v>3282</v>
      </c>
      <c r="G128" s="193" t="s">
        <v>3283</v>
      </c>
      <c r="H128" s="193" t="s">
        <v>3284</v>
      </c>
      <c r="I128" s="193" t="s">
        <v>3107</v>
      </c>
      <c r="T128" s="76"/>
    </row>
    <row r="129" spans="1:20" s="36" customFormat="1" ht="20" customHeight="1" x14ac:dyDescent="0.15">
      <c r="A129" s="5" t="s">
        <v>5831</v>
      </c>
      <c r="B129" s="193" t="s">
        <v>153</v>
      </c>
      <c r="C129" s="193" t="s">
        <v>1591</v>
      </c>
      <c r="D129" s="193" t="s">
        <v>3245</v>
      </c>
      <c r="E129" s="193" t="s">
        <v>3246</v>
      </c>
      <c r="F129" s="193" t="s">
        <v>3247</v>
      </c>
      <c r="G129" s="193" t="s">
        <v>3248</v>
      </c>
      <c r="H129" s="193" t="s">
        <v>3249</v>
      </c>
      <c r="I129" s="193" t="s">
        <v>3250</v>
      </c>
      <c r="T129" s="76"/>
    </row>
    <row r="130" spans="1:20" s="36" customFormat="1" ht="20" customHeight="1" x14ac:dyDescent="0.15">
      <c r="A130" s="5" t="s">
        <v>5831</v>
      </c>
      <c r="B130" s="193" t="s">
        <v>153</v>
      </c>
      <c r="C130" s="193" t="s">
        <v>1591</v>
      </c>
      <c r="D130" s="193" t="s">
        <v>3645</v>
      </c>
      <c r="E130" s="193" t="s">
        <v>3646</v>
      </c>
      <c r="F130" s="193" t="s">
        <v>3647</v>
      </c>
      <c r="G130" s="193" t="s">
        <v>3648</v>
      </c>
      <c r="H130" s="193" t="s">
        <v>3649</v>
      </c>
      <c r="I130" s="193" t="s">
        <v>3004</v>
      </c>
      <c r="T130" s="76"/>
    </row>
    <row r="131" spans="1:20" s="36" customFormat="1" ht="20" customHeight="1" x14ac:dyDescent="0.15">
      <c r="A131" s="5" t="s">
        <v>5843</v>
      </c>
      <c r="B131" s="193" t="s">
        <v>155</v>
      </c>
      <c r="C131" s="193" t="s">
        <v>2782</v>
      </c>
      <c r="D131" s="193" t="s">
        <v>3718</v>
      </c>
      <c r="E131" s="193" t="s">
        <v>3719</v>
      </c>
      <c r="F131" s="193" t="s">
        <v>3720</v>
      </c>
      <c r="G131" s="193" t="s">
        <v>3721</v>
      </c>
      <c r="H131" s="193" t="s">
        <v>3722</v>
      </c>
      <c r="I131" s="193" t="s">
        <v>3723</v>
      </c>
      <c r="T131" s="76"/>
    </row>
    <row r="132" spans="1:20" s="36" customFormat="1" ht="20" customHeight="1" x14ac:dyDescent="0.15">
      <c r="A132" s="5" t="s">
        <v>5843</v>
      </c>
      <c r="B132" s="193" t="s">
        <v>155</v>
      </c>
      <c r="C132" s="193" t="s">
        <v>2782</v>
      </c>
      <c r="D132" s="193" t="s">
        <v>3689</v>
      </c>
      <c r="E132" s="193" t="s">
        <v>3690</v>
      </c>
      <c r="F132" s="193" t="s">
        <v>3691</v>
      </c>
      <c r="G132" s="193" t="s">
        <v>3692</v>
      </c>
      <c r="H132" s="193" t="s">
        <v>3693</v>
      </c>
      <c r="I132" s="193" t="s">
        <v>3694</v>
      </c>
      <c r="T132" s="76"/>
    </row>
    <row r="133" spans="1:20" s="36" customFormat="1" ht="20" customHeight="1" x14ac:dyDescent="0.15">
      <c r="A133" s="5" t="s">
        <v>5843</v>
      </c>
      <c r="B133" s="193" t="s">
        <v>155</v>
      </c>
      <c r="C133" s="193" t="s">
        <v>2782</v>
      </c>
      <c r="D133" s="193" t="s">
        <v>3724</v>
      </c>
      <c r="E133" s="193" t="s">
        <v>3725</v>
      </c>
      <c r="F133" s="193" t="s">
        <v>3726</v>
      </c>
      <c r="G133" s="193" t="s">
        <v>3727</v>
      </c>
      <c r="H133" s="193" t="s">
        <v>3728</v>
      </c>
      <c r="I133" s="193" t="s">
        <v>3729</v>
      </c>
      <c r="T133" s="76"/>
    </row>
    <row r="134" spans="1:20" s="36" customFormat="1" ht="20" customHeight="1" x14ac:dyDescent="0.15">
      <c r="A134" s="5" t="s">
        <v>5843</v>
      </c>
      <c r="B134" s="193" t="s">
        <v>155</v>
      </c>
      <c r="C134" s="193" t="s">
        <v>2782</v>
      </c>
      <c r="D134" s="193" t="s">
        <v>3695</v>
      </c>
      <c r="E134" s="193" t="s">
        <v>3696</v>
      </c>
      <c r="F134" s="193" t="s">
        <v>3697</v>
      </c>
      <c r="G134" s="193" t="s">
        <v>3698</v>
      </c>
      <c r="H134" s="193" t="s">
        <v>3699</v>
      </c>
      <c r="I134" s="193" t="s">
        <v>3700</v>
      </c>
      <c r="T134" s="76"/>
    </row>
    <row r="135" spans="1:20" s="36" customFormat="1" ht="20" customHeight="1" x14ac:dyDescent="0.15">
      <c r="A135" s="5" t="s">
        <v>5843</v>
      </c>
      <c r="B135" s="193" t="s">
        <v>155</v>
      </c>
      <c r="C135" s="193" t="s">
        <v>2782</v>
      </c>
      <c r="D135" s="193" t="s">
        <v>3683</v>
      </c>
      <c r="E135" s="193" t="s">
        <v>3684</v>
      </c>
      <c r="F135" s="193" t="s">
        <v>3685</v>
      </c>
      <c r="G135" s="193" t="s">
        <v>3686</v>
      </c>
      <c r="H135" s="193" t="s">
        <v>3687</v>
      </c>
      <c r="I135" s="193" t="s">
        <v>3688</v>
      </c>
      <c r="T135" s="76"/>
    </row>
    <row r="136" spans="1:20" s="36" customFormat="1" ht="20" customHeight="1" x14ac:dyDescent="0.15">
      <c r="A136" s="5" t="s">
        <v>5843</v>
      </c>
      <c r="B136" s="193" t="s">
        <v>155</v>
      </c>
      <c r="C136" s="193" t="s">
        <v>2782</v>
      </c>
      <c r="D136" s="193" t="s">
        <v>3707</v>
      </c>
      <c r="E136" s="193" t="s">
        <v>3708</v>
      </c>
      <c r="F136" s="193" t="s">
        <v>3709</v>
      </c>
      <c r="G136" s="193" t="s">
        <v>3710</v>
      </c>
      <c r="H136" s="193" t="s">
        <v>3711</v>
      </c>
      <c r="I136" s="193" t="s">
        <v>3712</v>
      </c>
      <c r="T136" s="76"/>
    </row>
    <row r="137" spans="1:20" s="36" customFormat="1" ht="20" customHeight="1" x14ac:dyDescent="0.15">
      <c r="A137" s="5" t="s">
        <v>5843</v>
      </c>
      <c r="B137" s="193" t="s">
        <v>155</v>
      </c>
      <c r="C137" s="193" t="s">
        <v>2782</v>
      </c>
      <c r="D137" s="193" t="s">
        <v>3701</v>
      </c>
      <c r="E137" s="193" t="s">
        <v>3702</v>
      </c>
      <c r="F137" s="193" t="s">
        <v>3703</v>
      </c>
      <c r="G137" s="193" t="s">
        <v>3704</v>
      </c>
      <c r="H137" s="193" t="s">
        <v>3705</v>
      </c>
      <c r="I137" s="193" t="s">
        <v>3706</v>
      </c>
      <c r="T137" s="76"/>
    </row>
    <row r="138" spans="1:20" s="36" customFormat="1" ht="20" customHeight="1" x14ac:dyDescent="0.15">
      <c r="A138" s="5" t="s">
        <v>5843</v>
      </c>
      <c r="B138" s="193" t="s">
        <v>155</v>
      </c>
      <c r="C138" s="193" t="s">
        <v>2782</v>
      </c>
      <c r="D138" s="193" t="s">
        <v>3713</v>
      </c>
      <c r="E138" s="193" t="s">
        <v>3713</v>
      </c>
      <c r="F138" s="193" t="s">
        <v>3714</v>
      </c>
      <c r="G138" s="193" t="s">
        <v>3715</v>
      </c>
      <c r="H138" s="193" t="s">
        <v>3716</v>
      </c>
      <c r="I138" s="193" t="s">
        <v>3717</v>
      </c>
      <c r="T138" s="76"/>
    </row>
    <row r="139" spans="1:20" s="36" customFormat="1" ht="20" customHeight="1" x14ac:dyDescent="0.15">
      <c r="A139" s="5" t="s">
        <v>5846</v>
      </c>
      <c r="B139" s="193" t="s">
        <v>162</v>
      </c>
      <c r="C139" s="193" t="s">
        <v>2791</v>
      </c>
      <c r="D139" s="193" t="s">
        <v>3763</v>
      </c>
      <c r="E139" s="193" t="s">
        <v>3764</v>
      </c>
      <c r="F139" s="193" t="s">
        <v>3765</v>
      </c>
      <c r="G139" s="193" t="s">
        <v>3766</v>
      </c>
      <c r="H139" s="193" t="s">
        <v>3767</v>
      </c>
      <c r="I139" s="193" t="s">
        <v>3768</v>
      </c>
      <c r="T139" s="76"/>
    </row>
    <row r="140" spans="1:20" s="36" customFormat="1" ht="20" customHeight="1" x14ac:dyDescent="0.15">
      <c r="A140" s="5" t="s">
        <v>5846</v>
      </c>
      <c r="B140" s="193" t="s">
        <v>162</v>
      </c>
      <c r="C140" s="193" t="s">
        <v>2791</v>
      </c>
      <c r="D140" s="193" t="s">
        <v>3791</v>
      </c>
      <c r="E140" s="193" t="s">
        <v>3792</v>
      </c>
      <c r="F140" s="193" t="s">
        <v>3793</v>
      </c>
      <c r="G140" s="193" t="s">
        <v>3794</v>
      </c>
      <c r="H140" s="193" t="s">
        <v>3795</v>
      </c>
      <c r="I140" s="193" t="s">
        <v>3796</v>
      </c>
      <c r="T140" s="76"/>
    </row>
    <row r="141" spans="1:20" s="36" customFormat="1" ht="20" customHeight="1" x14ac:dyDescent="0.15">
      <c r="A141" s="5" t="s">
        <v>5846</v>
      </c>
      <c r="B141" s="193" t="s">
        <v>162</v>
      </c>
      <c r="C141" s="193" t="s">
        <v>2791</v>
      </c>
      <c r="D141" s="193" t="s">
        <v>3751</v>
      </c>
      <c r="E141" s="193" t="s">
        <v>3752</v>
      </c>
      <c r="F141" s="193" t="s">
        <v>3753</v>
      </c>
      <c r="G141" s="193" t="s">
        <v>3754</v>
      </c>
      <c r="H141" s="193" t="s">
        <v>3755</v>
      </c>
      <c r="I141" s="193" t="s">
        <v>3756</v>
      </c>
      <c r="T141" s="76"/>
    </row>
    <row r="142" spans="1:20" s="36" customFormat="1" ht="20" customHeight="1" x14ac:dyDescent="0.15">
      <c r="A142" s="5" t="s">
        <v>5846</v>
      </c>
      <c r="B142" s="193" t="s">
        <v>162</v>
      </c>
      <c r="C142" s="193" t="s">
        <v>2791</v>
      </c>
      <c r="D142" s="193" t="s">
        <v>3857</v>
      </c>
      <c r="E142" s="193" t="s">
        <v>3858</v>
      </c>
      <c r="F142" s="193" t="s">
        <v>3859</v>
      </c>
      <c r="G142" s="193" t="s">
        <v>3860</v>
      </c>
      <c r="H142" s="193" t="s">
        <v>5771</v>
      </c>
      <c r="I142" s="193" t="s">
        <v>5772</v>
      </c>
      <c r="T142" s="76"/>
    </row>
    <row r="143" spans="1:20" s="36" customFormat="1" ht="20" customHeight="1" x14ac:dyDescent="0.15">
      <c r="A143" s="5" t="s">
        <v>5846</v>
      </c>
      <c r="B143" s="193" t="s">
        <v>162</v>
      </c>
      <c r="C143" s="193" t="s">
        <v>2791</v>
      </c>
      <c r="D143" s="193" t="s">
        <v>3837</v>
      </c>
      <c r="E143" s="193" t="s">
        <v>3838</v>
      </c>
      <c r="F143" s="193" t="s">
        <v>3839</v>
      </c>
      <c r="G143" s="193" t="s">
        <v>3840</v>
      </c>
      <c r="H143" s="193" t="s">
        <v>3841</v>
      </c>
      <c r="I143" s="193" t="s">
        <v>3842</v>
      </c>
      <c r="T143" s="76"/>
    </row>
    <row r="144" spans="1:20" s="36" customFormat="1" ht="20" customHeight="1" x14ac:dyDescent="0.15">
      <c r="A144" s="5" t="s">
        <v>5846</v>
      </c>
      <c r="B144" s="193" t="s">
        <v>162</v>
      </c>
      <c r="C144" s="193" t="s">
        <v>2791</v>
      </c>
      <c r="D144" s="193" t="s">
        <v>3873</v>
      </c>
      <c r="E144" s="193" t="s">
        <v>3874</v>
      </c>
      <c r="F144" s="193" t="s">
        <v>3875</v>
      </c>
      <c r="G144" s="193" t="s">
        <v>3876</v>
      </c>
      <c r="H144" s="193" t="s">
        <v>3877</v>
      </c>
      <c r="I144" s="193" t="s">
        <v>3878</v>
      </c>
      <c r="T144" s="76"/>
    </row>
    <row r="145" spans="1:20" s="36" customFormat="1" ht="20" customHeight="1" x14ac:dyDescent="0.15">
      <c r="A145" s="5" t="s">
        <v>5846</v>
      </c>
      <c r="B145" s="193" t="s">
        <v>162</v>
      </c>
      <c r="C145" s="193" t="s">
        <v>2791</v>
      </c>
      <c r="D145" s="193" t="s">
        <v>3747</v>
      </c>
      <c r="E145" s="193" t="s">
        <v>3748</v>
      </c>
      <c r="F145" s="193" t="s">
        <v>3749</v>
      </c>
      <c r="G145" s="193" t="s">
        <v>3750</v>
      </c>
      <c r="H145" s="193" t="s">
        <v>5773</v>
      </c>
      <c r="I145" s="193" t="s">
        <v>5801</v>
      </c>
      <c r="T145" s="76"/>
    </row>
    <row r="146" spans="1:20" s="36" customFormat="1" ht="20" customHeight="1" x14ac:dyDescent="0.15">
      <c r="A146" s="5" t="s">
        <v>5846</v>
      </c>
      <c r="B146" s="193" t="s">
        <v>162</v>
      </c>
      <c r="C146" s="193" t="s">
        <v>2791</v>
      </c>
      <c r="D146" s="193" t="s">
        <v>3807</v>
      </c>
      <c r="E146" s="193" t="s">
        <v>3808</v>
      </c>
      <c r="F146" s="193" t="s">
        <v>3809</v>
      </c>
      <c r="G146" s="193" t="s">
        <v>3810</v>
      </c>
      <c r="H146" s="193" t="s">
        <v>3811</v>
      </c>
      <c r="I146" s="193" t="s">
        <v>3812</v>
      </c>
      <c r="T146" s="76"/>
    </row>
    <row r="147" spans="1:20" s="36" customFormat="1" ht="20" customHeight="1" x14ac:dyDescent="0.15">
      <c r="A147" s="5" t="s">
        <v>5846</v>
      </c>
      <c r="B147" s="193" t="s">
        <v>162</v>
      </c>
      <c r="C147" s="193" t="s">
        <v>2791</v>
      </c>
      <c r="D147" s="193" t="s">
        <v>3843</v>
      </c>
      <c r="E147" s="193" t="s">
        <v>3844</v>
      </c>
      <c r="F147" s="193" t="s">
        <v>3845</v>
      </c>
      <c r="G147" s="193" t="s">
        <v>3846</v>
      </c>
      <c r="H147" s="193" t="s">
        <v>5774</v>
      </c>
      <c r="I147" s="193" t="s">
        <v>5802</v>
      </c>
      <c r="T147" s="76"/>
    </row>
    <row r="148" spans="1:20" s="36" customFormat="1" ht="20" customHeight="1" x14ac:dyDescent="0.15">
      <c r="A148" s="5" t="s">
        <v>5846</v>
      </c>
      <c r="B148" s="193" t="s">
        <v>162</v>
      </c>
      <c r="C148" s="193" t="s">
        <v>2791</v>
      </c>
      <c r="D148" s="193" t="s">
        <v>3833</v>
      </c>
      <c r="E148" s="193" t="s">
        <v>3834</v>
      </c>
      <c r="F148" s="193" t="s">
        <v>3835</v>
      </c>
      <c r="G148" s="193" t="s">
        <v>3836</v>
      </c>
      <c r="H148" s="196" t="s">
        <v>5775</v>
      </c>
      <c r="I148" s="193" t="s">
        <v>5803</v>
      </c>
      <c r="T148" s="76"/>
    </row>
    <row r="149" spans="1:20" s="36" customFormat="1" ht="20" customHeight="1" x14ac:dyDescent="0.15">
      <c r="A149" s="5" t="s">
        <v>5846</v>
      </c>
      <c r="B149" s="193" t="s">
        <v>162</v>
      </c>
      <c r="C149" s="193" t="s">
        <v>2791</v>
      </c>
      <c r="D149" s="193" t="s">
        <v>3847</v>
      </c>
      <c r="E149" s="193" t="s">
        <v>3848</v>
      </c>
      <c r="F149" s="193" t="s">
        <v>3849</v>
      </c>
      <c r="G149" s="193" t="s">
        <v>3850</v>
      </c>
      <c r="H149" s="193" t="s">
        <v>3827</v>
      </c>
      <c r="I149" s="193" t="s">
        <v>3828</v>
      </c>
      <c r="T149" s="76"/>
    </row>
    <row r="150" spans="1:20" s="36" customFormat="1" ht="20" customHeight="1" x14ac:dyDescent="0.15">
      <c r="A150" s="5" t="s">
        <v>5846</v>
      </c>
      <c r="B150" s="193" t="s">
        <v>162</v>
      </c>
      <c r="C150" s="193" t="s">
        <v>2791</v>
      </c>
      <c r="D150" s="193" t="s">
        <v>3829</v>
      </c>
      <c r="E150" s="193" t="s">
        <v>3830</v>
      </c>
      <c r="F150" s="193" t="s">
        <v>3831</v>
      </c>
      <c r="G150" s="193" t="s">
        <v>3832</v>
      </c>
      <c r="H150" s="193" t="s">
        <v>5776</v>
      </c>
      <c r="I150" s="193" t="s">
        <v>5804</v>
      </c>
      <c r="T150" s="76"/>
    </row>
    <row r="151" spans="1:20" s="36" customFormat="1" ht="20" customHeight="1" x14ac:dyDescent="0.15">
      <c r="A151" s="5" t="s">
        <v>5846</v>
      </c>
      <c r="B151" s="193" t="s">
        <v>162</v>
      </c>
      <c r="C151" s="193" t="s">
        <v>2791</v>
      </c>
      <c r="D151" s="193" t="s">
        <v>3738</v>
      </c>
      <c r="E151" s="193" t="s">
        <v>3739</v>
      </c>
      <c r="F151" s="193" t="s">
        <v>3740</v>
      </c>
      <c r="G151" s="193" t="s">
        <v>3741</v>
      </c>
      <c r="H151" s="193" t="s">
        <v>5777</v>
      </c>
      <c r="I151" s="193" t="s">
        <v>5805</v>
      </c>
      <c r="T151" s="76"/>
    </row>
    <row r="152" spans="1:20" s="36" customFormat="1" ht="20" customHeight="1" x14ac:dyDescent="0.15">
      <c r="A152" s="5" t="s">
        <v>5846</v>
      </c>
      <c r="B152" s="193" t="s">
        <v>162</v>
      </c>
      <c r="C152" s="193" t="s">
        <v>2791</v>
      </c>
      <c r="D152" s="193" t="s">
        <v>3813</v>
      </c>
      <c r="E152" s="193" t="s">
        <v>3814</v>
      </c>
      <c r="F152" s="193" t="s">
        <v>3815</v>
      </c>
      <c r="G152" s="193" t="s">
        <v>3816</v>
      </c>
      <c r="H152" s="193" t="s">
        <v>3817</v>
      </c>
      <c r="I152" s="193" t="s">
        <v>3774</v>
      </c>
      <c r="T152" s="76"/>
    </row>
    <row r="153" spans="1:20" s="36" customFormat="1" ht="20" customHeight="1" x14ac:dyDescent="0.15">
      <c r="A153" s="5" t="s">
        <v>5846</v>
      </c>
      <c r="B153" s="193" t="s">
        <v>162</v>
      </c>
      <c r="C153" s="193" t="s">
        <v>2791</v>
      </c>
      <c r="D153" s="193" t="s">
        <v>3769</v>
      </c>
      <c r="E153" s="193" t="s">
        <v>3770</v>
      </c>
      <c r="F153" s="193" t="s">
        <v>3771</v>
      </c>
      <c r="G153" s="193" t="s">
        <v>3772</v>
      </c>
      <c r="H153" s="193" t="s">
        <v>3773</v>
      </c>
      <c r="I153" s="193" t="s">
        <v>3774</v>
      </c>
      <c r="T153" s="76"/>
    </row>
    <row r="154" spans="1:20" s="36" customFormat="1" ht="20" customHeight="1" x14ac:dyDescent="0.15">
      <c r="A154" s="5" t="s">
        <v>5846</v>
      </c>
      <c r="B154" s="193" t="s">
        <v>162</v>
      </c>
      <c r="C154" s="193" t="s">
        <v>2791</v>
      </c>
      <c r="D154" s="193" t="s">
        <v>3732</v>
      </c>
      <c r="E154" s="193" t="s">
        <v>3733</v>
      </c>
      <c r="F154" s="193" t="s">
        <v>3734</v>
      </c>
      <c r="G154" s="193" t="s">
        <v>3735</v>
      </c>
      <c r="H154" s="193" t="s">
        <v>3736</v>
      </c>
      <c r="I154" s="193" t="s">
        <v>3737</v>
      </c>
      <c r="T154" s="76"/>
    </row>
    <row r="155" spans="1:20" s="36" customFormat="1" ht="20" customHeight="1" x14ac:dyDescent="0.15">
      <c r="A155" s="5" t="s">
        <v>5846</v>
      </c>
      <c r="B155" s="193" t="s">
        <v>162</v>
      </c>
      <c r="C155" s="193" t="s">
        <v>2791</v>
      </c>
      <c r="D155" s="193" t="s">
        <v>3851</v>
      </c>
      <c r="E155" s="193" t="s">
        <v>3852</v>
      </c>
      <c r="F155" s="193" t="s">
        <v>3853</v>
      </c>
      <c r="G155" s="193" t="s">
        <v>3854</v>
      </c>
      <c r="H155" s="193" t="s">
        <v>3855</v>
      </c>
      <c r="I155" s="193" t="s">
        <v>3856</v>
      </c>
      <c r="T155" s="76"/>
    </row>
    <row r="156" spans="1:20" s="36" customFormat="1" ht="20" customHeight="1" x14ac:dyDescent="0.15">
      <c r="A156" s="5" t="s">
        <v>5846</v>
      </c>
      <c r="B156" s="193" t="s">
        <v>162</v>
      </c>
      <c r="C156" s="193" t="s">
        <v>2791</v>
      </c>
      <c r="D156" s="193" t="s">
        <v>3867</v>
      </c>
      <c r="E156" s="193" t="s">
        <v>3868</v>
      </c>
      <c r="F156" s="193" t="s">
        <v>3869</v>
      </c>
      <c r="G156" s="193" t="s">
        <v>3870</v>
      </c>
      <c r="H156" s="193" t="s">
        <v>3871</v>
      </c>
      <c r="I156" s="193" t="s">
        <v>3872</v>
      </c>
      <c r="T156" s="76"/>
    </row>
    <row r="157" spans="1:20" s="36" customFormat="1" ht="20" customHeight="1" x14ac:dyDescent="0.15">
      <c r="A157" s="5" t="s">
        <v>5846</v>
      </c>
      <c r="B157" s="193" t="s">
        <v>162</v>
      </c>
      <c r="C157" s="193" t="s">
        <v>2791</v>
      </c>
      <c r="D157" s="193" t="s">
        <v>3861</v>
      </c>
      <c r="E157" s="193" t="s">
        <v>3862</v>
      </c>
      <c r="F157" s="193" t="s">
        <v>3863</v>
      </c>
      <c r="G157" s="193" t="s">
        <v>3864</v>
      </c>
      <c r="H157" s="193" t="s">
        <v>3865</v>
      </c>
      <c r="I157" s="193" t="s">
        <v>3866</v>
      </c>
      <c r="T157" s="76"/>
    </row>
    <row r="158" spans="1:20" s="36" customFormat="1" ht="20" customHeight="1" x14ac:dyDescent="0.15">
      <c r="A158" s="5" t="s">
        <v>5846</v>
      </c>
      <c r="B158" s="193" t="s">
        <v>162</v>
      </c>
      <c r="C158" s="193" t="s">
        <v>2791</v>
      </c>
      <c r="D158" s="193" t="s">
        <v>2804</v>
      </c>
      <c r="E158" s="193" t="s">
        <v>3730</v>
      </c>
      <c r="F158" s="193" t="s">
        <v>2801</v>
      </c>
      <c r="G158" s="193" t="s">
        <v>2798</v>
      </c>
      <c r="H158" s="193" t="s">
        <v>3731</v>
      </c>
      <c r="I158" s="193" t="s">
        <v>4183</v>
      </c>
      <c r="T158" s="76"/>
    </row>
    <row r="159" spans="1:20" s="36" customFormat="1" ht="20" customHeight="1" x14ac:dyDescent="0.15">
      <c r="A159" s="5" t="s">
        <v>5846</v>
      </c>
      <c r="B159" s="193" t="s">
        <v>162</v>
      </c>
      <c r="C159" s="193" t="s">
        <v>2791</v>
      </c>
      <c r="D159" s="193" t="s">
        <v>3785</v>
      </c>
      <c r="E159" s="193" t="s">
        <v>3786</v>
      </c>
      <c r="F159" s="193" t="s">
        <v>3787</v>
      </c>
      <c r="G159" s="193" t="s">
        <v>3788</v>
      </c>
      <c r="H159" s="193" t="s">
        <v>3789</v>
      </c>
      <c r="I159" s="193" t="s">
        <v>3790</v>
      </c>
      <c r="T159" s="76"/>
    </row>
    <row r="160" spans="1:20" s="36" customFormat="1" ht="20" customHeight="1" x14ac:dyDescent="0.15">
      <c r="A160" s="5" t="s">
        <v>5846</v>
      </c>
      <c r="B160" s="193" t="s">
        <v>162</v>
      </c>
      <c r="C160" s="193" t="s">
        <v>2791</v>
      </c>
      <c r="D160" s="193" t="s">
        <v>3818</v>
      </c>
      <c r="E160" s="193" t="s">
        <v>3819</v>
      </c>
      <c r="F160" s="193" t="s">
        <v>3820</v>
      </c>
      <c r="G160" s="193" t="s">
        <v>3821</v>
      </c>
      <c r="H160" s="193" t="s">
        <v>3822</v>
      </c>
      <c r="I160" s="193" t="s">
        <v>3823</v>
      </c>
      <c r="T160" s="76"/>
    </row>
    <row r="161" spans="1:20" s="36" customFormat="1" ht="20" customHeight="1" x14ac:dyDescent="0.15">
      <c r="A161" s="5" t="s">
        <v>5846</v>
      </c>
      <c r="B161" s="193" t="s">
        <v>162</v>
      </c>
      <c r="C161" s="193" t="s">
        <v>2791</v>
      </c>
      <c r="D161" s="193" t="s">
        <v>3779</v>
      </c>
      <c r="E161" s="193" t="s">
        <v>3780</v>
      </c>
      <c r="F161" s="193" t="s">
        <v>3781</v>
      </c>
      <c r="G161" s="193" t="s">
        <v>3782</v>
      </c>
      <c r="H161" s="193" t="s">
        <v>3783</v>
      </c>
      <c r="I161" s="193" t="s">
        <v>3784</v>
      </c>
      <c r="T161" s="76"/>
    </row>
    <row r="162" spans="1:20" s="36" customFormat="1" ht="20" customHeight="1" x14ac:dyDescent="0.15">
      <c r="A162" s="5" t="s">
        <v>5846</v>
      </c>
      <c r="B162" s="193" t="s">
        <v>162</v>
      </c>
      <c r="C162" s="193" t="s">
        <v>2791</v>
      </c>
      <c r="D162" s="193" t="s">
        <v>3775</v>
      </c>
      <c r="E162" s="193" t="s">
        <v>3776</v>
      </c>
      <c r="F162" s="193" t="s">
        <v>3777</v>
      </c>
      <c r="G162" s="193" t="s">
        <v>3778</v>
      </c>
      <c r="H162" s="193" t="s">
        <v>5778</v>
      </c>
      <c r="I162" s="193" t="s">
        <v>5806</v>
      </c>
      <c r="T162" s="76"/>
    </row>
    <row r="163" spans="1:20" s="36" customFormat="1" ht="20" customHeight="1" x14ac:dyDescent="0.15">
      <c r="A163" s="5" t="s">
        <v>5846</v>
      </c>
      <c r="B163" s="193" t="s">
        <v>162</v>
      </c>
      <c r="C163" s="193" t="s">
        <v>2791</v>
      </c>
      <c r="D163" s="193" t="s">
        <v>3757</v>
      </c>
      <c r="E163" s="193" t="s">
        <v>3758</v>
      </c>
      <c r="F163" s="193" t="s">
        <v>3759</v>
      </c>
      <c r="G163" s="193" t="s">
        <v>3760</v>
      </c>
      <c r="H163" s="193" t="s">
        <v>3761</v>
      </c>
      <c r="I163" s="193" t="s">
        <v>3762</v>
      </c>
      <c r="T163" s="76"/>
    </row>
    <row r="164" spans="1:20" s="36" customFormat="1" ht="20" customHeight="1" x14ac:dyDescent="0.15">
      <c r="A164" s="5" t="s">
        <v>5846</v>
      </c>
      <c r="B164" s="193" t="s">
        <v>162</v>
      </c>
      <c r="C164" s="193" t="s">
        <v>2791</v>
      </c>
      <c r="D164" s="193" t="s">
        <v>3742</v>
      </c>
      <c r="E164" s="193" t="s">
        <v>3743</v>
      </c>
      <c r="F164" s="193" t="s">
        <v>3744</v>
      </c>
      <c r="G164" s="193" t="s">
        <v>3745</v>
      </c>
      <c r="H164" s="193" t="s">
        <v>3746</v>
      </c>
      <c r="I164" s="193" t="s">
        <v>5807</v>
      </c>
      <c r="T164" s="76"/>
    </row>
    <row r="165" spans="1:20" s="36" customFormat="1" ht="20" customHeight="1" x14ac:dyDescent="0.15">
      <c r="A165" s="5" t="s">
        <v>5846</v>
      </c>
      <c r="B165" s="193" t="s">
        <v>162</v>
      </c>
      <c r="C165" s="193" t="s">
        <v>2791</v>
      </c>
      <c r="D165" s="193" t="s">
        <v>3797</v>
      </c>
      <c r="E165" s="193" t="s">
        <v>3798</v>
      </c>
      <c r="F165" s="193" t="s">
        <v>3799</v>
      </c>
      <c r="G165" s="193" t="s">
        <v>3800</v>
      </c>
      <c r="H165" s="193" t="s">
        <v>5779</v>
      </c>
      <c r="I165" s="193" t="s">
        <v>5808</v>
      </c>
      <c r="T165" s="76"/>
    </row>
    <row r="166" spans="1:20" s="36" customFormat="1" ht="20" customHeight="1" x14ac:dyDescent="0.15">
      <c r="A166" s="5" t="s">
        <v>5846</v>
      </c>
      <c r="B166" s="193" t="s">
        <v>162</v>
      </c>
      <c r="C166" s="193" t="s">
        <v>2791</v>
      </c>
      <c r="D166" s="193" t="s">
        <v>3801</v>
      </c>
      <c r="E166" s="193" t="s">
        <v>3802</v>
      </c>
      <c r="F166" s="193" t="s">
        <v>3803</v>
      </c>
      <c r="G166" s="193" t="s">
        <v>3804</v>
      </c>
      <c r="H166" s="193" t="s">
        <v>3805</v>
      </c>
      <c r="I166" s="193" t="s">
        <v>3806</v>
      </c>
      <c r="T166" s="76"/>
    </row>
    <row r="167" spans="1:20" s="36" customFormat="1" ht="20" customHeight="1" x14ac:dyDescent="0.15">
      <c r="A167" s="282" t="s">
        <v>5846</v>
      </c>
      <c r="B167" s="282" t="s">
        <v>162</v>
      </c>
      <c r="C167" s="282" t="s">
        <v>2791</v>
      </c>
      <c r="D167" s="282" t="s">
        <v>3824</v>
      </c>
      <c r="E167" s="282" t="s">
        <v>3825</v>
      </c>
      <c r="F167" s="282"/>
      <c r="G167" s="282" t="s">
        <v>3826</v>
      </c>
      <c r="H167" s="282" t="s">
        <v>3827</v>
      </c>
      <c r="I167" s="282" t="s">
        <v>3828</v>
      </c>
      <c r="T167" s="76"/>
    </row>
    <row r="168" spans="1:20" s="36" customFormat="1" ht="20" customHeight="1" x14ac:dyDescent="0.15">
      <c r="A168" s="5" t="s">
        <v>5845</v>
      </c>
      <c r="B168" s="193" t="s">
        <v>160</v>
      </c>
      <c r="C168" s="193" t="s">
        <v>2793</v>
      </c>
      <c r="D168" s="193" t="s">
        <v>3891</v>
      </c>
      <c r="E168" s="193" t="s">
        <v>3892</v>
      </c>
      <c r="F168" s="193" t="s">
        <v>3893</v>
      </c>
      <c r="G168" s="193" t="s">
        <v>3894</v>
      </c>
      <c r="H168" s="193" t="s">
        <v>3895</v>
      </c>
      <c r="I168" s="193" t="s">
        <v>3896</v>
      </c>
      <c r="T168" s="76"/>
    </row>
    <row r="169" spans="1:20" s="36" customFormat="1" ht="20" customHeight="1" x14ac:dyDescent="0.15">
      <c r="A169" s="5" t="s">
        <v>5847</v>
      </c>
      <c r="B169" s="193" t="s">
        <v>160</v>
      </c>
      <c r="C169" s="193" t="s">
        <v>2793</v>
      </c>
      <c r="D169" s="193" t="s">
        <v>3897</v>
      </c>
      <c r="E169" s="193" t="s">
        <v>3898</v>
      </c>
      <c r="F169" s="193" t="s">
        <v>3899</v>
      </c>
      <c r="G169" s="193" t="s">
        <v>3900</v>
      </c>
      <c r="H169" s="193" t="s">
        <v>3901</v>
      </c>
      <c r="I169" s="193" t="s">
        <v>3902</v>
      </c>
      <c r="T169" s="76"/>
    </row>
    <row r="170" spans="1:20" s="36" customFormat="1" ht="20" customHeight="1" x14ac:dyDescent="0.15">
      <c r="A170" s="5" t="s">
        <v>5847</v>
      </c>
      <c r="B170" s="193" t="s">
        <v>160</v>
      </c>
      <c r="C170" s="193" t="s">
        <v>2793</v>
      </c>
      <c r="D170" s="193" t="s">
        <v>3885</v>
      </c>
      <c r="E170" s="193" t="s">
        <v>3886</v>
      </c>
      <c r="F170" s="193" t="s">
        <v>3887</v>
      </c>
      <c r="G170" s="193" t="s">
        <v>3888</v>
      </c>
      <c r="H170" s="193" t="s">
        <v>3889</v>
      </c>
      <c r="I170" s="193" t="s">
        <v>3890</v>
      </c>
      <c r="T170" s="76"/>
    </row>
    <row r="171" spans="1:20" s="36" customFormat="1" ht="20" customHeight="1" x14ac:dyDescent="0.15">
      <c r="A171" s="5" t="s">
        <v>5847</v>
      </c>
      <c r="B171" s="193" t="s">
        <v>160</v>
      </c>
      <c r="C171" s="193" t="s">
        <v>2793</v>
      </c>
      <c r="D171" s="193" t="s">
        <v>3879</v>
      </c>
      <c r="E171" s="193" t="s">
        <v>3880</v>
      </c>
      <c r="F171" s="193" t="s">
        <v>3881</v>
      </c>
      <c r="G171" s="193" t="s">
        <v>3882</v>
      </c>
      <c r="H171" s="193" t="s">
        <v>3883</v>
      </c>
      <c r="I171" s="193" t="s">
        <v>3884</v>
      </c>
      <c r="T171" s="76"/>
    </row>
    <row r="172" spans="1:20" s="36" customFormat="1" ht="20" customHeight="1" x14ac:dyDescent="0.15">
      <c r="A172" s="5" t="s">
        <v>5848</v>
      </c>
      <c r="B172" s="193" t="s">
        <v>169</v>
      </c>
      <c r="C172" s="193" t="s">
        <v>5830</v>
      </c>
      <c r="D172" s="193" t="s">
        <v>4041</v>
      </c>
      <c r="E172" s="193" t="s">
        <v>4042</v>
      </c>
      <c r="F172" s="193" t="s">
        <v>4043</v>
      </c>
      <c r="G172" s="193" t="s">
        <v>4044</v>
      </c>
      <c r="H172" s="193" t="s">
        <v>4045</v>
      </c>
      <c r="I172" s="193" t="s">
        <v>4046</v>
      </c>
      <c r="T172" s="76"/>
    </row>
    <row r="173" spans="1:20" s="36" customFormat="1" ht="20" customHeight="1" x14ac:dyDescent="0.15">
      <c r="A173" s="5" t="s">
        <v>5848</v>
      </c>
      <c r="B173" s="193" t="s">
        <v>169</v>
      </c>
      <c r="C173" s="193" t="s">
        <v>5830</v>
      </c>
      <c r="D173" s="193" t="s">
        <v>3955</v>
      </c>
      <c r="E173" s="193" t="s">
        <v>3956</v>
      </c>
      <c r="F173" s="193" t="s">
        <v>3957</v>
      </c>
      <c r="G173" s="193" t="s">
        <v>3958</v>
      </c>
      <c r="H173" s="193" t="s">
        <v>3959</v>
      </c>
      <c r="I173" s="193" t="s">
        <v>3279</v>
      </c>
      <c r="T173" s="76"/>
    </row>
    <row r="174" spans="1:20" s="36" customFormat="1" ht="20" customHeight="1" x14ac:dyDescent="0.15">
      <c r="A174" s="5" t="s">
        <v>5848</v>
      </c>
      <c r="B174" s="193" t="s">
        <v>169</v>
      </c>
      <c r="C174" s="193" t="s">
        <v>5830</v>
      </c>
      <c r="D174" s="193" t="s">
        <v>3996</v>
      </c>
      <c r="E174" s="193" t="s">
        <v>3997</v>
      </c>
      <c r="F174" s="193" t="s">
        <v>3998</v>
      </c>
      <c r="G174" s="193" t="s">
        <v>3999</v>
      </c>
      <c r="H174" s="193" t="s">
        <v>4000</v>
      </c>
      <c r="I174" s="193" t="s">
        <v>4001</v>
      </c>
      <c r="T174" s="76"/>
    </row>
    <row r="175" spans="1:20" s="36" customFormat="1" ht="20" customHeight="1" x14ac:dyDescent="0.15">
      <c r="A175" s="5" t="s">
        <v>5848</v>
      </c>
      <c r="B175" s="193" t="s">
        <v>169</v>
      </c>
      <c r="C175" s="193" t="s">
        <v>5830</v>
      </c>
      <c r="D175" s="193" t="s">
        <v>3976</v>
      </c>
      <c r="E175" s="193" t="s">
        <v>3977</v>
      </c>
      <c r="F175" s="193" t="s">
        <v>3978</v>
      </c>
      <c r="G175" s="193" t="s">
        <v>3979</v>
      </c>
      <c r="H175" s="193" t="s">
        <v>3980</v>
      </c>
      <c r="I175" s="193" t="s">
        <v>3004</v>
      </c>
      <c r="T175" s="76"/>
    </row>
    <row r="176" spans="1:20" s="36" customFormat="1" ht="20" customHeight="1" x14ac:dyDescent="0.15">
      <c r="A176" s="5" t="s">
        <v>5848</v>
      </c>
      <c r="B176" s="193" t="s">
        <v>169</v>
      </c>
      <c r="C176" s="193" t="s">
        <v>5830</v>
      </c>
      <c r="D176" s="193" t="s">
        <v>4080</v>
      </c>
      <c r="E176" s="193" t="s">
        <v>4081</v>
      </c>
      <c r="F176" s="193" t="s">
        <v>4082</v>
      </c>
      <c r="G176" s="193" t="s">
        <v>4083</v>
      </c>
      <c r="H176" s="193" t="s">
        <v>4084</v>
      </c>
      <c r="I176" s="193" t="s">
        <v>3345</v>
      </c>
      <c r="T176" s="76"/>
    </row>
    <row r="177" spans="1:20" s="36" customFormat="1" ht="20" customHeight="1" x14ac:dyDescent="0.15">
      <c r="A177" s="5" t="s">
        <v>5848</v>
      </c>
      <c r="B177" s="193" t="s">
        <v>169</v>
      </c>
      <c r="C177" s="193" t="s">
        <v>5830</v>
      </c>
      <c r="D177" s="193" t="s">
        <v>3965</v>
      </c>
      <c r="E177" s="193" t="s">
        <v>3966</v>
      </c>
      <c r="F177" s="193" t="s">
        <v>3967</v>
      </c>
      <c r="G177" s="193" t="s">
        <v>3968</v>
      </c>
      <c r="H177" s="193" t="s">
        <v>3969</v>
      </c>
      <c r="I177" s="193" t="s">
        <v>3970</v>
      </c>
      <c r="T177" s="76"/>
    </row>
    <row r="178" spans="1:20" s="36" customFormat="1" ht="20" customHeight="1" x14ac:dyDescent="0.15">
      <c r="A178" s="5" t="s">
        <v>5848</v>
      </c>
      <c r="B178" s="193" t="s">
        <v>169</v>
      </c>
      <c r="C178" s="193" t="s">
        <v>5830</v>
      </c>
      <c r="D178" s="193" t="s">
        <v>4007</v>
      </c>
      <c r="E178" s="193" t="s">
        <v>4008</v>
      </c>
      <c r="F178" s="193" t="s">
        <v>4009</v>
      </c>
      <c r="G178" s="193" t="s">
        <v>4010</v>
      </c>
      <c r="H178" s="193" t="s">
        <v>4011</v>
      </c>
      <c r="I178" s="193" t="s">
        <v>4012</v>
      </c>
      <c r="T178" s="76"/>
    </row>
    <row r="179" spans="1:20" s="36" customFormat="1" ht="20" customHeight="1" x14ac:dyDescent="0.15">
      <c r="A179" s="5" t="s">
        <v>5848</v>
      </c>
      <c r="B179" s="193" t="s">
        <v>169</v>
      </c>
      <c r="C179" s="193" t="s">
        <v>5830</v>
      </c>
      <c r="D179" s="193" t="s">
        <v>4035</v>
      </c>
      <c r="E179" s="193" t="s">
        <v>4036</v>
      </c>
      <c r="F179" s="193" t="s">
        <v>4037</v>
      </c>
      <c r="G179" s="193" t="s">
        <v>4038</v>
      </c>
      <c r="H179" s="193" t="s">
        <v>4039</v>
      </c>
      <c r="I179" s="193" t="s">
        <v>4040</v>
      </c>
      <c r="T179" s="76"/>
    </row>
    <row r="180" spans="1:20" s="36" customFormat="1" ht="20" customHeight="1" x14ac:dyDescent="0.15">
      <c r="A180" s="5" t="s">
        <v>5848</v>
      </c>
      <c r="B180" s="193" t="s">
        <v>169</v>
      </c>
      <c r="C180" s="193" t="s">
        <v>5830</v>
      </c>
      <c r="D180" s="193" t="s">
        <v>4085</v>
      </c>
      <c r="E180" s="193" t="s">
        <v>4086</v>
      </c>
      <c r="F180" s="193" t="s">
        <v>4087</v>
      </c>
      <c r="G180" s="193" t="s">
        <v>4088</v>
      </c>
      <c r="H180" s="193" t="s">
        <v>4089</v>
      </c>
      <c r="I180" s="193" t="s">
        <v>3004</v>
      </c>
      <c r="T180" s="76"/>
    </row>
    <row r="181" spans="1:20" s="36" customFormat="1" ht="20" customHeight="1" x14ac:dyDescent="0.15">
      <c r="A181" s="5" t="s">
        <v>5848</v>
      </c>
      <c r="B181" s="193" t="s">
        <v>169</v>
      </c>
      <c r="C181" s="193" t="s">
        <v>5830</v>
      </c>
      <c r="D181" s="193" t="s">
        <v>4047</v>
      </c>
      <c r="E181" s="193" t="s">
        <v>4048</v>
      </c>
      <c r="F181" s="193" t="s">
        <v>4049</v>
      </c>
      <c r="G181" s="193" t="s">
        <v>4050</v>
      </c>
      <c r="H181" s="193" t="s">
        <v>4051</v>
      </c>
      <c r="I181" s="193" t="s">
        <v>2925</v>
      </c>
      <c r="T181" s="76"/>
    </row>
    <row r="182" spans="1:20" s="36" customFormat="1" ht="20" customHeight="1" x14ac:dyDescent="0.15">
      <c r="A182" s="5" t="s">
        <v>5848</v>
      </c>
      <c r="B182" s="193" t="s">
        <v>169</v>
      </c>
      <c r="C182" s="193" t="s">
        <v>5830</v>
      </c>
      <c r="D182" s="193" t="s">
        <v>3991</v>
      </c>
      <c r="E182" s="193" t="s">
        <v>3992</v>
      </c>
      <c r="F182" s="193" t="s">
        <v>3993</v>
      </c>
      <c r="G182" s="193" t="s">
        <v>3994</v>
      </c>
      <c r="H182" s="193" t="s">
        <v>3995</v>
      </c>
      <c r="I182" s="193" t="s">
        <v>3020</v>
      </c>
      <c r="T182" s="76"/>
    </row>
    <row r="183" spans="1:20" s="36" customFormat="1" ht="20" customHeight="1" x14ac:dyDescent="0.15">
      <c r="A183" s="5" t="s">
        <v>5848</v>
      </c>
      <c r="B183" s="193" t="s">
        <v>169</v>
      </c>
      <c r="C183" s="193" t="s">
        <v>5830</v>
      </c>
      <c r="D183" s="193" t="s">
        <v>3960</v>
      </c>
      <c r="E183" s="193" t="s">
        <v>3961</v>
      </c>
      <c r="F183" s="193" t="s">
        <v>3962</v>
      </c>
      <c r="G183" s="193" t="s">
        <v>3963</v>
      </c>
      <c r="H183" s="193" t="s">
        <v>3964</v>
      </c>
      <c r="I183" s="193" t="s">
        <v>3700</v>
      </c>
      <c r="T183" s="76"/>
    </row>
    <row r="184" spans="1:20" s="36" customFormat="1" ht="20" customHeight="1" x14ac:dyDescent="0.15">
      <c r="A184" s="5" t="s">
        <v>5848</v>
      </c>
      <c r="B184" s="193" t="s">
        <v>169</v>
      </c>
      <c r="C184" s="193" t="s">
        <v>5830</v>
      </c>
      <c r="D184" s="193" t="s">
        <v>4018</v>
      </c>
      <c r="E184" s="193" t="s">
        <v>4019</v>
      </c>
      <c r="F184" s="193" t="s">
        <v>4020</v>
      </c>
      <c r="G184" s="193" t="s">
        <v>4021</v>
      </c>
      <c r="H184" s="193" t="s">
        <v>4022</v>
      </c>
      <c r="I184" s="193" t="s">
        <v>3547</v>
      </c>
      <c r="T184" s="76"/>
    </row>
    <row r="185" spans="1:20" s="36" customFormat="1" ht="20" customHeight="1" x14ac:dyDescent="0.15">
      <c r="A185" s="5" t="s">
        <v>5848</v>
      </c>
      <c r="B185" s="193" t="s">
        <v>169</v>
      </c>
      <c r="C185" s="193" t="s">
        <v>5830</v>
      </c>
      <c r="D185" s="193" t="s">
        <v>4064</v>
      </c>
      <c r="E185" s="193" t="s">
        <v>4065</v>
      </c>
      <c r="F185" s="193" t="s">
        <v>4066</v>
      </c>
      <c r="G185" s="193" t="s">
        <v>4067</v>
      </c>
      <c r="H185" s="193" t="s">
        <v>4068</v>
      </c>
      <c r="I185" s="193" t="s">
        <v>4975</v>
      </c>
      <c r="T185" s="76"/>
    </row>
    <row r="186" spans="1:20" s="36" customFormat="1" ht="20" customHeight="1" x14ac:dyDescent="0.15">
      <c r="A186" s="5" t="s">
        <v>5848</v>
      </c>
      <c r="B186" s="193" t="s">
        <v>169</v>
      </c>
      <c r="C186" s="193" t="s">
        <v>5830</v>
      </c>
      <c r="D186" s="193" t="s">
        <v>4023</v>
      </c>
      <c r="E186" s="193" t="s">
        <v>4024</v>
      </c>
      <c r="F186" s="193" t="s">
        <v>4025</v>
      </c>
      <c r="G186" s="193" t="s">
        <v>4026</v>
      </c>
      <c r="H186" s="193" t="s">
        <v>4027</v>
      </c>
      <c r="I186" s="193" t="s">
        <v>4028</v>
      </c>
      <c r="T186" s="76"/>
    </row>
    <row r="187" spans="1:20" s="36" customFormat="1" ht="20" customHeight="1" x14ac:dyDescent="0.15">
      <c r="A187" s="5" t="s">
        <v>5848</v>
      </c>
      <c r="B187" s="193" t="s">
        <v>169</v>
      </c>
      <c r="C187" s="193" t="s">
        <v>5830</v>
      </c>
      <c r="D187" s="193" t="s">
        <v>4013</v>
      </c>
      <c r="E187" s="193" t="s">
        <v>4014</v>
      </c>
      <c r="F187" s="193" t="s">
        <v>4015</v>
      </c>
      <c r="G187" s="193" t="s">
        <v>4016</v>
      </c>
      <c r="H187" s="193" t="s">
        <v>4017</v>
      </c>
      <c r="I187" s="193" t="s">
        <v>2812</v>
      </c>
      <c r="T187" s="76"/>
    </row>
    <row r="188" spans="1:20" s="36" customFormat="1" ht="20" customHeight="1" x14ac:dyDescent="0.15">
      <c r="A188" s="5" t="s">
        <v>5848</v>
      </c>
      <c r="B188" s="193" t="s">
        <v>169</v>
      </c>
      <c r="C188" s="193" t="s">
        <v>5830</v>
      </c>
      <c r="D188" s="193" t="s">
        <v>4029</v>
      </c>
      <c r="E188" s="193" t="s">
        <v>4030</v>
      </c>
      <c r="F188" s="193" t="s">
        <v>4031</v>
      </c>
      <c r="G188" s="193" t="s">
        <v>4032</v>
      </c>
      <c r="H188" s="193" t="s">
        <v>4033</v>
      </c>
      <c r="I188" s="193" t="s">
        <v>4034</v>
      </c>
      <c r="T188" s="76"/>
    </row>
    <row r="189" spans="1:20" s="36" customFormat="1" ht="20" customHeight="1" x14ac:dyDescent="0.15">
      <c r="A189" s="5" t="s">
        <v>5848</v>
      </c>
      <c r="B189" s="193" t="s">
        <v>169</v>
      </c>
      <c r="C189" s="193" t="s">
        <v>5830</v>
      </c>
      <c r="D189" s="193" t="s">
        <v>4058</v>
      </c>
      <c r="E189" s="193" t="s">
        <v>4059</v>
      </c>
      <c r="F189" s="193" t="s">
        <v>4060</v>
      </c>
      <c r="G189" s="193" t="s">
        <v>4061</v>
      </c>
      <c r="H189" s="193" t="s">
        <v>4062</v>
      </c>
      <c r="I189" s="193" t="s">
        <v>4063</v>
      </c>
      <c r="T189" s="76"/>
    </row>
    <row r="190" spans="1:20" s="36" customFormat="1" ht="20" customHeight="1" x14ac:dyDescent="0.15">
      <c r="A190" s="5" t="s">
        <v>5848</v>
      </c>
      <c r="B190" s="193" t="s">
        <v>169</v>
      </c>
      <c r="C190" s="193" t="s">
        <v>5830</v>
      </c>
      <c r="D190" s="193" t="s">
        <v>4137</v>
      </c>
      <c r="E190" s="193" t="s">
        <v>4138</v>
      </c>
      <c r="F190" s="193" t="s">
        <v>4139</v>
      </c>
      <c r="G190" s="193" t="s">
        <v>4140</v>
      </c>
      <c r="H190" s="193" t="s">
        <v>4141</v>
      </c>
      <c r="I190" s="193" t="s">
        <v>3524</v>
      </c>
      <c r="T190" s="76"/>
    </row>
    <row r="191" spans="1:20" s="36" customFormat="1" ht="20" customHeight="1" x14ac:dyDescent="0.15">
      <c r="A191" s="5" t="s">
        <v>5848</v>
      </c>
      <c r="B191" s="193" t="s">
        <v>169</v>
      </c>
      <c r="C191" s="193" t="s">
        <v>5830</v>
      </c>
      <c r="D191" s="193" t="s">
        <v>4090</v>
      </c>
      <c r="E191" s="193" t="s">
        <v>4091</v>
      </c>
      <c r="F191" s="193" t="s">
        <v>4092</v>
      </c>
      <c r="G191" s="193" t="s">
        <v>4093</v>
      </c>
      <c r="H191" s="193" t="s">
        <v>4094</v>
      </c>
      <c r="I191" s="193" t="s">
        <v>2890</v>
      </c>
      <c r="T191" s="76"/>
    </row>
    <row r="192" spans="1:20" s="36" customFormat="1" ht="20" customHeight="1" x14ac:dyDescent="0.15">
      <c r="A192" s="5" t="s">
        <v>5848</v>
      </c>
      <c r="B192" s="193" t="s">
        <v>169</v>
      </c>
      <c r="C192" s="193" t="s">
        <v>5830</v>
      </c>
      <c r="D192" s="193" t="s">
        <v>4074</v>
      </c>
      <c r="E192" s="193" t="s">
        <v>4075</v>
      </c>
      <c r="F192" s="193" t="s">
        <v>4076</v>
      </c>
      <c r="G192" s="193" t="s">
        <v>4077</v>
      </c>
      <c r="H192" s="193" t="s">
        <v>4078</v>
      </c>
      <c r="I192" s="193" t="s">
        <v>4079</v>
      </c>
      <c r="T192" s="76"/>
    </row>
    <row r="193" spans="1:20" s="36" customFormat="1" ht="20" customHeight="1" x14ac:dyDescent="0.15">
      <c r="A193" s="5" t="s">
        <v>5848</v>
      </c>
      <c r="B193" s="193" t="s">
        <v>169</v>
      </c>
      <c r="C193" s="193" t="s">
        <v>5830</v>
      </c>
      <c r="D193" s="193" t="s">
        <v>4122</v>
      </c>
      <c r="E193" s="193" t="s">
        <v>4123</v>
      </c>
      <c r="F193" s="193" t="s">
        <v>4124</v>
      </c>
      <c r="G193" s="193" t="s">
        <v>4125</v>
      </c>
      <c r="H193" s="193" t="s">
        <v>4126</v>
      </c>
      <c r="I193" s="193" t="s">
        <v>3162</v>
      </c>
      <c r="T193" s="76"/>
    </row>
    <row r="194" spans="1:20" s="36" customFormat="1" ht="20" customHeight="1" x14ac:dyDescent="0.15">
      <c r="A194" s="5" t="s">
        <v>5848</v>
      </c>
      <c r="B194" s="193" t="s">
        <v>169</v>
      </c>
      <c r="C194" s="193" t="s">
        <v>5830</v>
      </c>
      <c r="D194" s="193" t="s">
        <v>4069</v>
      </c>
      <c r="E194" s="193" t="s">
        <v>4070</v>
      </c>
      <c r="F194" s="193" t="s">
        <v>4071</v>
      </c>
      <c r="G194" s="193" t="s">
        <v>4072</v>
      </c>
      <c r="H194" s="193" t="s">
        <v>4073</v>
      </c>
      <c r="I194" s="193" t="s">
        <v>2814</v>
      </c>
      <c r="T194" s="76"/>
    </row>
    <row r="195" spans="1:20" s="36" customFormat="1" ht="20" customHeight="1" x14ac:dyDescent="0.15">
      <c r="A195" s="5" t="s">
        <v>5848</v>
      </c>
      <c r="B195" s="193" t="s">
        <v>169</v>
      </c>
      <c r="C195" s="193" t="s">
        <v>5830</v>
      </c>
      <c r="D195" s="193" t="s">
        <v>4105</v>
      </c>
      <c r="E195" s="193" t="s">
        <v>4106</v>
      </c>
      <c r="F195" s="193" t="s">
        <v>4107</v>
      </c>
      <c r="G195" s="193" t="s">
        <v>4108</v>
      </c>
      <c r="H195" s="193" t="s">
        <v>4109</v>
      </c>
      <c r="I195" s="193" t="s">
        <v>4110</v>
      </c>
      <c r="T195" s="76"/>
    </row>
    <row r="196" spans="1:20" s="36" customFormat="1" ht="20" customHeight="1" x14ac:dyDescent="0.15">
      <c r="A196" s="5" t="s">
        <v>5848</v>
      </c>
      <c r="B196" s="193" t="s">
        <v>169</v>
      </c>
      <c r="C196" s="193" t="s">
        <v>5830</v>
      </c>
      <c r="D196" s="193" t="s">
        <v>3986</v>
      </c>
      <c r="E196" s="193" t="s">
        <v>3987</v>
      </c>
      <c r="F196" s="193" t="s">
        <v>3988</v>
      </c>
      <c r="G196" s="193" t="s">
        <v>3989</v>
      </c>
      <c r="H196" s="193" t="s">
        <v>3990</v>
      </c>
      <c r="I196" s="193" t="s">
        <v>2839</v>
      </c>
      <c r="T196" s="76"/>
    </row>
    <row r="197" spans="1:20" s="36" customFormat="1" ht="20" customHeight="1" x14ac:dyDescent="0.15">
      <c r="A197" s="5" t="s">
        <v>5848</v>
      </c>
      <c r="B197" s="193" t="s">
        <v>169</v>
      </c>
      <c r="C197" s="193" t="s">
        <v>5830</v>
      </c>
      <c r="D197" s="193" t="s">
        <v>4100</v>
      </c>
      <c r="E197" s="193" t="s">
        <v>4101</v>
      </c>
      <c r="F197" s="193" t="s">
        <v>4102</v>
      </c>
      <c r="G197" s="193" t="s">
        <v>4103</v>
      </c>
      <c r="H197" s="193" t="s">
        <v>4104</v>
      </c>
      <c r="I197" s="193" t="s">
        <v>3244</v>
      </c>
      <c r="T197" s="76"/>
    </row>
    <row r="198" spans="1:20" s="36" customFormat="1" ht="20" customHeight="1" x14ac:dyDescent="0.15">
      <c r="A198" s="5" t="s">
        <v>5848</v>
      </c>
      <c r="B198" s="193" t="s">
        <v>169</v>
      </c>
      <c r="C198" s="193" t="s">
        <v>5830</v>
      </c>
      <c r="D198" s="193" t="s">
        <v>4133</v>
      </c>
      <c r="E198" s="193" t="s">
        <v>4134</v>
      </c>
      <c r="F198" s="193" t="s">
        <v>4129</v>
      </c>
      <c r="G198" s="193" t="s">
        <v>4135</v>
      </c>
      <c r="H198" s="193" t="s">
        <v>4136</v>
      </c>
      <c r="I198" s="193" t="s">
        <v>3162</v>
      </c>
      <c r="T198" s="76"/>
    </row>
    <row r="199" spans="1:20" s="36" customFormat="1" ht="20" customHeight="1" x14ac:dyDescent="0.15">
      <c r="A199" s="5" t="s">
        <v>5848</v>
      </c>
      <c r="B199" s="193" t="s">
        <v>169</v>
      </c>
      <c r="C199" s="193" t="s">
        <v>5830</v>
      </c>
      <c r="D199" s="193" t="s">
        <v>4154</v>
      </c>
      <c r="E199" s="193" t="s">
        <v>3971</v>
      </c>
      <c r="F199" s="193" t="s">
        <v>3972</v>
      </c>
      <c r="G199" s="193" t="s">
        <v>3973</v>
      </c>
      <c r="H199" s="193" t="s">
        <v>3974</v>
      </c>
      <c r="I199" s="193" t="s">
        <v>3975</v>
      </c>
      <c r="T199" s="76"/>
    </row>
    <row r="200" spans="1:20" s="36" customFormat="1" ht="20" customHeight="1" x14ac:dyDescent="0.15">
      <c r="A200" s="5" t="s">
        <v>5848</v>
      </c>
      <c r="B200" s="193" t="s">
        <v>169</v>
      </c>
      <c r="C200" s="193" t="s">
        <v>5830</v>
      </c>
      <c r="D200" s="193" t="s">
        <v>4095</v>
      </c>
      <c r="E200" s="193" t="s">
        <v>4096</v>
      </c>
      <c r="F200" s="193" t="s">
        <v>4097</v>
      </c>
      <c r="G200" s="193" t="s">
        <v>4098</v>
      </c>
      <c r="H200" s="193" t="s">
        <v>4099</v>
      </c>
      <c r="I200" s="193" t="s">
        <v>3334</v>
      </c>
      <c r="T200" s="76"/>
    </row>
    <row r="201" spans="1:20" s="36" customFormat="1" ht="20" customHeight="1" x14ac:dyDescent="0.15">
      <c r="A201" s="5" t="s">
        <v>5848</v>
      </c>
      <c r="B201" s="193" t="s">
        <v>169</v>
      </c>
      <c r="C201" s="193" t="s">
        <v>5830</v>
      </c>
      <c r="D201" s="193" t="s">
        <v>4052</v>
      </c>
      <c r="E201" s="193" t="s">
        <v>4053</v>
      </c>
      <c r="F201" s="193" t="s">
        <v>4054</v>
      </c>
      <c r="G201" s="193" t="s">
        <v>4055</v>
      </c>
      <c r="H201" s="193" t="s">
        <v>4056</v>
      </c>
      <c r="I201" s="193" t="s">
        <v>4057</v>
      </c>
      <c r="T201" s="76"/>
    </row>
    <row r="202" spans="1:20" s="36" customFormat="1" ht="20" customHeight="1" x14ac:dyDescent="0.15">
      <c r="A202" s="5" t="s">
        <v>5848</v>
      </c>
      <c r="B202" s="193" t="s">
        <v>169</v>
      </c>
      <c r="C202" s="193" t="s">
        <v>5830</v>
      </c>
      <c r="D202" s="193" t="s">
        <v>3981</v>
      </c>
      <c r="E202" s="193" t="s">
        <v>3982</v>
      </c>
      <c r="F202" s="193" t="s">
        <v>3983</v>
      </c>
      <c r="G202" s="193" t="s">
        <v>3984</v>
      </c>
      <c r="H202" s="193" t="s">
        <v>3985</v>
      </c>
      <c r="I202" s="193" t="s">
        <v>2907</v>
      </c>
      <c r="T202" s="76"/>
    </row>
    <row r="203" spans="1:20" s="36" customFormat="1" ht="20" customHeight="1" x14ac:dyDescent="0.15">
      <c r="A203" s="5" t="s">
        <v>5848</v>
      </c>
      <c r="B203" s="193" t="s">
        <v>169</v>
      </c>
      <c r="C203" s="193" t="s">
        <v>5830</v>
      </c>
      <c r="D203" s="193" t="s">
        <v>4117</v>
      </c>
      <c r="E203" s="193" t="s">
        <v>4118</v>
      </c>
      <c r="F203" s="193" t="s">
        <v>4119</v>
      </c>
      <c r="G203" s="193" t="s">
        <v>4120</v>
      </c>
      <c r="H203" s="193" t="s">
        <v>4121</v>
      </c>
      <c r="I203" s="193" t="s">
        <v>3471</v>
      </c>
      <c r="T203" s="76"/>
    </row>
    <row r="204" spans="1:20" s="36" customFormat="1" ht="20" customHeight="1" x14ac:dyDescent="0.15">
      <c r="A204" s="5" t="s">
        <v>5848</v>
      </c>
      <c r="B204" s="193" t="s">
        <v>169</v>
      </c>
      <c r="C204" s="193" t="s">
        <v>5830</v>
      </c>
      <c r="D204" s="193" t="s">
        <v>4111</v>
      </c>
      <c r="E204" s="193" t="s">
        <v>4112</v>
      </c>
      <c r="F204" s="193" t="s">
        <v>4113</v>
      </c>
      <c r="G204" s="193" t="s">
        <v>4114</v>
      </c>
      <c r="H204" s="193" t="s">
        <v>4115</v>
      </c>
      <c r="I204" s="193" t="s">
        <v>4116</v>
      </c>
      <c r="T204" s="76"/>
    </row>
    <row r="205" spans="1:20" s="36" customFormat="1" ht="20" customHeight="1" x14ac:dyDescent="0.15">
      <c r="A205" s="5" t="s">
        <v>5848</v>
      </c>
      <c r="B205" s="193" t="s">
        <v>169</v>
      </c>
      <c r="C205" s="193" t="s">
        <v>5830</v>
      </c>
      <c r="D205" s="193" t="s">
        <v>4146</v>
      </c>
      <c r="E205" s="193" t="s">
        <v>4147</v>
      </c>
      <c r="F205" s="193" t="s">
        <v>4129</v>
      </c>
      <c r="G205" s="193" t="s">
        <v>4148</v>
      </c>
      <c r="H205" s="193" t="s">
        <v>4149</v>
      </c>
      <c r="I205" s="193" t="s">
        <v>3134</v>
      </c>
      <c r="T205" s="76"/>
    </row>
    <row r="206" spans="1:20" s="36" customFormat="1" ht="20" customHeight="1" x14ac:dyDescent="0.15">
      <c r="A206" s="5" t="s">
        <v>5848</v>
      </c>
      <c r="B206" s="193" t="s">
        <v>169</v>
      </c>
      <c r="C206" s="193" t="s">
        <v>5830</v>
      </c>
      <c r="D206" s="193" t="s">
        <v>4127</v>
      </c>
      <c r="E206" s="193" t="s">
        <v>4128</v>
      </c>
      <c r="F206" s="193" t="s">
        <v>4129</v>
      </c>
      <c r="G206" s="193" t="s">
        <v>4130</v>
      </c>
      <c r="H206" s="193" t="s">
        <v>4131</v>
      </c>
      <c r="I206" s="193" t="s">
        <v>4132</v>
      </c>
      <c r="T206" s="76"/>
    </row>
    <row r="207" spans="1:20" s="36" customFormat="1" ht="20" customHeight="1" x14ac:dyDescent="0.15">
      <c r="A207" s="5" t="s">
        <v>5848</v>
      </c>
      <c r="B207" s="193" t="s">
        <v>169</v>
      </c>
      <c r="C207" s="193" t="s">
        <v>5830</v>
      </c>
      <c r="D207" s="193" t="s">
        <v>4002</v>
      </c>
      <c r="E207" s="193" t="s">
        <v>4003</v>
      </c>
      <c r="F207" s="193" t="s">
        <v>4004</v>
      </c>
      <c r="G207" s="193" t="s">
        <v>4005</v>
      </c>
      <c r="H207" s="193" t="s">
        <v>4006</v>
      </c>
      <c r="I207" s="193" t="s">
        <v>3079</v>
      </c>
      <c r="T207" s="76"/>
    </row>
    <row r="208" spans="1:20" s="36" customFormat="1" ht="20" customHeight="1" x14ac:dyDescent="0.15">
      <c r="A208" s="5" t="s">
        <v>5848</v>
      </c>
      <c r="B208" s="193" t="s">
        <v>169</v>
      </c>
      <c r="C208" s="193" t="s">
        <v>5830</v>
      </c>
      <c r="D208" s="193" t="s">
        <v>4142</v>
      </c>
      <c r="E208" s="193" t="s">
        <v>4143</v>
      </c>
      <c r="F208" s="193" t="s">
        <v>4144</v>
      </c>
      <c r="G208" s="193" t="s">
        <v>4145</v>
      </c>
      <c r="H208" s="193"/>
      <c r="I208" s="193"/>
      <c r="T208" s="76"/>
    </row>
    <row r="209" spans="1:20" s="36" customFormat="1" ht="20" customHeight="1" x14ac:dyDescent="0.15">
      <c r="A209" s="5" t="s">
        <v>5848</v>
      </c>
      <c r="B209" s="193" t="s">
        <v>169</v>
      </c>
      <c r="C209" s="193" t="s">
        <v>5830</v>
      </c>
      <c r="D209" s="193" t="s">
        <v>4150</v>
      </c>
      <c r="E209" s="193" t="s">
        <v>4151</v>
      </c>
      <c r="F209" s="193" t="s">
        <v>4152</v>
      </c>
      <c r="G209" s="193" t="s">
        <v>4153</v>
      </c>
      <c r="H209" s="193" t="s">
        <v>5780</v>
      </c>
      <c r="I209" s="193" t="s">
        <v>5809</v>
      </c>
      <c r="T209" s="76"/>
    </row>
    <row r="210" spans="1:20" s="36" customFormat="1" ht="20" customHeight="1" x14ac:dyDescent="0.15">
      <c r="A210" s="5" t="s">
        <v>5844</v>
      </c>
      <c r="B210" s="193" t="s">
        <v>157</v>
      </c>
      <c r="C210" s="193" t="s">
        <v>2792</v>
      </c>
      <c r="D210" s="193" t="s">
        <v>4196</v>
      </c>
      <c r="E210" s="193" t="s">
        <v>4197</v>
      </c>
      <c r="F210" s="193" t="s">
        <v>4198</v>
      </c>
      <c r="G210" s="193" t="s">
        <v>4199</v>
      </c>
      <c r="H210" s="193" t="s">
        <v>4200</v>
      </c>
      <c r="I210" s="193" t="s">
        <v>4201</v>
      </c>
      <c r="T210" s="76"/>
    </row>
    <row r="211" spans="1:20" s="36" customFormat="1" ht="20" customHeight="1" x14ac:dyDescent="0.15">
      <c r="A211" s="5" t="s">
        <v>5844</v>
      </c>
      <c r="B211" s="193" t="s">
        <v>157</v>
      </c>
      <c r="C211" s="193" t="s">
        <v>2792</v>
      </c>
      <c r="D211" s="193" t="s">
        <v>4214</v>
      </c>
      <c r="E211" s="193" t="s">
        <v>4215</v>
      </c>
      <c r="F211" s="193" t="s">
        <v>4216</v>
      </c>
      <c r="G211" s="193" t="s">
        <v>4217</v>
      </c>
      <c r="H211" s="193" t="s">
        <v>4218</v>
      </c>
      <c r="I211" s="193" t="s">
        <v>4219</v>
      </c>
      <c r="T211" s="76"/>
    </row>
    <row r="212" spans="1:20" s="36" customFormat="1" ht="20" customHeight="1" x14ac:dyDescent="0.15">
      <c r="A212" s="5" t="s">
        <v>5844</v>
      </c>
      <c r="B212" s="193" t="s">
        <v>157</v>
      </c>
      <c r="C212" s="193" t="s">
        <v>2792</v>
      </c>
      <c r="D212" s="193" t="s">
        <v>4166</v>
      </c>
      <c r="E212" s="193" t="s">
        <v>4167</v>
      </c>
      <c r="F212" s="193" t="s">
        <v>4168</v>
      </c>
      <c r="G212" s="193" t="s">
        <v>4169</v>
      </c>
      <c r="H212" s="193" t="s">
        <v>4170</v>
      </c>
      <c r="I212" s="193" t="s">
        <v>4171</v>
      </c>
      <c r="T212" s="76"/>
    </row>
    <row r="213" spans="1:20" s="36" customFormat="1" ht="20" customHeight="1" x14ac:dyDescent="0.15">
      <c r="A213" s="5" t="s">
        <v>5844</v>
      </c>
      <c r="B213" s="193" t="s">
        <v>157</v>
      </c>
      <c r="C213" s="193" t="s">
        <v>2792</v>
      </c>
      <c r="D213" s="193" t="s">
        <v>4172</v>
      </c>
      <c r="E213" s="193" t="s">
        <v>4173</v>
      </c>
      <c r="F213" s="193" t="s">
        <v>4174</v>
      </c>
      <c r="G213" s="193" t="s">
        <v>4175</v>
      </c>
      <c r="H213" s="193" t="s">
        <v>4176</v>
      </c>
      <c r="I213" s="193" t="s">
        <v>4177</v>
      </c>
      <c r="T213" s="76"/>
    </row>
    <row r="214" spans="1:20" s="36" customFormat="1" ht="20" customHeight="1" x14ac:dyDescent="0.15">
      <c r="A214" s="5" t="s">
        <v>5844</v>
      </c>
      <c r="B214" s="193" t="s">
        <v>157</v>
      </c>
      <c r="C214" s="193" t="s">
        <v>2792</v>
      </c>
      <c r="D214" s="193" t="s">
        <v>4249</v>
      </c>
      <c r="E214" s="193" t="s">
        <v>4250</v>
      </c>
      <c r="F214" s="193" t="s">
        <v>4251</v>
      </c>
      <c r="G214" s="193" t="s">
        <v>4252</v>
      </c>
      <c r="H214" s="193" t="s">
        <v>4253</v>
      </c>
      <c r="I214" s="193" t="s">
        <v>4254</v>
      </c>
      <c r="T214" s="76"/>
    </row>
    <row r="215" spans="1:20" s="36" customFormat="1" ht="20" customHeight="1" x14ac:dyDescent="0.15">
      <c r="A215" s="5" t="s">
        <v>5844</v>
      </c>
      <c r="B215" s="193" t="s">
        <v>157</v>
      </c>
      <c r="C215" s="193" t="s">
        <v>2792</v>
      </c>
      <c r="D215" s="193" t="s">
        <v>4272</v>
      </c>
      <c r="E215" s="193" t="s">
        <v>4273</v>
      </c>
      <c r="F215" s="193" t="s">
        <v>4274</v>
      </c>
      <c r="G215" s="193" t="s">
        <v>4275</v>
      </c>
      <c r="H215" s="193" t="s">
        <v>4276</v>
      </c>
      <c r="I215" s="193" t="s">
        <v>4277</v>
      </c>
      <c r="T215" s="76"/>
    </row>
    <row r="216" spans="1:20" s="36" customFormat="1" ht="20" customHeight="1" x14ac:dyDescent="0.15">
      <c r="A216" s="5" t="s">
        <v>5844</v>
      </c>
      <c r="B216" s="193" t="s">
        <v>157</v>
      </c>
      <c r="C216" s="193" t="s">
        <v>2792</v>
      </c>
      <c r="D216" s="193" t="s">
        <v>4278</v>
      </c>
      <c r="E216" s="193" t="s">
        <v>4279</v>
      </c>
      <c r="F216" s="193" t="s">
        <v>4280</v>
      </c>
      <c r="G216" s="193" t="s">
        <v>4281</v>
      </c>
      <c r="H216" s="193" t="s">
        <v>4282</v>
      </c>
      <c r="I216" s="193" t="s">
        <v>4283</v>
      </c>
      <c r="T216" s="76"/>
    </row>
    <row r="217" spans="1:20" s="36" customFormat="1" ht="20" customHeight="1" x14ac:dyDescent="0.15">
      <c r="A217" s="5" t="s">
        <v>5844</v>
      </c>
      <c r="B217" s="193" t="s">
        <v>157</v>
      </c>
      <c r="C217" s="193" t="s">
        <v>2792</v>
      </c>
      <c r="D217" s="193" t="s">
        <v>4255</v>
      </c>
      <c r="E217" s="193" t="s">
        <v>4256</v>
      </c>
      <c r="F217" s="193" t="s">
        <v>4257</v>
      </c>
      <c r="G217" s="193" t="s">
        <v>4258</v>
      </c>
      <c r="H217" s="193" t="s">
        <v>4259</v>
      </c>
      <c r="I217" s="193" t="s">
        <v>4260</v>
      </c>
      <c r="T217" s="76"/>
    </row>
    <row r="218" spans="1:20" s="36" customFormat="1" ht="20" customHeight="1" x14ac:dyDescent="0.15">
      <c r="A218" s="5" t="s">
        <v>5844</v>
      </c>
      <c r="B218" s="193" t="s">
        <v>157</v>
      </c>
      <c r="C218" s="193" t="s">
        <v>2792</v>
      </c>
      <c r="D218" s="193" t="s">
        <v>4305</v>
      </c>
      <c r="E218" s="193" t="s">
        <v>4306</v>
      </c>
      <c r="F218" s="193" t="s">
        <v>4307</v>
      </c>
      <c r="G218" s="193" t="s">
        <v>4308</v>
      </c>
      <c r="H218" s="193" t="s">
        <v>4309</v>
      </c>
      <c r="I218" s="193" t="s">
        <v>4310</v>
      </c>
      <c r="T218" s="76"/>
    </row>
    <row r="219" spans="1:20" s="36" customFormat="1" ht="20" customHeight="1" x14ac:dyDescent="0.15">
      <c r="A219" s="5" t="s">
        <v>5844</v>
      </c>
      <c r="B219" s="193" t="s">
        <v>157</v>
      </c>
      <c r="C219" s="193" t="s">
        <v>2792</v>
      </c>
      <c r="D219" s="193" t="s">
        <v>4261</v>
      </c>
      <c r="E219" s="193" t="s">
        <v>4262</v>
      </c>
      <c r="F219" s="193" t="s">
        <v>4263</v>
      </c>
      <c r="G219" s="193" t="s">
        <v>4264</v>
      </c>
      <c r="H219" s="193" t="s">
        <v>4265</v>
      </c>
      <c r="I219" s="193" t="s">
        <v>4266</v>
      </c>
      <c r="T219" s="76"/>
    </row>
    <row r="220" spans="1:20" s="36" customFormat="1" ht="20" customHeight="1" x14ac:dyDescent="0.15">
      <c r="A220" s="5" t="s">
        <v>5844</v>
      </c>
      <c r="B220" s="193" t="s">
        <v>157</v>
      </c>
      <c r="C220" s="193" t="s">
        <v>2792</v>
      </c>
      <c r="D220" s="193" t="s">
        <v>4295</v>
      </c>
      <c r="E220" s="193" t="s">
        <v>4296</v>
      </c>
      <c r="F220" s="193" t="s">
        <v>4297</v>
      </c>
      <c r="G220" s="193" t="s">
        <v>3938</v>
      </c>
      <c r="H220" s="193" t="s">
        <v>3939</v>
      </c>
      <c r="I220" s="193" t="s">
        <v>4298</v>
      </c>
      <c r="T220" s="76"/>
    </row>
    <row r="221" spans="1:20" s="36" customFormat="1" ht="20" customHeight="1" x14ac:dyDescent="0.15">
      <c r="A221" s="5" t="s">
        <v>5844</v>
      </c>
      <c r="B221" s="193" t="s">
        <v>157</v>
      </c>
      <c r="C221" s="193" t="s">
        <v>2792</v>
      </c>
      <c r="D221" s="193" t="s">
        <v>4232</v>
      </c>
      <c r="E221" s="193" t="s">
        <v>4233</v>
      </c>
      <c r="F221" s="193" t="s">
        <v>4234</v>
      </c>
      <c r="G221" s="193" t="s">
        <v>4235</v>
      </c>
      <c r="H221" s="193" t="s">
        <v>4236</v>
      </c>
      <c r="I221" s="193" t="s">
        <v>4237</v>
      </c>
      <c r="T221" s="76"/>
    </row>
    <row r="222" spans="1:20" s="36" customFormat="1" ht="20" customHeight="1" x14ac:dyDescent="0.15">
      <c r="A222" s="5" t="s">
        <v>5844</v>
      </c>
      <c r="B222" s="193" t="s">
        <v>157</v>
      </c>
      <c r="C222" s="193" t="s">
        <v>2792</v>
      </c>
      <c r="D222" s="193" t="s">
        <v>4220</v>
      </c>
      <c r="E222" s="193" t="s">
        <v>4221</v>
      </c>
      <c r="F222" s="193" t="s">
        <v>4222</v>
      </c>
      <c r="G222" s="193" t="s">
        <v>4223</v>
      </c>
      <c r="H222" s="193" t="s">
        <v>4224</v>
      </c>
      <c r="I222" s="193" t="s">
        <v>4225</v>
      </c>
      <c r="T222" s="76"/>
    </row>
    <row r="223" spans="1:20" s="36" customFormat="1" ht="20" customHeight="1" x14ac:dyDescent="0.15">
      <c r="A223" s="5" t="s">
        <v>5844</v>
      </c>
      <c r="B223" s="193" t="s">
        <v>157</v>
      </c>
      <c r="C223" s="193" t="s">
        <v>2792</v>
      </c>
      <c r="D223" s="193" t="s">
        <v>4238</v>
      </c>
      <c r="E223" s="193" t="s">
        <v>4239</v>
      </c>
      <c r="F223" s="193" t="s">
        <v>4240</v>
      </c>
      <c r="G223" s="193" t="s">
        <v>4241</v>
      </c>
      <c r="H223" s="193" t="s">
        <v>4242</v>
      </c>
      <c r="I223" s="193" t="s">
        <v>4219</v>
      </c>
      <c r="T223" s="76"/>
    </row>
    <row r="224" spans="1:20" s="36" customFormat="1" ht="20" customHeight="1" x14ac:dyDescent="0.15">
      <c r="A224" s="5" t="s">
        <v>5844</v>
      </c>
      <c r="B224" s="193" t="s">
        <v>157</v>
      </c>
      <c r="C224" s="193" t="s">
        <v>2792</v>
      </c>
      <c r="D224" s="193" t="s">
        <v>4290</v>
      </c>
      <c r="E224" s="193" t="s">
        <v>4291</v>
      </c>
      <c r="F224" s="193" t="s">
        <v>4292</v>
      </c>
      <c r="G224" s="193" t="s">
        <v>4293</v>
      </c>
      <c r="H224" s="193" t="s">
        <v>4294</v>
      </c>
      <c r="I224" s="193" t="s">
        <v>4248</v>
      </c>
      <c r="T224" s="76"/>
    </row>
    <row r="225" spans="1:20" s="36" customFormat="1" ht="20" customHeight="1" x14ac:dyDescent="0.15">
      <c r="A225" s="5" t="s">
        <v>5844</v>
      </c>
      <c r="B225" s="193" t="s">
        <v>157</v>
      </c>
      <c r="C225" s="193" t="s">
        <v>2792</v>
      </c>
      <c r="D225" s="193" t="s">
        <v>4155</v>
      </c>
      <c r="E225" s="193" t="s">
        <v>4156</v>
      </c>
      <c r="F225" s="193" t="s">
        <v>4157</v>
      </c>
      <c r="G225" s="193" t="s">
        <v>4158</v>
      </c>
      <c r="H225" s="193" t="s">
        <v>4159</v>
      </c>
      <c r="I225" s="193" t="s">
        <v>4160</v>
      </c>
      <c r="T225" s="76"/>
    </row>
    <row r="226" spans="1:20" s="36" customFormat="1" ht="20" customHeight="1" x14ac:dyDescent="0.15">
      <c r="A226" s="5" t="s">
        <v>5844</v>
      </c>
      <c r="B226" s="193" t="s">
        <v>157</v>
      </c>
      <c r="C226" s="193" t="s">
        <v>2792</v>
      </c>
      <c r="D226" s="193" t="s">
        <v>4284</v>
      </c>
      <c r="E226" s="193" t="s">
        <v>4285</v>
      </c>
      <c r="F226" s="193" t="s">
        <v>4286</v>
      </c>
      <c r="G226" s="193" t="s">
        <v>4287</v>
      </c>
      <c r="H226" s="193" t="s">
        <v>4288</v>
      </c>
      <c r="I226" s="193" t="s">
        <v>4289</v>
      </c>
      <c r="T226" s="76"/>
    </row>
    <row r="227" spans="1:20" s="36" customFormat="1" ht="20" customHeight="1" x14ac:dyDescent="0.15">
      <c r="A227" s="5" t="s">
        <v>5844</v>
      </c>
      <c r="B227" s="193" t="s">
        <v>157</v>
      </c>
      <c r="C227" s="193" t="s">
        <v>2792</v>
      </c>
      <c r="D227" s="193" t="s">
        <v>4161</v>
      </c>
      <c r="E227" s="193" t="s">
        <v>4162</v>
      </c>
      <c r="F227" s="193" t="s">
        <v>4163</v>
      </c>
      <c r="G227" s="193" t="s">
        <v>4164</v>
      </c>
      <c r="H227" s="193" t="s">
        <v>4165</v>
      </c>
      <c r="I227" s="193" t="s">
        <v>3756</v>
      </c>
      <c r="T227" s="76"/>
    </row>
    <row r="228" spans="1:20" s="36" customFormat="1" ht="20" customHeight="1" x14ac:dyDescent="0.15">
      <c r="A228" s="5" t="s">
        <v>5844</v>
      </c>
      <c r="B228" s="193" t="s">
        <v>157</v>
      </c>
      <c r="C228" s="193" t="s">
        <v>2792</v>
      </c>
      <c r="D228" s="193" t="s">
        <v>4208</v>
      </c>
      <c r="E228" s="193" t="s">
        <v>4209</v>
      </c>
      <c r="F228" s="193" t="s">
        <v>4210</v>
      </c>
      <c r="G228" s="193" t="s">
        <v>4211</v>
      </c>
      <c r="H228" s="193" t="s">
        <v>4212</v>
      </c>
      <c r="I228" s="193" t="s">
        <v>4213</v>
      </c>
      <c r="T228" s="76"/>
    </row>
    <row r="229" spans="1:20" s="36" customFormat="1" ht="20" customHeight="1" x14ac:dyDescent="0.15">
      <c r="A229" s="5" t="s">
        <v>5844</v>
      </c>
      <c r="B229" s="193" t="s">
        <v>157</v>
      </c>
      <c r="C229" s="193" t="s">
        <v>2792</v>
      </c>
      <c r="D229" s="193" t="s">
        <v>4178</v>
      </c>
      <c r="E229" s="193" t="s">
        <v>4179</v>
      </c>
      <c r="F229" s="193" t="s">
        <v>4180</v>
      </c>
      <c r="G229" s="193" t="s">
        <v>4181</v>
      </c>
      <c r="H229" s="193" t="s">
        <v>4182</v>
      </c>
      <c r="I229" s="193" t="s">
        <v>4183</v>
      </c>
      <c r="T229" s="76"/>
    </row>
    <row r="230" spans="1:20" s="36" customFormat="1" ht="20" customHeight="1" x14ac:dyDescent="0.15">
      <c r="A230" s="5" t="s">
        <v>5844</v>
      </c>
      <c r="B230" s="193" t="s">
        <v>157</v>
      </c>
      <c r="C230" s="193" t="s">
        <v>2792</v>
      </c>
      <c r="D230" s="193" t="s">
        <v>4202</v>
      </c>
      <c r="E230" s="193" t="s">
        <v>4203</v>
      </c>
      <c r="F230" s="193" t="s">
        <v>4204</v>
      </c>
      <c r="G230" s="193" t="s">
        <v>4205</v>
      </c>
      <c r="H230" s="193" t="s">
        <v>4206</v>
      </c>
      <c r="I230" s="193" t="s">
        <v>4207</v>
      </c>
      <c r="T230" s="76"/>
    </row>
    <row r="231" spans="1:20" s="36" customFormat="1" ht="20" customHeight="1" x14ac:dyDescent="0.15">
      <c r="A231" s="5" t="s">
        <v>5844</v>
      </c>
      <c r="B231" s="193" t="s">
        <v>157</v>
      </c>
      <c r="C231" s="193" t="s">
        <v>2792</v>
      </c>
      <c r="D231" s="193" t="s">
        <v>4184</v>
      </c>
      <c r="E231" s="193" t="s">
        <v>4185</v>
      </c>
      <c r="F231" s="193" t="s">
        <v>4186</v>
      </c>
      <c r="G231" s="193" t="s">
        <v>4187</v>
      </c>
      <c r="H231" s="193" t="s">
        <v>4188</v>
      </c>
      <c r="I231" s="193" t="s">
        <v>4189</v>
      </c>
      <c r="T231" s="76"/>
    </row>
    <row r="232" spans="1:20" s="36" customFormat="1" ht="20" customHeight="1" x14ac:dyDescent="0.15">
      <c r="A232" s="5" t="s">
        <v>5844</v>
      </c>
      <c r="B232" s="193" t="s">
        <v>157</v>
      </c>
      <c r="C232" s="193" t="s">
        <v>2792</v>
      </c>
      <c r="D232" s="193" t="s">
        <v>4243</v>
      </c>
      <c r="E232" s="193" t="s">
        <v>4244</v>
      </c>
      <c r="F232" s="193" t="s">
        <v>4245</v>
      </c>
      <c r="G232" s="193" t="s">
        <v>4246</v>
      </c>
      <c r="H232" s="193" t="s">
        <v>4247</v>
      </c>
      <c r="I232" s="193" t="s">
        <v>4248</v>
      </c>
      <c r="T232" s="76"/>
    </row>
    <row r="233" spans="1:20" s="36" customFormat="1" ht="20" customHeight="1" x14ac:dyDescent="0.15">
      <c r="A233" s="5" t="s">
        <v>5844</v>
      </c>
      <c r="B233" s="193" t="s">
        <v>157</v>
      </c>
      <c r="C233" s="193" t="s">
        <v>2792</v>
      </c>
      <c r="D233" s="193" t="s">
        <v>4226</v>
      </c>
      <c r="E233" s="193" t="s">
        <v>4227</v>
      </c>
      <c r="F233" s="193" t="s">
        <v>4228</v>
      </c>
      <c r="G233" s="193" t="s">
        <v>4229</v>
      </c>
      <c r="H233" s="193" t="s">
        <v>4230</v>
      </c>
      <c r="I233" s="193" t="s">
        <v>4231</v>
      </c>
      <c r="T233" s="76"/>
    </row>
    <row r="234" spans="1:20" s="36" customFormat="1" ht="20" customHeight="1" x14ac:dyDescent="0.15">
      <c r="A234" s="5" t="s">
        <v>5844</v>
      </c>
      <c r="B234" s="193" t="s">
        <v>157</v>
      </c>
      <c r="C234" s="193" t="s">
        <v>2792</v>
      </c>
      <c r="D234" s="193" t="s">
        <v>4267</v>
      </c>
      <c r="E234" s="193" t="s">
        <v>4268</v>
      </c>
      <c r="F234" s="193" t="s">
        <v>4269</v>
      </c>
      <c r="G234" s="193" t="s">
        <v>4270</v>
      </c>
      <c r="H234" s="193" t="s">
        <v>4271</v>
      </c>
      <c r="I234" s="193" t="s">
        <v>4248</v>
      </c>
      <c r="T234" s="76"/>
    </row>
    <row r="235" spans="1:20" s="36" customFormat="1" ht="20" customHeight="1" x14ac:dyDescent="0.15">
      <c r="A235" s="5" t="s">
        <v>5844</v>
      </c>
      <c r="B235" s="193" t="s">
        <v>157</v>
      </c>
      <c r="C235" s="193" t="s">
        <v>2792</v>
      </c>
      <c r="D235" s="193" t="s">
        <v>4299</v>
      </c>
      <c r="E235" s="193" t="s">
        <v>4300</v>
      </c>
      <c r="F235" s="193" t="s">
        <v>4301</v>
      </c>
      <c r="G235" s="193" t="s">
        <v>4302</v>
      </c>
      <c r="H235" s="193" t="s">
        <v>4303</v>
      </c>
      <c r="I235" s="193" t="s">
        <v>4304</v>
      </c>
      <c r="T235" s="76"/>
    </row>
    <row r="236" spans="1:20" s="36" customFormat="1" ht="20" customHeight="1" x14ac:dyDescent="0.15">
      <c r="A236" s="5" t="s">
        <v>5844</v>
      </c>
      <c r="B236" s="193" t="s">
        <v>157</v>
      </c>
      <c r="C236" s="193" t="s">
        <v>2792</v>
      </c>
      <c r="D236" s="193" t="s">
        <v>4190</v>
      </c>
      <c r="E236" s="193" t="s">
        <v>4191</v>
      </c>
      <c r="F236" s="193" t="s">
        <v>4192</v>
      </c>
      <c r="G236" s="193" t="s">
        <v>4193</v>
      </c>
      <c r="H236" s="193" t="s">
        <v>4194</v>
      </c>
      <c r="I236" s="193" t="s">
        <v>4195</v>
      </c>
      <c r="T236" s="76"/>
    </row>
    <row r="237" spans="1:20" s="36" customFormat="1" ht="20" customHeight="1" x14ac:dyDescent="0.15">
      <c r="A237" s="5" t="s">
        <v>5849</v>
      </c>
      <c r="B237" s="193" t="s">
        <v>167</v>
      </c>
      <c r="C237" s="193" t="s">
        <v>2784</v>
      </c>
      <c r="D237" s="193" t="s">
        <v>4317</v>
      </c>
      <c r="E237" s="193" t="s">
        <v>4318</v>
      </c>
      <c r="F237" s="193" t="s">
        <v>4319</v>
      </c>
      <c r="G237" s="193" t="s">
        <v>4320</v>
      </c>
      <c r="H237" s="193" t="s">
        <v>4321</v>
      </c>
      <c r="I237" s="193" t="s">
        <v>4322</v>
      </c>
      <c r="T237" s="76"/>
    </row>
    <row r="238" spans="1:20" s="36" customFormat="1" ht="20" customHeight="1" x14ac:dyDescent="0.15">
      <c r="A238" s="5" t="s">
        <v>5849</v>
      </c>
      <c r="B238" s="193" t="s">
        <v>167</v>
      </c>
      <c r="C238" s="193" t="s">
        <v>2784</v>
      </c>
      <c r="D238" s="193" t="s">
        <v>4328</v>
      </c>
      <c r="E238" s="193" t="s">
        <v>4329</v>
      </c>
      <c r="F238" s="193" t="s">
        <v>4330</v>
      </c>
      <c r="G238" s="193" t="s">
        <v>4331</v>
      </c>
      <c r="H238" s="193" t="s">
        <v>4332</v>
      </c>
      <c r="I238" s="193" t="s">
        <v>4333</v>
      </c>
      <c r="T238" s="76"/>
    </row>
    <row r="239" spans="1:20" s="36" customFormat="1" ht="20" customHeight="1" x14ac:dyDescent="0.15">
      <c r="A239" s="5" t="s">
        <v>5849</v>
      </c>
      <c r="B239" s="193" t="s">
        <v>167</v>
      </c>
      <c r="C239" s="193" t="s">
        <v>2784</v>
      </c>
      <c r="D239" s="193" t="s">
        <v>4356</v>
      </c>
      <c r="E239" s="193" t="s">
        <v>4357</v>
      </c>
      <c r="F239" s="193" t="s">
        <v>4358</v>
      </c>
      <c r="G239" s="193" t="s">
        <v>4359</v>
      </c>
      <c r="H239" s="193" t="s">
        <v>4360</v>
      </c>
      <c r="I239" s="193" t="s">
        <v>4361</v>
      </c>
      <c r="T239" s="76"/>
    </row>
    <row r="240" spans="1:20" s="36" customFormat="1" ht="20" customHeight="1" x14ac:dyDescent="0.15">
      <c r="A240" s="5" t="s">
        <v>5849</v>
      </c>
      <c r="B240" s="193" t="s">
        <v>167</v>
      </c>
      <c r="C240" s="193" t="s">
        <v>2784</v>
      </c>
      <c r="D240" s="193" t="s">
        <v>4340</v>
      </c>
      <c r="E240" s="193" t="s">
        <v>4341</v>
      </c>
      <c r="F240" s="193" t="s">
        <v>4342</v>
      </c>
      <c r="G240" s="193" t="s">
        <v>4343</v>
      </c>
      <c r="H240" s="193" t="s">
        <v>4344</v>
      </c>
      <c r="I240" s="193" t="s">
        <v>4345</v>
      </c>
      <c r="T240" s="76"/>
    </row>
    <row r="241" spans="1:20" s="36" customFormat="1" ht="20" customHeight="1" x14ac:dyDescent="0.15">
      <c r="A241" s="5" t="s">
        <v>5849</v>
      </c>
      <c r="B241" s="193" t="s">
        <v>167</v>
      </c>
      <c r="C241" s="193" t="s">
        <v>2784</v>
      </c>
      <c r="D241" s="193" t="s">
        <v>4351</v>
      </c>
      <c r="E241" s="193" t="s">
        <v>4352</v>
      </c>
      <c r="F241" s="193" t="s">
        <v>4353</v>
      </c>
      <c r="G241" s="193" t="s">
        <v>4354</v>
      </c>
      <c r="H241" s="193" t="s">
        <v>4355</v>
      </c>
      <c r="I241" s="193" t="s">
        <v>3221</v>
      </c>
      <c r="T241" s="76"/>
    </row>
    <row r="242" spans="1:20" s="36" customFormat="1" ht="20" customHeight="1" x14ac:dyDescent="0.15">
      <c r="A242" s="5" t="s">
        <v>5849</v>
      </c>
      <c r="B242" s="193" t="s">
        <v>167</v>
      </c>
      <c r="C242" s="193" t="s">
        <v>2784</v>
      </c>
      <c r="D242" s="193" t="s">
        <v>4346</v>
      </c>
      <c r="E242" s="193" t="s">
        <v>4347</v>
      </c>
      <c r="F242" s="193" t="s">
        <v>4348</v>
      </c>
      <c r="G242" s="193" t="s">
        <v>4349</v>
      </c>
      <c r="H242" s="193" t="s">
        <v>4350</v>
      </c>
      <c r="I242" s="193" t="s">
        <v>3250</v>
      </c>
      <c r="T242" s="76"/>
    </row>
    <row r="243" spans="1:20" s="36" customFormat="1" ht="20" customHeight="1" x14ac:dyDescent="0.15">
      <c r="A243" s="5" t="s">
        <v>5849</v>
      </c>
      <c r="B243" s="193" t="s">
        <v>167</v>
      </c>
      <c r="C243" s="193" t="s">
        <v>2784</v>
      </c>
      <c r="D243" s="193" t="s">
        <v>4334</v>
      </c>
      <c r="E243" s="193" t="s">
        <v>4335</v>
      </c>
      <c r="F243" s="193" t="s">
        <v>4336</v>
      </c>
      <c r="G243" s="193" t="s">
        <v>4337</v>
      </c>
      <c r="H243" s="193" t="s">
        <v>4338</v>
      </c>
      <c r="I243" s="193" t="s">
        <v>4339</v>
      </c>
      <c r="T243" s="76"/>
    </row>
    <row r="244" spans="1:20" s="36" customFormat="1" ht="20" customHeight="1" x14ac:dyDescent="0.15">
      <c r="A244" s="5" t="s">
        <v>5849</v>
      </c>
      <c r="B244" s="193" t="s">
        <v>167</v>
      </c>
      <c r="C244" s="193" t="s">
        <v>2784</v>
      </c>
      <c r="D244" s="193" t="s">
        <v>4311</v>
      </c>
      <c r="E244" s="193" t="s">
        <v>4312</v>
      </c>
      <c r="F244" s="193" t="s">
        <v>4313</v>
      </c>
      <c r="G244" s="193" t="s">
        <v>4314</v>
      </c>
      <c r="H244" s="193" t="s">
        <v>4315</v>
      </c>
      <c r="I244" s="193" t="s">
        <v>4316</v>
      </c>
      <c r="T244" s="76"/>
    </row>
    <row r="245" spans="1:20" s="36" customFormat="1" ht="20" customHeight="1" x14ac:dyDescent="0.15">
      <c r="A245" s="5" t="s">
        <v>5849</v>
      </c>
      <c r="B245" s="193" t="s">
        <v>167</v>
      </c>
      <c r="C245" s="193" t="s">
        <v>2784</v>
      </c>
      <c r="D245" s="193" t="s">
        <v>4323</v>
      </c>
      <c r="E245" s="193" t="s">
        <v>4324</v>
      </c>
      <c r="F245" s="193" t="s">
        <v>4325</v>
      </c>
      <c r="G245" s="193" t="s">
        <v>4326</v>
      </c>
      <c r="H245" s="193" t="s">
        <v>4327</v>
      </c>
      <c r="I245" s="193" t="s">
        <v>2907</v>
      </c>
      <c r="T245" s="76"/>
    </row>
    <row r="246" spans="1:20" s="36" customFormat="1" ht="20" customHeight="1" x14ac:dyDescent="0.15">
      <c r="A246" s="5" t="s">
        <v>5850</v>
      </c>
      <c r="B246" s="193" t="s">
        <v>165</v>
      </c>
      <c r="C246" s="193" t="s">
        <v>2783</v>
      </c>
      <c r="D246" s="193" t="s">
        <v>5401</v>
      </c>
      <c r="E246" s="193" t="s">
        <v>5464</v>
      </c>
      <c r="F246" s="193" t="s">
        <v>5465</v>
      </c>
      <c r="G246" s="193" t="s">
        <v>5466</v>
      </c>
      <c r="H246" s="193" t="s">
        <v>5467</v>
      </c>
      <c r="I246" s="193" t="s">
        <v>5468</v>
      </c>
      <c r="T246" s="76"/>
    </row>
    <row r="247" spans="1:20" s="36" customFormat="1" ht="20" customHeight="1" x14ac:dyDescent="0.15">
      <c r="A247" s="5" t="s">
        <v>5850</v>
      </c>
      <c r="B247" s="193" t="s">
        <v>165</v>
      </c>
      <c r="C247" s="193" t="s">
        <v>2783</v>
      </c>
      <c r="D247" s="193" t="s">
        <v>5402</v>
      </c>
      <c r="E247" s="193" t="s">
        <v>5469</v>
      </c>
      <c r="F247" s="193" t="s">
        <v>5470</v>
      </c>
      <c r="G247" s="193" t="s">
        <v>5471</v>
      </c>
      <c r="H247" s="193" t="s">
        <v>5472</v>
      </c>
      <c r="I247" s="193" t="s">
        <v>5473</v>
      </c>
      <c r="T247" s="76"/>
    </row>
    <row r="248" spans="1:20" s="36" customFormat="1" ht="20" customHeight="1" x14ac:dyDescent="0.15">
      <c r="A248" s="5" t="s">
        <v>5850</v>
      </c>
      <c r="B248" s="193" t="s">
        <v>165</v>
      </c>
      <c r="C248" s="193" t="s">
        <v>2783</v>
      </c>
      <c r="D248" s="193" t="s">
        <v>5403</v>
      </c>
      <c r="E248" s="193" t="s">
        <v>5474</v>
      </c>
      <c r="F248" s="193" t="s">
        <v>5475</v>
      </c>
      <c r="G248" s="193" t="s">
        <v>5476</v>
      </c>
      <c r="H248" s="193" t="s">
        <v>5477</v>
      </c>
      <c r="I248" s="193" t="s">
        <v>3004</v>
      </c>
      <c r="T248" s="76"/>
    </row>
    <row r="249" spans="1:20" s="36" customFormat="1" ht="20" customHeight="1" x14ac:dyDescent="0.15">
      <c r="A249" s="5" t="s">
        <v>5850</v>
      </c>
      <c r="B249" s="193" t="s">
        <v>165</v>
      </c>
      <c r="C249" s="193" t="s">
        <v>2783</v>
      </c>
      <c r="D249" s="193" t="s">
        <v>5404</v>
      </c>
      <c r="E249" s="193" t="s">
        <v>5478</v>
      </c>
      <c r="F249" s="193" t="s">
        <v>5479</v>
      </c>
      <c r="G249" s="193" t="s">
        <v>5480</v>
      </c>
      <c r="H249" s="193" t="s">
        <v>5481</v>
      </c>
      <c r="I249" s="193" t="s">
        <v>3547</v>
      </c>
      <c r="T249" s="76"/>
    </row>
    <row r="250" spans="1:20" s="36" customFormat="1" ht="20" customHeight="1" x14ac:dyDescent="0.15">
      <c r="A250" s="5" t="s">
        <v>5850</v>
      </c>
      <c r="B250" s="193" t="s">
        <v>165</v>
      </c>
      <c r="C250" s="193" t="s">
        <v>2783</v>
      </c>
      <c r="D250" s="193" t="s">
        <v>5405</v>
      </c>
      <c r="E250" s="193" t="s">
        <v>5482</v>
      </c>
      <c r="F250" s="193" t="s">
        <v>5483</v>
      </c>
      <c r="G250" s="193" t="s">
        <v>5484</v>
      </c>
      <c r="H250" s="193" t="s">
        <v>5485</v>
      </c>
      <c r="I250" s="193" t="s">
        <v>5486</v>
      </c>
      <c r="T250" s="76"/>
    </row>
    <row r="251" spans="1:20" s="36" customFormat="1" ht="20" customHeight="1" x14ac:dyDescent="0.15">
      <c r="A251" s="5" t="s">
        <v>5850</v>
      </c>
      <c r="B251" s="193" t="s">
        <v>165</v>
      </c>
      <c r="C251" s="193" t="s">
        <v>2783</v>
      </c>
      <c r="D251" s="193" t="s">
        <v>5406</v>
      </c>
      <c r="E251" s="193" t="s">
        <v>5487</v>
      </c>
      <c r="F251" s="193" t="s">
        <v>5488</v>
      </c>
      <c r="G251" s="193" t="s">
        <v>5489</v>
      </c>
      <c r="H251" s="193" t="s">
        <v>5490</v>
      </c>
      <c r="I251" s="193" t="s">
        <v>5491</v>
      </c>
      <c r="T251" s="76"/>
    </row>
    <row r="252" spans="1:20" s="36" customFormat="1" ht="20" customHeight="1" x14ac:dyDescent="0.15">
      <c r="A252" s="5" t="s">
        <v>5850</v>
      </c>
      <c r="B252" s="193" t="s">
        <v>165</v>
      </c>
      <c r="C252" s="193" t="s">
        <v>2783</v>
      </c>
      <c r="D252" s="193" t="s">
        <v>5407</v>
      </c>
      <c r="E252" s="193" t="s">
        <v>5492</v>
      </c>
      <c r="F252" s="193" t="s">
        <v>5493</v>
      </c>
      <c r="G252" s="193" t="s">
        <v>5494</v>
      </c>
      <c r="H252" s="193" t="s">
        <v>5495</v>
      </c>
      <c r="I252" s="193" t="s">
        <v>4132</v>
      </c>
      <c r="T252" s="76"/>
    </row>
    <row r="253" spans="1:20" s="36" customFormat="1" ht="20" customHeight="1" x14ac:dyDescent="0.15">
      <c r="A253" s="5" t="s">
        <v>5850</v>
      </c>
      <c r="B253" s="193" t="s">
        <v>165</v>
      </c>
      <c r="C253" s="193" t="s">
        <v>2783</v>
      </c>
      <c r="D253" s="193" t="s">
        <v>5408</v>
      </c>
      <c r="E253" s="193" t="s">
        <v>5496</v>
      </c>
      <c r="F253" s="193" t="s">
        <v>5497</v>
      </c>
      <c r="G253" s="193" t="s">
        <v>5498</v>
      </c>
      <c r="H253" s="193" t="s">
        <v>5499</v>
      </c>
      <c r="I253" s="193" t="s">
        <v>2925</v>
      </c>
      <c r="T253" s="76"/>
    </row>
    <row r="254" spans="1:20" s="36" customFormat="1" ht="20" customHeight="1" x14ac:dyDescent="0.15">
      <c r="A254" s="5" t="s">
        <v>5850</v>
      </c>
      <c r="B254" s="193" t="s">
        <v>165</v>
      </c>
      <c r="C254" s="193" t="s">
        <v>2783</v>
      </c>
      <c r="D254" s="193" t="s">
        <v>5409</v>
      </c>
      <c r="E254" s="193" t="s">
        <v>5500</v>
      </c>
      <c r="F254" s="193" t="s">
        <v>5501</v>
      </c>
      <c r="G254" s="193" t="s">
        <v>5502</v>
      </c>
      <c r="H254" s="193" t="s">
        <v>5503</v>
      </c>
      <c r="I254" s="193" t="s">
        <v>5504</v>
      </c>
      <c r="T254" s="76"/>
    </row>
    <row r="255" spans="1:20" s="36" customFormat="1" ht="20" customHeight="1" x14ac:dyDescent="0.15">
      <c r="A255" s="5" t="s">
        <v>5850</v>
      </c>
      <c r="B255" s="193" t="s">
        <v>165</v>
      </c>
      <c r="C255" s="193" t="s">
        <v>2783</v>
      </c>
      <c r="D255" s="193" t="s">
        <v>5410</v>
      </c>
      <c r="E255" s="193" t="s">
        <v>5505</v>
      </c>
      <c r="F255" s="193" t="s">
        <v>5506</v>
      </c>
      <c r="G255" s="193" t="s">
        <v>5507</v>
      </c>
      <c r="H255" s="193" t="s">
        <v>5508</v>
      </c>
      <c r="I255" s="193" t="s">
        <v>5509</v>
      </c>
      <c r="T255" s="76"/>
    </row>
    <row r="256" spans="1:20" s="36" customFormat="1" ht="20" customHeight="1" x14ac:dyDescent="0.15">
      <c r="A256" s="5" t="s">
        <v>5850</v>
      </c>
      <c r="B256" s="193" t="s">
        <v>165</v>
      </c>
      <c r="C256" s="193" t="s">
        <v>2783</v>
      </c>
      <c r="D256" s="193" t="s">
        <v>5411</v>
      </c>
      <c r="E256" s="193" t="s">
        <v>5510</v>
      </c>
      <c r="F256" s="193" t="s">
        <v>5511</v>
      </c>
      <c r="G256" s="193" t="s">
        <v>5512</v>
      </c>
      <c r="H256" s="193" t="s">
        <v>5513</v>
      </c>
      <c r="I256" s="193" t="s">
        <v>5514</v>
      </c>
      <c r="T256" s="76"/>
    </row>
    <row r="257" spans="1:20" s="36" customFormat="1" ht="20" customHeight="1" x14ac:dyDescent="0.15">
      <c r="A257" s="5" t="s">
        <v>5850</v>
      </c>
      <c r="B257" s="193" t="s">
        <v>165</v>
      </c>
      <c r="C257" s="193" t="s">
        <v>2783</v>
      </c>
      <c r="D257" s="193" t="s">
        <v>5412</v>
      </c>
      <c r="E257" s="193" t="s">
        <v>5515</v>
      </c>
      <c r="F257" s="193" t="s">
        <v>5516</v>
      </c>
      <c r="G257" s="193" t="s">
        <v>5517</v>
      </c>
      <c r="H257" s="193" t="s">
        <v>5518</v>
      </c>
      <c r="I257" s="193" t="s">
        <v>5519</v>
      </c>
      <c r="T257" s="76"/>
    </row>
    <row r="258" spans="1:20" s="36" customFormat="1" ht="20" customHeight="1" x14ac:dyDescent="0.15">
      <c r="A258" s="5" t="s">
        <v>5850</v>
      </c>
      <c r="B258" s="193" t="s">
        <v>165</v>
      </c>
      <c r="C258" s="193" t="s">
        <v>2783</v>
      </c>
      <c r="D258" s="193" t="s">
        <v>5413</v>
      </c>
      <c r="E258" s="193" t="s">
        <v>5520</v>
      </c>
      <c r="F258" s="193" t="s">
        <v>5521</v>
      </c>
      <c r="G258" s="193" t="s">
        <v>5522</v>
      </c>
      <c r="H258" s="193" t="s">
        <v>5523</v>
      </c>
      <c r="I258" s="193" t="s">
        <v>5524</v>
      </c>
      <c r="T258" s="76"/>
    </row>
    <row r="259" spans="1:20" s="36" customFormat="1" ht="20" customHeight="1" x14ac:dyDescent="0.15">
      <c r="A259" s="5" t="s">
        <v>5850</v>
      </c>
      <c r="B259" s="193" t="s">
        <v>165</v>
      </c>
      <c r="C259" s="193" t="s">
        <v>2783</v>
      </c>
      <c r="D259" s="193" t="s">
        <v>5414</v>
      </c>
      <c r="E259" s="193" t="s">
        <v>5525</v>
      </c>
      <c r="F259" s="193" t="s">
        <v>5526</v>
      </c>
      <c r="G259" s="193" t="s">
        <v>5527</v>
      </c>
      <c r="H259" s="193" t="s">
        <v>3823</v>
      </c>
      <c r="I259" s="193" t="s">
        <v>3373</v>
      </c>
      <c r="T259" s="76"/>
    </row>
    <row r="260" spans="1:20" s="36" customFormat="1" ht="20" customHeight="1" x14ac:dyDescent="0.15">
      <c r="A260" s="5" t="s">
        <v>5850</v>
      </c>
      <c r="B260" s="193" t="s">
        <v>165</v>
      </c>
      <c r="C260" s="193" t="s">
        <v>2783</v>
      </c>
      <c r="D260" s="193" t="s">
        <v>5415</v>
      </c>
      <c r="E260" s="193" t="s">
        <v>5528</v>
      </c>
      <c r="F260" s="193" t="s">
        <v>5529</v>
      </c>
      <c r="G260" s="193" t="s">
        <v>5530</v>
      </c>
      <c r="H260" s="193" t="s">
        <v>5531</v>
      </c>
      <c r="I260" s="193" t="s">
        <v>5532</v>
      </c>
      <c r="T260" s="76"/>
    </row>
    <row r="261" spans="1:20" s="36" customFormat="1" ht="20" customHeight="1" x14ac:dyDescent="0.15">
      <c r="A261" s="5" t="s">
        <v>5850</v>
      </c>
      <c r="B261" s="193" t="s">
        <v>165</v>
      </c>
      <c r="C261" s="193" t="s">
        <v>2783</v>
      </c>
      <c r="D261" s="193" t="s">
        <v>5416</v>
      </c>
      <c r="E261" s="193" t="s">
        <v>5533</v>
      </c>
      <c r="F261" s="193" t="s">
        <v>5534</v>
      </c>
      <c r="G261" s="193" t="s">
        <v>5535</v>
      </c>
      <c r="H261" s="193" t="s">
        <v>5536</v>
      </c>
      <c r="I261" s="193" t="s">
        <v>5537</v>
      </c>
      <c r="T261" s="76"/>
    </row>
    <row r="262" spans="1:20" s="36" customFormat="1" ht="20" customHeight="1" x14ac:dyDescent="0.15">
      <c r="A262" s="5" t="s">
        <v>5850</v>
      </c>
      <c r="B262" s="193" t="s">
        <v>165</v>
      </c>
      <c r="C262" s="193" t="s">
        <v>2783</v>
      </c>
      <c r="D262" s="193" t="s">
        <v>5417</v>
      </c>
      <c r="E262" s="193" t="s">
        <v>5538</v>
      </c>
      <c r="F262" s="193" t="s">
        <v>5539</v>
      </c>
      <c r="G262" s="193" t="s">
        <v>5540</v>
      </c>
      <c r="H262" s="193" t="s">
        <v>5541</v>
      </c>
      <c r="I262" s="193" t="s">
        <v>3004</v>
      </c>
      <c r="T262" s="76"/>
    </row>
    <row r="263" spans="1:20" s="36" customFormat="1" ht="20" customHeight="1" x14ac:dyDescent="0.15">
      <c r="A263" s="5" t="s">
        <v>5850</v>
      </c>
      <c r="B263" s="193" t="s">
        <v>165</v>
      </c>
      <c r="C263" s="193" t="s">
        <v>2783</v>
      </c>
      <c r="D263" s="193" t="s">
        <v>5418</v>
      </c>
      <c r="E263" s="193" t="s">
        <v>5542</v>
      </c>
      <c r="F263" s="193" t="s">
        <v>5543</v>
      </c>
      <c r="G263" s="193" t="s">
        <v>5544</v>
      </c>
      <c r="H263" s="193" t="s">
        <v>5545</v>
      </c>
      <c r="I263" s="193" t="s">
        <v>5546</v>
      </c>
      <c r="T263" s="76"/>
    </row>
    <row r="264" spans="1:20" s="36" customFormat="1" ht="20" customHeight="1" x14ac:dyDescent="0.15">
      <c r="A264" s="5" t="s">
        <v>5850</v>
      </c>
      <c r="B264" s="193" t="s">
        <v>165</v>
      </c>
      <c r="C264" s="193" t="s">
        <v>2783</v>
      </c>
      <c r="D264" s="193" t="s">
        <v>5419</v>
      </c>
      <c r="E264" s="193" t="s">
        <v>5547</v>
      </c>
      <c r="F264" s="193" t="s">
        <v>5548</v>
      </c>
      <c r="G264" s="193" t="s">
        <v>5549</v>
      </c>
      <c r="H264" s="193" t="s">
        <v>5550</v>
      </c>
      <c r="I264" s="193" t="s">
        <v>3471</v>
      </c>
      <c r="T264" s="76"/>
    </row>
    <row r="265" spans="1:20" s="36" customFormat="1" ht="20" customHeight="1" x14ac:dyDescent="0.15">
      <c r="A265" s="5" t="s">
        <v>5850</v>
      </c>
      <c r="B265" s="193" t="s">
        <v>165</v>
      </c>
      <c r="C265" s="193" t="s">
        <v>2783</v>
      </c>
      <c r="D265" s="193" t="s">
        <v>5420</v>
      </c>
      <c r="E265" s="193" t="s">
        <v>5551</v>
      </c>
      <c r="F265" s="193" t="s">
        <v>5552</v>
      </c>
      <c r="G265" s="193" t="s">
        <v>5553</v>
      </c>
      <c r="H265" s="193" t="s">
        <v>5554</v>
      </c>
      <c r="I265" s="193" t="s">
        <v>5555</v>
      </c>
      <c r="T265" s="76"/>
    </row>
    <row r="266" spans="1:20" s="36" customFormat="1" ht="20" customHeight="1" x14ac:dyDescent="0.15">
      <c r="A266" s="5" t="s">
        <v>5850</v>
      </c>
      <c r="B266" s="193" t="s">
        <v>165</v>
      </c>
      <c r="C266" s="193" t="s">
        <v>2783</v>
      </c>
      <c r="D266" s="193" t="s">
        <v>5421</v>
      </c>
      <c r="E266" s="193" t="s">
        <v>5556</v>
      </c>
      <c r="F266" s="193" t="s">
        <v>5557</v>
      </c>
      <c r="G266" s="193" t="s">
        <v>5558</v>
      </c>
      <c r="H266" s="193" t="s">
        <v>5559</v>
      </c>
      <c r="I266" s="193" t="s">
        <v>5560</v>
      </c>
      <c r="T266" s="76"/>
    </row>
    <row r="267" spans="1:20" s="36" customFormat="1" ht="20" customHeight="1" x14ac:dyDescent="0.15">
      <c r="A267" s="5" t="s">
        <v>5850</v>
      </c>
      <c r="B267" s="193" t="s">
        <v>165</v>
      </c>
      <c r="C267" s="193" t="s">
        <v>2783</v>
      </c>
      <c r="D267" s="193" t="s">
        <v>5422</v>
      </c>
      <c r="E267" s="193" t="s">
        <v>5561</v>
      </c>
      <c r="F267" s="193" t="s">
        <v>5562</v>
      </c>
      <c r="G267" s="193" t="s">
        <v>5563</v>
      </c>
      <c r="H267" s="193" t="s">
        <v>5564</v>
      </c>
      <c r="I267" s="193" t="s">
        <v>4583</v>
      </c>
      <c r="T267" s="76"/>
    </row>
    <row r="268" spans="1:20" s="36" customFormat="1" ht="20" customHeight="1" x14ac:dyDescent="0.15">
      <c r="A268" s="5" t="s">
        <v>5850</v>
      </c>
      <c r="B268" s="193" t="s">
        <v>165</v>
      </c>
      <c r="C268" s="193" t="s">
        <v>2783</v>
      </c>
      <c r="D268" s="193" t="s">
        <v>5423</v>
      </c>
      <c r="E268" s="193" t="s">
        <v>5565</v>
      </c>
      <c r="F268" s="193" t="s">
        <v>5566</v>
      </c>
      <c r="G268" s="193" t="s">
        <v>5567</v>
      </c>
      <c r="H268" s="193" t="s">
        <v>5568</v>
      </c>
      <c r="I268" s="193" t="s">
        <v>5569</v>
      </c>
      <c r="T268" s="76"/>
    </row>
    <row r="269" spans="1:20" s="36" customFormat="1" ht="20" customHeight="1" x14ac:dyDescent="0.15">
      <c r="A269" s="5" t="s">
        <v>5850</v>
      </c>
      <c r="B269" s="193" t="s">
        <v>165</v>
      </c>
      <c r="C269" s="193" t="s">
        <v>2783</v>
      </c>
      <c r="D269" s="193" t="s">
        <v>5424</v>
      </c>
      <c r="E269" s="193" t="s">
        <v>5570</v>
      </c>
      <c r="F269" s="193" t="s">
        <v>5571</v>
      </c>
      <c r="G269" s="193" t="s">
        <v>5572</v>
      </c>
      <c r="H269" s="193" t="s">
        <v>5573</v>
      </c>
      <c r="I269" s="193" t="s">
        <v>5574</v>
      </c>
      <c r="T269" s="76"/>
    </row>
    <row r="270" spans="1:20" s="36" customFormat="1" ht="20" customHeight="1" x14ac:dyDescent="0.15">
      <c r="A270" s="5" t="s">
        <v>5850</v>
      </c>
      <c r="B270" s="193" t="s">
        <v>165</v>
      </c>
      <c r="C270" s="193" t="s">
        <v>2783</v>
      </c>
      <c r="D270" s="193" t="s">
        <v>5425</v>
      </c>
      <c r="E270" s="193" t="s">
        <v>5575</v>
      </c>
      <c r="F270" s="193" t="s">
        <v>5576</v>
      </c>
      <c r="G270" s="193" t="s">
        <v>5577</v>
      </c>
      <c r="H270" s="193" t="s">
        <v>5578</v>
      </c>
      <c r="I270" s="193" t="s">
        <v>2907</v>
      </c>
      <c r="T270" s="76"/>
    </row>
    <row r="271" spans="1:20" s="36" customFormat="1" ht="20" customHeight="1" x14ac:dyDescent="0.15">
      <c r="A271" s="5" t="s">
        <v>5850</v>
      </c>
      <c r="B271" s="193" t="s">
        <v>165</v>
      </c>
      <c r="C271" s="193" t="s">
        <v>2783</v>
      </c>
      <c r="D271" s="193" t="s">
        <v>5426</v>
      </c>
      <c r="E271" s="193" t="s">
        <v>5579</v>
      </c>
      <c r="F271" s="193" t="s">
        <v>5580</v>
      </c>
      <c r="G271" s="193" t="s">
        <v>5581</v>
      </c>
      <c r="H271" s="193" t="s">
        <v>5582</v>
      </c>
      <c r="I271" s="193" t="s">
        <v>4132</v>
      </c>
      <c r="T271" s="76"/>
    </row>
    <row r="272" spans="1:20" s="36" customFormat="1" ht="20" customHeight="1" x14ac:dyDescent="0.15">
      <c r="A272" s="5" t="s">
        <v>5850</v>
      </c>
      <c r="B272" s="193" t="s">
        <v>165</v>
      </c>
      <c r="C272" s="193" t="s">
        <v>2783</v>
      </c>
      <c r="D272" s="193" t="s">
        <v>5427</v>
      </c>
      <c r="E272" s="193" t="s">
        <v>5583</v>
      </c>
      <c r="F272" s="193" t="s">
        <v>5584</v>
      </c>
      <c r="G272" s="193" t="s">
        <v>5585</v>
      </c>
      <c r="H272" s="193" t="s">
        <v>5586</v>
      </c>
      <c r="I272" s="193" t="s">
        <v>5587</v>
      </c>
      <c r="T272" s="76"/>
    </row>
    <row r="273" spans="1:20" s="36" customFormat="1" ht="20" customHeight="1" x14ac:dyDescent="0.15">
      <c r="A273" s="5" t="s">
        <v>5850</v>
      </c>
      <c r="B273" s="193" t="s">
        <v>165</v>
      </c>
      <c r="C273" s="193" t="s">
        <v>2783</v>
      </c>
      <c r="D273" s="193" t="s">
        <v>5428</v>
      </c>
      <c r="E273" s="193" t="s">
        <v>5588</v>
      </c>
      <c r="F273" s="193" t="s">
        <v>5589</v>
      </c>
      <c r="G273" s="193" t="s">
        <v>5590</v>
      </c>
      <c r="H273" s="193" t="s">
        <v>5591</v>
      </c>
      <c r="I273" s="193" t="s">
        <v>5592</v>
      </c>
      <c r="T273" s="76"/>
    </row>
    <row r="274" spans="1:20" s="36" customFormat="1" ht="20" customHeight="1" x14ac:dyDescent="0.15">
      <c r="A274" s="5" t="s">
        <v>5850</v>
      </c>
      <c r="B274" s="193" t="s">
        <v>165</v>
      </c>
      <c r="C274" s="193" t="s">
        <v>2783</v>
      </c>
      <c r="D274" s="193" t="s">
        <v>5429</v>
      </c>
      <c r="E274" s="193" t="s">
        <v>5593</v>
      </c>
      <c r="F274" s="193" t="s">
        <v>5594</v>
      </c>
      <c r="G274" s="193" t="s">
        <v>5595</v>
      </c>
      <c r="H274" s="193" t="s">
        <v>5596</v>
      </c>
      <c r="I274" s="193" t="s">
        <v>2907</v>
      </c>
      <c r="T274" s="76"/>
    </row>
    <row r="275" spans="1:20" s="36" customFormat="1" ht="20" customHeight="1" x14ac:dyDescent="0.15">
      <c r="A275" s="5" t="s">
        <v>5850</v>
      </c>
      <c r="B275" s="193" t="s">
        <v>165</v>
      </c>
      <c r="C275" s="193" t="s">
        <v>2783</v>
      </c>
      <c r="D275" s="193" t="s">
        <v>5430</v>
      </c>
      <c r="E275" s="193" t="s">
        <v>5597</v>
      </c>
      <c r="F275" s="193" t="s">
        <v>5598</v>
      </c>
      <c r="G275" s="193" t="s">
        <v>5599</v>
      </c>
      <c r="H275" s="193" t="s">
        <v>5600</v>
      </c>
      <c r="I275" s="193" t="s">
        <v>3162</v>
      </c>
      <c r="T275" s="76"/>
    </row>
    <row r="276" spans="1:20" s="36" customFormat="1" ht="20" customHeight="1" x14ac:dyDescent="0.15">
      <c r="A276" s="5" t="s">
        <v>5850</v>
      </c>
      <c r="B276" s="193" t="s">
        <v>165</v>
      </c>
      <c r="C276" s="193" t="s">
        <v>2783</v>
      </c>
      <c r="D276" s="193" t="s">
        <v>5431</v>
      </c>
      <c r="E276" s="193" t="s">
        <v>5601</v>
      </c>
      <c r="F276" s="193" t="s">
        <v>5602</v>
      </c>
      <c r="G276" s="193" t="s">
        <v>5603</v>
      </c>
      <c r="H276" s="193" t="s">
        <v>5604</v>
      </c>
      <c r="I276" s="193" t="s">
        <v>4648</v>
      </c>
      <c r="T276" s="76"/>
    </row>
    <row r="277" spans="1:20" s="36" customFormat="1" ht="20" customHeight="1" x14ac:dyDescent="0.15">
      <c r="A277" s="5" t="s">
        <v>5850</v>
      </c>
      <c r="B277" s="193" t="s">
        <v>165</v>
      </c>
      <c r="C277" s="193" t="s">
        <v>2783</v>
      </c>
      <c r="D277" s="193" t="s">
        <v>5432</v>
      </c>
      <c r="E277" s="193" t="s">
        <v>5605</v>
      </c>
      <c r="F277" s="193" t="s">
        <v>5606</v>
      </c>
      <c r="G277" s="193" t="s">
        <v>5607</v>
      </c>
      <c r="H277" s="193" t="s">
        <v>5608</v>
      </c>
      <c r="I277" s="193" t="s">
        <v>5514</v>
      </c>
      <c r="T277" s="76"/>
    </row>
    <row r="278" spans="1:20" s="36" customFormat="1" ht="20" customHeight="1" x14ac:dyDescent="0.15">
      <c r="A278" s="5" t="s">
        <v>5850</v>
      </c>
      <c r="B278" s="193" t="s">
        <v>165</v>
      </c>
      <c r="C278" s="193" t="s">
        <v>2783</v>
      </c>
      <c r="D278" s="193" t="s">
        <v>5433</v>
      </c>
      <c r="E278" s="193" t="s">
        <v>5609</v>
      </c>
      <c r="F278" s="193" t="s">
        <v>5610</v>
      </c>
      <c r="G278" s="193" t="s">
        <v>5611</v>
      </c>
      <c r="H278" s="193" t="s">
        <v>5612</v>
      </c>
      <c r="I278" s="193" t="s">
        <v>3079</v>
      </c>
      <c r="T278" s="76"/>
    </row>
    <row r="279" spans="1:20" s="36" customFormat="1" ht="20" customHeight="1" x14ac:dyDescent="0.15">
      <c r="A279" s="5" t="s">
        <v>5850</v>
      </c>
      <c r="B279" s="193" t="s">
        <v>165</v>
      </c>
      <c r="C279" s="193" t="s">
        <v>2783</v>
      </c>
      <c r="D279" s="193" t="s">
        <v>5434</v>
      </c>
      <c r="E279" s="193" t="s">
        <v>5613</v>
      </c>
      <c r="F279" s="193" t="s">
        <v>5614</v>
      </c>
      <c r="G279" s="193" t="s">
        <v>5615</v>
      </c>
      <c r="H279" s="193" t="s">
        <v>5616</v>
      </c>
      <c r="I279" s="193" t="s">
        <v>3056</v>
      </c>
      <c r="T279" s="76"/>
    </row>
    <row r="280" spans="1:20" s="36" customFormat="1" ht="20" customHeight="1" x14ac:dyDescent="0.15">
      <c r="A280" s="5" t="s">
        <v>5850</v>
      </c>
      <c r="B280" s="193" t="s">
        <v>165</v>
      </c>
      <c r="C280" s="193" t="s">
        <v>2783</v>
      </c>
      <c r="D280" s="193" t="s">
        <v>5435</v>
      </c>
      <c r="E280" s="193" t="s">
        <v>5617</v>
      </c>
      <c r="F280" s="193" t="s">
        <v>5618</v>
      </c>
      <c r="G280" s="193" t="s">
        <v>5619</v>
      </c>
      <c r="H280" s="193" t="s">
        <v>5620</v>
      </c>
      <c r="I280" s="193" t="s">
        <v>5621</v>
      </c>
      <c r="T280" s="76"/>
    </row>
    <row r="281" spans="1:20" s="36" customFormat="1" ht="20" customHeight="1" x14ac:dyDescent="0.15">
      <c r="A281" s="5" t="s">
        <v>5850</v>
      </c>
      <c r="B281" s="193" t="s">
        <v>165</v>
      </c>
      <c r="C281" s="193" t="s">
        <v>2783</v>
      </c>
      <c r="D281" s="193" t="s">
        <v>5436</v>
      </c>
      <c r="E281" s="193" t="s">
        <v>5622</v>
      </c>
      <c r="F281" s="193" t="s">
        <v>5623</v>
      </c>
      <c r="G281" s="193" t="s">
        <v>5624</v>
      </c>
      <c r="H281" s="193" t="s">
        <v>5625</v>
      </c>
      <c r="I281" s="193" t="s">
        <v>2907</v>
      </c>
      <c r="T281" s="76"/>
    </row>
    <row r="282" spans="1:20" s="36" customFormat="1" ht="20" customHeight="1" x14ac:dyDescent="0.15">
      <c r="A282" s="5" t="s">
        <v>5850</v>
      </c>
      <c r="B282" s="193" t="s">
        <v>165</v>
      </c>
      <c r="C282" s="193" t="s">
        <v>2783</v>
      </c>
      <c r="D282" s="193" t="s">
        <v>5437</v>
      </c>
      <c r="E282" s="193" t="s">
        <v>5626</v>
      </c>
      <c r="F282" s="193" t="s">
        <v>5627</v>
      </c>
      <c r="G282" s="193" t="s">
        <v>5628</v>
      </c>
      <c r="H282" s="193" t="s">
        <v>5629</v>
      </c>
      <c r="I282" s="193" t="s">
        <v>5630</v>
      </c>
      <c r="T282" s="76"/>
    </row>
    <row r="283" spans="1:20" s="36" customFormat="1" ht="20" customHeight="1" x14ac:dyDescent="0.15">
      <c r="A283" s="5" t="s">
        <v>5850</v>
      </c>
      <c r="B283" s="193" t="s">
        <v>165</v>
      </c>
      <c r="C283" s="193" t="s">
        <v>2783</v>
      </c>
      <c r="D283" s="193" t="s">
        <v>5438</v>
      </c>
      <c r="E283" s="193" t="s">
        <v>5631</v>
      </c>
      <c r="F283" s="193" t="s">
        <v>5632</v>
      </c>
      <c r="G283" s="193" t="s">
        <v>5633</v>
      </c>
      <c r="H283" s="193" t="s">
        <v>5634</v>
      </c>
      <c r="I283" s="193" t="s">
        <v>2907</v>
      </c>
      <c r="T283" s="76"/>
    </row>
    <row r="284" spans="1:20" s="36" customFormat="1" ht="20" customHeight="1" x14ac:dyDescent="0.15">
      <c r="A284" s="5" t="s">
        <v>5850</v>
      </c>
      <c r="B284" s="193" t="s">
        <v>165</v>
      </c>
      <c r="C284" s="193" t="s">
        <v>2783</v>
      </c>
      <c r="D284" s="193" t="s">
        <v>5439</v>
      </c>
      <c r="E284" s="193" t="s">
        <v>5635</v>
      </c>
      <c r="F284" s="193" t="s">
        <v>5636</v>
      </c>
      <c r="G284" s="193" t="s">
        <v>5637</v>
      </c>
      <c r="H284" s="193" t="s">
        <v>5638</v>
      </c>
      <c r="I284" s="193" t="s">
        <v>5639</v>
      </c>
      <c r="T284" s="76"/>
    </row>
    <row r="285" spans="1:20" s="36" customFormat="1" ht="20" customHeight="1" x14ac:dyDescent="0.15">
      <c r="A285" s="5" t="s">
        <v>5850</v>
      </c>
      <c r="B285" s="193" t="s">
        <v>165</v>
      </c>
      <c r="C285" s="193" t="s">
        <v>2783</v>
      </c>
      <c r="D285" s="193" t="s">
        <v>5440</v>
      </c>
      <c r="E285" s="193" t="s">
        <v>5640</v>
      </c>
      <c r="F285" s="193" t="s">
        <v>5641</v>
      </c>
      <c r="G285" s="193" t="s">
        <v>5642</v>
      </c>
      <c r="H285" s="193" t="s">
        <v>5643</v>
      </c>
      <c r="I285" s="193" t="s">
        <v>5644</v>
      </c>
      <c r="T285" s="76"/>
    </row>
    <row r="286" spans="1:20" s="36" customFormat="1" ht="20" customHeight="1" x14ac:dyDescent="0.15">
      <c r="A286" s="5" t="s">
        <v>5850</v>
      </c>
      <c r="B286" s="193" t="s">
        <v>165</v>
      </c>
      <c r="C286" s="193" t="s">
        <v>2783</v>
      </c>
      <c r="D286" s="193" t="s">
        <v>5441</v>
      </c>
      <c r="E286" s="193" t="s">
        <v>5645</v>
      </c>
      <c r="F286" s="193" t="s">
        <v>5646</v>
      </c>
      <c r="G286" s="193" t="s">
        <v>5647</v>
      </c>
      <c r="H286" s="193" t="s">
        <v>5648</v>
      </c>
      <c r="I286" s="193" t="s">
        <v>5649</v>
      </c>
      <c r="T286" s="76"/>
    </row>
    <row r="287" spans="1:20" s="36" customFormat="1" ht="20" customHeight="1" x14ac:dyDescent="0.15">
      <c r="A287" s="5" t="s">
        <v>5850</v>
      </c>
      <c r="B287" s="193" t="s">
        <v>165</v>
      </c>
      <c r="C287" s="193" t="s">
        <v>2783</v>
      </c>
      <c r="D287" s="193" t="s">
        <v>5442</v>
      </c>
      <c r="E287" s="193" t="s">
        <v>5650</v>
      </c>
      <c r="F287" s="193" t="s">
        <v>5651</v>
      </c>
      <c r="G287" s="193" t="s">
        <v>5652</v>
      </c>
      <c r="H287" s="193" t="s">
        <v>5653</v>
      </c>
      <c r="I287" s="193" t="s">
        <v>5654</v>
      </c>
      <c r="T287" s="76"/>
    </row>
    <row r="288" spans="1:20" s="36" customFormat="1" ht="20" customHeight="1" x14ac:dyDescent="0.15">
      <c r="A288" s="5" t="s">
        <v>5850</v>
      </c>
      <c r="B288" s="193" t="s">
        <v>165</v>
      </c>
      <c r="C288" s="193" t="s">
        <v>2783</v>
      </c>
      <c r="D288" s="193" t="s">
        <v>5443</v>
      </c>
      <c r="E288" s="193" t="s">
        <v>5655</v>
      </c>
      <c r="F288" s="193" t="s">
        <v>5656</v>
      </c>
      <c r="G288" s="193" t="s">
        <v>5657</v>
      </c>
      <c r="H288" s="193" t="s">
        <v>5658</v>
      </c>
      <c r="I288" s="193" t="s">
        <v>3614</v>
      </c>
      <c r="T288" s="76"/>
    </row>
    <row r="289" spans="1:20" s="36" customFormat="1" ht="20" customHeight="1" x14ac:dyDescent="0.15">
      <c r="A289" s="5" t="s">
        <v>5850</v>
      </c>
      <c r="B289" s="193" t="s">
        <v>165</v>
      </c>
      <c r="C289" s="193" t="s">
        <v>2783</v>
      </c>
      <c r="D289" s="193" t="s">
        <v>5444</v>
      </c>
      <c r="E289" s="193" t="s">
        <v>5659</v>
      </c>
      <c r="F289" s="193" t="s">
        <v>5660</v>
      </c>
      <c r="G289" s="193" t="s">
        <v>5661</v>
      </c>
      <c r="H289" s="193" t="s">
        <v>5662</v>
      </c>
      <c r="I289" s="193" t="s">
        <v>3134</v>
      </c>
      <c r="T289" s="76"/>
    </row>
    <row r="290" spans="1:20" s="36" customFormat="1" ht="20" customHeight="1" x14ac:dyDescent="0.15">
      <c r="A290" s="5" t="s">
        <v>5850</v>
      </c>
      <c r="B290" s="193" t="s">
        <v>165</v>
      </c>
      <c r="C290" s="193" t="s">
        <v>2783</v>
      </c>
      <c r="D290" s="193" t="s">
        <v>5445</v>
      </c>
      <c r="E290" s="193" t="s">
        <v>5663</v>
      </c>
      <c r="F290" s="193" t="s">
        <v>5664</v>
      </c>
      <c r="G290" s="193" t="s">
        <v>5665</v>
      </c>
      <c r="H290" s="193" t="s">
        <v>5666</v>
      </c>
      <c r="I290" s="193" t="s">
        <v>5667</v>
      </c>
      <c r="T290" s="76"/>
    </row>
    <row r="291" spans="1:20" s="36" customFormat="1" ht="20" customHeight="1" x14ac:dyDescent="0.15">
      <c r="A291" s="5" t="s">
        <v>5850</v>
      </c>
      <c r="B291" s="193" t="s">
        <v>165</v>
      </c>
      <c r="C291" s="193" t="s">
        <v>2783</v>
      </c>
      <c r="D291" s="193" t="s">
        <v>5446</v>
      </c>
      <c r="E291" s="193" t="s">
        <v>5668</v>
      </c>
      <c r="F291" s="193" t="s">
        <v>5669</v>
      </c>
      <c r="G291" s="193" t="s">
        <v>5670</v>
      </c>
      <c r="H291" s="193" t="s">
        <v>5671</v>
      </c>
      <c r="I291" s="193" t="s">
        <v>5672</v>
      </c>
      <c r="T291" s="76"/>
    </row>
    <row r="292" spans="1:20" s="36" customFormat="1" ht="20" customHeight="1" x14ac:dyDescent="0.15">
      <c r="A292" s="5" t="s">
        <v>5850</v>
      </c>
      <c r="B292" s="193" t="s">
        <v>165</v>
      </c>
      <c r="C292" s="193" t="s">
        <v>2783</v>
      </c>
      <c r="D292" s="193" t="s">
        <v>5447</v>
      </c>
      <c r="E292" s="193" t="s">
        <v>5673</v>
      </c>
      <c r="F292" s="193" t="s">
        <v>5674</v>
      </c>
      <c r="G292" s="193" t="s">
        <v>5675</v>
      </c>
      <c r="H292" s="193" t="s">
        <v>5676</v>
      </c>
      <c r="I292" s="193" t="s">
        <v>5677</v>
      </c>
      <c r="T292" s="76"/>
    </row>
    <row r="293" spans="1:20" s="36" customFormat="1" ht="20" customHeight="1" x14ac:dyDescent="0.15">
      <c r="A293" s="5" t="s">
        <v>5850</v>
      </c>
      <c r="B293" s="193" t="s">
        <v>165</v>
      </c>
      <c r="C293" s="193" t="s">
        <v>2783</v>
      </c>
      <c r="D293" s="193" t="s">
        <v>5448</v>
      </c>
      <c r="E293" s="193" t="s">
        <v>5678</v>
      </c>
      <c r="F293" s="193" t="s">
        <v>5679</v>
      </c>
      <c r="G293" s="193" t="s">
        <v>5680</v>
      </c>
      <c r="H293" s="193" t="s">
        <v>5681</v>
      </c>
      <c r="I293" s="193" t="s">
        <v>5682</v>
      </c>
      <c r="T293" s="76"/>
    </row>
    <row r="294" spans="1:20" s="36" customFormat="1" ht="20" customHeight="1" x14ac:dyDescent="0.15">
      <c r="A294" s="5" t="s">
        <v>5850</v>
      </c>
      <c r="B294" s="193" t="s">
        <v>165</v>
      </c>
      <c r="C294" s="193" t="s">
        <v>2783</v>
      </c>
      <c r="D294" s="193" t="s">
        <v>5449</v>
      </c>
      <c r="E294" s="193" t="s">
        <v>5683</v>
      </c>
      <c r="F294" s="193" t="s">
        <v>5684</v>
      </c>
      <c r="G294" s="193" t="s">
        <v>5685</v>
      </c>
      <c r="H294" s="193" t="s">
        <v>5686</v>
      </c>
      <c r="I294" s="193" t="s">
        <v>5672</v>
      </c>
      <c r="T294" s="76"/>
    </row>
    <row r="295" spans="1:20" s="36" customFormat="1" ht="20" customHeight="1" x14ac:dyDescent="0.15">
      <c r="A295" s="5" t="s">
        <v>5850</v>
      </c>
      <c r="B295" s="193" t="s">
        <v>165</v>
      </c>
      <c r="C295" s="193" t="s">
        <v>2783</v>
      </c>
      <c r="D295" s="193" t="s">
        <v>5450</v>
      </c>
      <c r="E295" s="193" t="s">
        <v>5687</v>
      </c>
      <c r="F295" s="193" t="s">
        <v>5688</v>
      </c>
      <c r="G295" s="193" t="s">
        <v>5689</v>
      </c>
      <c r="H295" s="193" t="s">
        <v>5690</v>
      </c>
      <c r="I295" s="193" t="s">
        <v>3073</v>
      </c>
      <c r="T295" s="76"/>
    </row>
    <row r="296" spans="1:20" s="36" customFormat="1" ht="20" customHeight="1" x14ac:dyDescent="0.15">
      <c r="A296" s="5" t="s">
        <v>5850</v>
      </c>
      <c r="B296" s="193" t="s">
        <v>165</v>
      </c>
      <c r="C296" s="193" t="s">
        <v>2783</v>
      </c>
      <c r="D296" s="193" t="s">
        <v>5451</v>
      </c>
      <c r="E296" s="193" t="s">
        <v>5691</v>
      </c>
      <c r="F296" s="193" t="s">
        <v>5692</v>
      </c>
      <c r="G296" s="193" t="s">
        <v>5693</v>
      </c>
      <c r="H296" s="193" t="s">
        <v>5694</v>
      </c>
      <c r="I296" s="193" t="s">
        <v>5587</v>
      </c>
      <c r="T296" s="76"/>
    </row>
    <row r="297" spans="1:20" s="36" customFormat="1" ht="20" customHeight="1" x14ac:dyDescent="0.15">
      <c r="A297" s="5" t="s">
        <v>5850</v>
      </c>
      <c r="B297" s="193" t="s">
        <v>165</v>
      </c>
      <c r="C297" s="193" t="s">
        <v>2783</v>
      </c>
      <c r="D297" s="193" t="s">
        <v>5452</v>
      </c>
      <c r="E297" s="193" t="s">
        <v>5695</v>
      </c>
      <c r="F297" s="193" t="s">
        <v>5696</v>
      </c>
      <c r="G297" s="193" t="s">
        <v>5697</v>
      </c>
      <c r="H297" s="193" t="s">
        <v>5698</v>
      </c>
      <c r="I297" s="193" t="s">
        <v>5699</v>
      </c>
      <c r="T297" s="76"/>
    </row>
    <row r="298" spans="1:20" s="36" customFormat="1" ht="20" customHeight="1" x14ac:dyDescent="0.15">
      <c r="A298" s="5" t="s">
        <v>5850</v>
      </c>
      <c r="B298" s="193" t="s">
        <v>165</v>
      </c>
      <c r="C298" s="193" t="s">
        <v>2783</v>
      </c>
      <c r="D298" s="193" t="s">
        <v>5453</v>
      </c>
      <c r="E298" s="193" t="s">
        <v>5700</v>
      </c>
      <c r="F298" s="193" t="s">
        <v>5701</v>
      </c>
      <c r="G298" s="193" t="s">
        <v>5702</v>
      </c>
      <c r="H298" s="193" t="s">
        <v>5703</v>
      </c>
      <c r="I298" s="193" t="s">
        <v>2839</v>
      </c>
      <c r="T298" s="76"/>
    </row>
    <row r="299" spans="1:20" s="36" customFormat="1" ht="20" customHeight="1" x14ac:dyDescent="0.15">
      <c r="A299" s="5" t="s">
        <v>5850</v>
      </c>
      <c r="B299" s="193" t="s">
        <v>165</v>
      </c>
      <c r="C299" s="193" t="s">
        <v>2783</v>
      </c>
      <c r="D299" s="193" t="s">
        <v>5454</v>
      </c>
      <c r="E299" s="193" t="s">
        <v>5704</v>
      </c>
      <c r="F299" s="193" t="s">
        <v>5705</v>
      </c>
      <c r="G299" s="193" t="s">
        <v>5706</v>
      </c>
      <c r="H299" s="193" t="s">
        <v>5707</v>
      </c>
      <c r="I299" s="193" t="s">
        <v>5708</v>
      </c>
      <c r="T299" s="76"/>
    </row>
    <row r="300" spans="1:20" s="36" customFormat="1" ht="20" customHeight="1" x14ac:dyDescent="0.15">
      <c r="A300" s="5" t="s">
        <v>5850</v>
      </c>
      <c r="B300" s="193" t="s">
        <v>165</v>
      </c>
      <c r="C300" s="193" t="s">
        <v>2783</v>
      </c>
      <c r="D300" s="193" t="s">
        <v>5455</v>
      </c>
      <c r="E300" s="193" t="s">
        <v>5709</v>
      </c>
      <c r="F300" s="193" t="s">
        <v>5710</v>
      </c>
      <c r="G300" s="193" t="s">
        <v>5711</v>
      </c>
      <c r="H300" s="193" t="s">
        <v>5712</v>
      </c>
      <c r="I300" s="193" t="s">
        <v>2907</v>
      </c>
      <c r="T300" s="76"/>
    </row>
    <row r="301" spans="1:20" s="36" customFormat="1" ht="20" customHeight="1" x14ac:dyDescent="0.15">
      <c r="A301" s="5" t="s">
        <v>5850</v>
      </c>
      <c r="B301" s="193" t="s">
        <v>165</v>
      </c>
      <c r="C301" s="193" t="s">
        <v>2783</v>
      </c>
      <c r="D301" s="193" t="s">
        <v>5456</v>
      </c>
      <c r="E301" s="193" t="s">
        <v>3651</v>
      </c>
      <c r="F301" s="193" t="s">
        <v>5713</v>
      </c>
      <c r="G301" s="193" t="s">
        <v>5714</v>
      </c>
      <c r="H301" s="193" t="s">
        <v>5715</v>
      </c>
      <c r="I301" s="193" t="s">
        <v>5716</v>
      </c>
      <c r="T301" s="76"/>
    </row>
    <row r="302" spans="1:20" s="36" customFormat="1" ht="20" customHeight="1" x14ac:dyDescent="0.15">
      <c r="A302" s="5" t="s">
        <v>5850</v>
      </c>
      <c r="B302" s="193" t="s">
        <v>165</v>
      </c>
      <c r="C302" s="193" t="s">
        <v>2783</v>
      </c>
      <c r="D302" s="193" t="s">
        <v>5457</v>
      </c>
      <c r="E302" s="193" t="s">
        <v>5717</v>
      </c>
      <c r="F302" s="193" t="s">
        <v>5718</v>
      </c>
      <c r="G302" s="193" t="s">
        <v>5719</v>
      </c>
      <c r="H302" s="193" t="s">
        <v>5720</v>
      </c>
      <c r="I302" s="193" t="s">
        <v>5721</v>
      </c>
      <c r="T302" s="76"/>
    </row>
    <row r="303" spans="1:20" s="36" customFormat="1" ht="20" customHeight="1" x14ac:dyDescent="0.15">
      <c r="A303" s="5" t="s">
        <v>5850</v>
      </c>
      <c r="B303" s="193" t="s">
        <v>165</v>
      </c>
      <c r="C303" s="193" t="s">
        <v>2783</v>
      </c>
      <c r="D303" s="193" t="s">
        <v>5458</v>
      </c>
      <c r="E303" s="193" t="s">
        <v>5722</v>
      </c>
      <c r="F303" s="193" t="s">
        <v>5723</v>
      </c>
      <c r="G303" s="193" t="s">
        <v>5724</v>
      </c>
      <c r="H303" s="193" t="s">
        <v>5725</v>
      </c>
      <c r="I303" s="193" t="s">
        <v>5726</v>
      </c>
      <c r="T303" s="76"/>
    </row>
    <row r="304" spans="1:20" s="36" customFormat="1" ht="20" customHeight="1" x14ac:dyDescent="0.15">
      <c r="A304" s="5" t="s">
        <v>5850</v>
      </c>
      <c r="B304" s="193" t="s">
        <v>165</v>
      </c>
      <c r="C304" s="193" t="s">
        <v>2783</v>
      </c>
      <c r="D304" s="193" t="s">
        <v>5459</v>
      </c>
      <c r="E304" s="193" t="s">
        <v>5727</v>
      </c>
      <c r="F304" s="193" t="s">
        <v>5728</v>
      </c>
      <c r="G304" s="193" t="s">
        <v>5729</v>
      </c>
      <c r="H304" s="193" t="s">
        <v>5730</v>
      </c>
      <c r="I304" s="193" t="s">
        <v>4057</v>
      </c>
      <c r="T304" s="76"/>
    </row>
    <row r="305" spans="1:20" s="36" customFormat="1" ht="20" customHeight="1" x14ac:dyDescent="0.15">
      <c r="A305" s="5" t="s">
        <v>5850</v>
      </c>
      <c r="B305" s="193" t="s">
        <v>165</v>
      </c>
      <c r="C305" s="193" t="s">
        <v>2783</v>
      </c>
      <c r="D305" s="193" t="s">
        <v>3123</v>
      </c>
      <c r="E305" s="193" t="s">
        <v>3124</v>
      </c>
      <c r="F305" s="193" t="s">
        <v>5731</v>
      </c>
      <c r="G305" s="193" t="s">
        <v>3126</v>
      </c>
      <c r="H305" s="193" t="s">
        <v>5732</v>
      </c>
      <c r="I305" s="193" t="s">
        <v>5733</v>
      </c>
      <c r="T305" s="76"/>
    </row>
    <row r="306" spans="1:20" s="36" customFormat="1" ht="20" customHeight="1" x14ac:dyDescent="0.15">
      <c r="A306" s="5" t="s">
        <v>5850</v>
      </c>
      <c r="B306" s="193" t="s">
        <v>165</v>
      </c>
      <c r="C306" s="193" t="s">
        <v>2783</v>
      </c>
      <c r="D306" s="193" t="s">
        <v>5460</v>
      </c>
      <c r="E306" s="193" t="s">
        <v>5734</v>
      </c>
      <c r="F306" s="193" t="s">
        <v>5735</v>
      </c>
      <c r="G306" s="193" t="s">
        <v>5736</v>
      </c>
      <c r="H306" s="193" t="s">
        <v>5737</v>
      </c>
      <c r="I306" s="193" t="s">
        <v>5020</v>
      </c>
      <c r="T306" s="76"/>
    </row>
    <row r="307" spans="1:20" s="36" customFormat="1" ht="20" customHeight="1" x14ac:dyDescent="0.15">
      <c r="A307" s="5" t="s">
        <v>5850</v>
      </c>
      <c r="B307" s="193" t="s">
        <v>165</v>
      </c>
      <c r="C307" s="193" t="s">
        <v>2783</v>
      </c>
      <c r="D307" s="193" t="s">
        <v>5461</v>
      </c>
      <c r="E307" s="193" t="s">
        <v>5738</v>
      </c>
      <c r="F307" s="193" t="s">
        <v>5739</v>
      </c>
      <c r="G307" s="193" t="s">
        <v>5740</v>
      </c>
      <c r="H307" s="193" t="s">
        <v>5741</v>
      </c>
      <c r="I307" s="193" t="s">
        <v>5742</v>
      </c>
      <c r="T307" s="76"/>
    </row>
    <row r="308" spans="1:20" s="36" customFormat="1" ht="20" customHeight="1" x14ac:dyDescent="0.15">
      <c r="A308" s="5" t="s">
        <v>5850</v>
      </c>
      <c r="B308" s="193" t="s">
        <v>165</v>
      </c>
      <c r="C308" s="193" t="s">
        <v>2783</v>
      </c>
      <c r="D308" s="193" t="s">
        <v>5462</v>
      </c>
      <c r="E308" s="193" t="s">
        <v>5743</v>
      </c>
      <c r="F308" s="193" t="s">
        <v>5744</v>
      </c>
      <c r="G308" s="193" t="s">
        <v>5745</v>
      </c>
      <c r="H308" s="193" t="s">
        <v>5746</v>
      </c>
      <c r="I308" s="193" t="s">
        <v>2925</v>
      </c>
      <c r="T308" s="76"/>
    </row>
    <row r="309" spans="1:20" s="36" customFormat="1" ht="20" customHeight="1" x14ac:dyDescent="0.15">
      <c r="A309" s="5" t="s">
        <v>5850</v>
      </c>
      <c r="B309" s="193" t="s">
        <v>165</v>
      </c>
      <c r="C309" s="193" t="s">
        <v>2783</v>
      </c>
      <c r="D309" s="193" t="s">
        <v>5463</v>
      </c>
      <c r="E309" s="193" t="s">
        <v>5747</v>
      </c>
      <c r="F309" s="193" t="s">
        <v>5748</v>
      </c>
      <c r="G309" s="193" t="s">
        <v>5749</v>
      </c>
      <c r="H309" s="193" t="s">
        <v>5750</v>
      </c>
      <c r="I309" s="193" t="s">
        <v>5751</v>
      </c>
      <c r="T309" s="76"/>
    </row>
    <row r="310" spans="1:20" s="36" customFormat="1" ht="20" customHeight="1" x14ac:dyDescent="0.15">
      <c r="A310" s="5" t="s">
        <v>5851</v>
      </c>
      <c r="B310" s="193" t="s">
        <v>172</v>
      </c>
      <c r="C310" s="193" t="s">
        <v>2785</v>
      </c>
      <c r="D310" s="193" t="s">
        <v>5341</v>
      </c>
      <c r="E310" s="193" t="s">
        <v>5342</v>
      </c>
      <c r="F310" s="193" t="s">
        <v>5343</v>
      </c>
      <c r="G310" s="193" t="s">
        <v>5344</v>
      </c>
      <c r="H310" s="193" t="s">
        <v>5345</v>
      </c>
      <c r="I310" s="193" t="s">
        <v>5346</v>
      </c>
      <c r="T310" s="76"/>
    </row>
    <row r="311" spans="1:20" s="36" customFormat="1" ht="20" customHeight="1" x14ac:dyDescent="0.15">
      <c r="A311" s="5" t="s">
        <v>5851</v>
      </c>
      <c r="B311" s="193" t="s">
        <v>172</v>
      </c>
      <c r="C311" s="193" t="s">
        <v>2785</v>
      </c>
      <c r="D311" s="193" t="s">
        <v>5335</v>
      </c>
      <c r="E311" s="193" t="s">
        <v>5336</v>
      </c>
      <c r="F311" s="193" t="s">
        <v>5337</v>
      </c>
      <c r="G311" s="193" t="s">
        <v>5338</v>
      </c>
      <c r="H311" s="193" t="s">
        <v>5339</v>
      </c>
      <c r="I311" s="193" t="s">
        <v>5340</v>
      </c>
      <c r="T311" s="76"/>
    </row>
    <row r="312" spans="1:20" s="36" customFormat="1" ht="20" customHeight="1" x14ac:dyDescent="0.15">
      <c r="A312" s="5" t="s">
        <v>5851</v>
      </c>
      <c r="B312" s="193" t="s">
        <v>172</v>
      </c>
      <c r="C312" s="193" t="s">
        <v>2785</v>
      </c>
      <c r="D312" s="193" t="s">
        <v>5347</v>
      </c>
      <c r="E312" s="193" t="s">
        <v>5348</v>
      </c>
      <c r="F312" s="193" t="s">
        <v>5349</v>
      </c>
      <c r="G312" s="193" t="s">
        <v>5350</v>
      </c>
      <c r="H312" s="193" t="s">
        <v>5351</v>
      </c>
      <c r="I312" s="193" t="s">
        <v>3823</v>
      </c>
      <c r="T312" s="76"/>
    </row>
    <row r="313" spans="1:20" s="36" customFormat="1" ht="20" customHeight="1" x14ac:dyDescent="0.15">
      <c r="A313" s="5" t="s">
        <v>5851</v>
      </c>
      <c r="B313" s="193" t="s">
        <v>172</v>
      </c>
      <c r="C313" s="193" t="s">
        <v>2785</v>
      </c>
      <c r="D313" s="193" t="s">
        <v>5357</v>
      </c>
      <c r="E313" s="193" t="s">
        <v>5358</v>
      </c>
      <c r="F313" s="193"/>
      <c r="G313" s="193" t="s">
        <v>5359</v>
      </c>
      <c r="H313" s="193" t="s">
        <v>5360</v>
      </c>
      <c r="I313" s="193" t="s">
        <v>5361</v>
      </c>
      <c r="T313" s="76"/>
    </row>
    <row r="314" spans="1:20" s="36" customFormat="1" ht="20" customHeight="1" x14ac:dyDescent="0.15">
      <c r="A314" s="5" t="s">
        <v>5851</v>
      </c>
      <c r="B314" s="193" t="s">
        <v>172</v>
      </c>
      <c r="C314" s="193" t="s">
        <v>2785</v>
      </c>
      <c r="D314" s="193" t="s">
        <v>5352</v>
      </c>
      <c r="E314" s="193" t="s">
        <v>5353</v>
      </c>
      <c r="F314" s="193"/>
      <c r="G314" s="193" t="s">
        <v>5354</v>
      </c>
      <c r="H314" s="193" t="s">
        <v>5355</v>
      </c>
      <c r="I314" s="193" t="s">
        <v>5356</v>
      </c>
      <c r="T314" s="76"/>
    </row>
    <row r="315" spans="1:20" s="36" customFormat="1" ht="20" customHeight="1" x14ac:dyDescent="0.15">
      <c r="A315" s="5" t="s">
        <v>5852</v>
      </c>
      <c r="B315" s="193" t="s">
        <v>175</v>
      </c>
      <c r="C315" s="193" t="s">
        <v>2789</v>
      </c>
      <c r="D315" s="193" t="s">
        <v>5330</v>
      </c>
      <c r="E315" s="193" t="s">
        <v>5331</v>
      </c>
      <c r="F315" s="193"/>
      <c r="G315" s="193" t="s">
        <v>5332</v>
      </c>
      <c r="H315" s="193" t="s">
        <v>5333</v>
      </c>
      <c r="I315" s="193" t="s">
        <v>5334</v>
      </c>
      <c r="T315" s="76"/>
    </row>
    <row r="316" spans="1:20" s="36" customFormat="1" ht="20" customHeight="1" x14ac:dyDescent="0.15">
      <c r="A316" s="5" t="s">
        <v>5852</v>
      </c>
      <c r="B316" s="193" t="s">
        <v>175</v>
      </c>
      <c r="C316" s="193" t="s">
        <v>2789</v>
      </c>
      <c r="D316" s="193" t="s">
        <v>5175</v>
      </c>
      <c r="E316" s="193" t="s">
        <v>5176</v>
      </c>
      <c r="F316" s="193" t="s">
        <v>5177</v>
      </c>
      <c r="G316" s="193" t="s">
        <v>5178</v>
      </c>
      <c r="H316" s="193" t="s">
        <v>5179</v>
      </c>
      <c r="I316" s="193" t="s">
        <v>5180</v>
      </c>
      <c r="T316" s="76"/>
    </row>
    <row r="317" spans="1:20" s="36" customFormat="1" ht="20" customHeight="1" x14ac:dyDescent="0.15">
      <c r="A317" s="5" t="s">
        <v>5852</v>
      </c>
      <c r="B317" s="193" t="s">
        <v>175</v>
      </c>
      <c r="C317" s="193" t="s">
        <v>2789</v>
      </c>
      <c r="D317" s="193" t="s">
        <v>5192</v>
      </c>
      <c r="E317" s="193" t="s">
        <v>5193</v>
      </c>
      <c r="F317" s="193" t="s">
        <v>5194</v>
      </c>
      <c r="G317" s="193" t="s">
        <v>5195</v>
      </c>
      <c r="H317" s="193" t="s">
        <v>5196</v>
      </c>
      <c r="I317" s="193" t="s">
        <v>5197</v>
      </c>
      <c r="T317" s="76"/>
    </row>
    <row r="318" spans="1:20" s="36" customFormat="1" ht="20" customHeight="1" x14ac:dyDescent="0.15">
      <c r="A318" s="5" t="s">
        <v>5852</v>
      </c>
      <c r="B318" s="193" t="s">
        <v>175</v>
      </c>
      <c r="C318" s="193" t="s">
        <v>2789</v>
      </c>
      <c r="D318" s="193" t="s">
        <v>5187</v>
      </c>
      <c r="E318" s="193" t="s">
        <v>5188</v>
      </c>
      <c r="F318" s="193" t="s">
        <v>5189</v>
      </c>
      <c r="G318" s="193" t="s">
        <v>5190</v>
      </c>
      <c r="H318" s="193" t="s">
        <v>4424</v>
      </c>
      <c r="I318" s="193" t="s">
        <v>5191</v>
      </c>
      <c r="T318" s="76"/>
    </row>
    <row r="319" spans="1:20" s="36" customFormat="1" ht="20" customHeight="1" x14ac:dyDescent="0.15">
      <c r="A319" s="5" t="s">
        <v>5852</v>
      </c>
      <c r="B319" s="193" t="s">
        <v>175</v>
      </c>
      <c r="C319" s="193" t="s">
        <v>2789</v>
      </c>
      <c r="D319" s="193" t="s">
        <v>5198</v>
      </c>
      <c r="E319" s="193" t="s">
        <v>5199</v>
      </c>
      <c r="F319" s="193" t="s">
        <v>5200</v>
      </c>
      <c r="G319" s="193" t="s">
        <v>5201</v>
      </c>
      <c r="H319" s="193" t="s">
        <v>5202</v>
      </c>
      <c r="I319" s="193" t="s">
        <v>2953</v>
      </c>
      <c r="T319" s="76"/>
    </row>
    <row r="320" spans="1:20" s="36" customFormat="1" ht="20" customHeight="1" x14ac:dyDescent="0.15">
      <c r="A320" s="5" t="s">
        <v>5852</v>
      </c>
      <c r="B320" s="193" t="s">
        <v>175</v>
      </c>
      <c r="C320" s="193" t="s">
        <v>2789</v>
      </c>
      <c r="D320" s="193" t="s">
        <v>5313</v>
      </c>
      <c r="E320" s="193" t="s">
        <v>5314</v>
      </c>
      <c r="F320" s="193" t="s">
        <v>5315</v>
      </c>
      <c r="G320" s="193" t="s">
        <v>5316</v>
      </c>
      <c r="H320" s="193" t="s">
        <v>5317</v>
      </c>
      <c r="I320" s="193" t="s">
        <v>3004</v>
      </c>
      <c r="T320" s="76"/>
    </row>
    <row r="321" spans="1:20" s="36" customFormat="1" ht="20" customHeight="1" x14ac:dyDescent="0.15">
      <c r="A321" s="5" t="s">
        <v>5852</v>
      </c>
      <c r="B321" s="193" t="s">
        <v>175</v>
      </c>
      <c r="C321" s="193" t="s">
        <v>2789</v>
      </c>
      <c r="D321" s="193" t="s">
        <v>5275</v>
      </c>
      <c r="E321" s="193" t="s">
        <v>5276</v>
      </c>
      <c r="F321" s="193" t="s">
        <v>5277</v>
      </c>
      <c r="G321" s="193" t="s">
        <v>5278</v>
      </c>
      <c r="H321" s="193" t="s">
        <v>5279</v>
      </c>
      <c r="I321" s="193" t="s">
        <v>5280</v>
      </c>
      <c r="T321" s="76"/>
    </row>
    <row r="322" spans="1:20" s="36" customFormat="1" ht="20" customHeight="1" x14ac:dyDescent="0.15">
      <c r="A322" s="5" t="s">
        <v>5852</v>
      </c>
      <c r="B322" s="193" t="s">
        <v>175</v>
      </c>
      <c r="C322" s="193" t="s">
        <v>2789</v>
      </c>
      <c r="D322" s="193" t="s">
        <v>5270</v>
      </c>
      <c r="E322" s="193" t="s">
        <v>5271</v>
      </c>
      <c r="F322" s="193" t="s">
        <v>5272</v>
      </c>
      <c r="G322" s="193" t="s">
        <v>5273</v>
      </c>
      <c r="H322" s="193" t="s">
        <v>5274</v>
      </c>
      <c r="I322" s="193" t="s">
        <v>2890</v>
      </c>
      <c r="T322" s="76"/>
    </row>
    <row r="323" spans="1:20" s="36" customFormat="1" ht="20" customHeight="1" x14ac:dyDescent="0.15">
      <c r="A323" s="5" t="s">
        <v>5852</v>
      </c>
      <c r="B323" s="193" t="s">
        <v>175</v>
      </c>
      <c r="C323" s="193" t="s">
        <v>2789</v>
      </c>
      <c r="D323" s="193" t="s">
        <v>5259</v>
      </c>
      <c r="E323" s="193" t="s">
        <v>5260</v>
      </c>
      <c r="F323" s="193" t="s">
        <v>5261</v>
      </c>
      <c r="G323" s="193" t="s">
        <v>5262</v>
      </c>
      <c r="H323" s="193" t="s">
        <v>5263</v>
      </c>
      <c r="I323" s="193" t="s">
        <v>3050</v>
      </c>
      <c r="T323" s="76"/>
    </row>
    <row r="324" spans="1:20" s="36" customFormat="1" ht="20" customHeight="1" x14ac:dyDescent="0.15">
      <c r="A324" s="5" t="s">
        <v>5852</v>
      </c>
      <c r="B324" s="193" t="s">
        <v>175</v>
      </c>
      <c r="C324" s="193" t="s">
        <v>2789</v>
      </c>
      <c r="D324" s="193" t="s">
        <v>5309</v>
      </c>
      <c r="E324" s="193" t="s">
        <v>5310</v>
      </c>
      <c r="F324" s="193"/>
      <c r="G324" s="193" t="s">
        <v>5311</v>
      </c>
      <c r="H324" s="193" t="s">
        <v>5781</v>
      </c>
      <c r="I324" s="193" t="s">
        <v>5312</v>
      </c>
      <c r="T324" s="76"/>
    </row>
    <row r="325" spans="1:20" s="36" customFormat="1" ht="20" customHeight="1" x14ac:dyDescent="0.15">
      <c r="A325" s="5" t="s">
        <v>5852</v>
      </c>
      <c r="B325" s="193" t="s">
        <v>175</v>
      </c>
      <c r="C325" s="193" t="s">
        <v>2789</v>
      </c>
      <c r="D325" s="193" t="s">
        <v>5243</v>
      </c>
      <c r="E325" s="193" t="s">
        <v>5244</v>
      </c>
      <c r="F325" s="193" t="s">
        <v>5245</v>
      </c>
      <c r="G325" s="193" t="s">
        <v>5246</v>
      </c>
      <c r="H325" s="193" t="s">
        <v>5247</v>
      </c>
      <c r="I325" s="193" t="s">
        <v>5248</v>
      </c>
      <c r="T325" s="76"/>
    </row>
    <row r="326" spans="1:20" s="36" customFormat="1" ht="20" customHeight="1" x14ac:dyDescent="0.15">
      <c r="A326" s="5" t="s">
        <v>5852</v>
      </c>
      <c r="B326" s="193" t="s">
        <v>175</v>
      </c>
      <c r="C326" s="193" t="s">
        <v>2789</v>
      </c>
      <c r="D326" s="193" t="s">
        <v>5232</v>
      </c>
      <c r="E326" s="193" t="s">
        <v>5233</v>
      </c>
      <c r="F326" s="193" t="s">
        <v>5234</v>
      </c>
      <c r="G326" s="193" t="s">
        <v>5235</v>
      </c>
      <c r="H326" s="193" t="s">
        <v>5236</v>
      </c>
      <c r="I326" s="193" t="s">
        <v>3004</v>
      </c>
      <c r="T326" s="76"/>
    </row>
    <row r="327" spans="1:20" s="36" customFormat="1" ht="20" customHeight="1" x14ac:dyDescent="0.15">
      <c r="A327" s="5" t="s">
        <v>5852</v>
      </c>
      <c r="B327" s="193" t="s">
        <v>175</v>
      </c>
      <c r="C327" s="193" t="s">
        <v>2789</v>
      </c>
      <c r="D327" s="193" t="s">
        <v>5324</v>
      </c>
      <c r="E327" s="193" t="s">
        <v>5325</v>
      </c>
      <c r="F327" s="193" t="s">
        <v>5326</v>
      </c>
      <c r="G327" s="193" t="s">
        <v>5327</v>
      </c>
      <c r="H327" s="193" t="s">
        <v>5328</v>
      </c>
      <c r="I327" s="193" t="s">
        <v>5329</v>
      </c>
      <c r="T327" s="76"/>
    </row>
    <row r="328" spans="1:20" s="36" customFormat="1" ht="20" customHeight="1" x14ac:dyDescent="0.15">
      <c r="A328" s="5" t="s">
        <v>5852</v>
      </c>
      <c r="B328" s="193" t="s">
        <v>175</v>
      </c>
      <c r="C328" s="193" t="s">
        <v>2789</v>
      </c>
      <c r="D328" s="193" t="s">
        <v>5249</v>
      </c>
      <c r="E328" s="193" t="s">
        <v>5250</v>
      </c>
      <c r="F328" s="193" t="s">
        <v>5251</v>
      </c>
      <c r="G328" s="193" t="s">
        <v>5252</v>
      </c>
      <c r="H328" s="193" t="s">
        <v>5253</v>
      </c>
      <c r="I328" s="193" t="s">
        <v>2919</v>
      </c>
      <c r="T328" s="76"/>
    </row>
    <row r="329" spans="1:20" s="36" customFormat="1" ht="20" customHeight="1" x14ac:dyDescent="0.15">
      <c r="A329" s="5" t="s">
        <v>5852</v>
      </c>
      <c r="B329" s="193" t="s">
        <v>175</v>
      </c>
      <c r="C329" s="193" t="s">
        <v>2789</v>
      </c>
      <c r="D329" s="193" t="s">
        <v>5303</v>
      </c>
      <c r="E329" s="193" t="s">
        <v>5304</v>
      </c>
      <c r="F329" s="193" t="s">
        <v>5305</v>
      </c>
      <c r="G329" s="193" t="s">
        <v>5306</v>
      </c>
      <c r="H329" s="193" t="s">
        <v>5307</v>
      </c>
      <c r="I329" s="193" t="s">
        <v>5308</v>
      </c>
      <c r="T329" s="76"/>
    </row>
    <row r="330" spans="1:20" s="36" customFormat="1" ht="20" customHeight="1" x14ac:dyDescent="0.15">
      <c r="A330" s="5" t="s">
        <v>5852</v>
      </c>
      <c r="B330" s="193" t="s">
        <v>175</v>
      </c>
      <c r="C330" s="193" t="s">
        <v>2789</v>
      </c>
      <c r="D330" s="193" t="s">
        <v>5181</v>
      </c>
      <c r="E330" s="193" t="s">
        <v>5182</v>
      </c>
      <c r="F330" s="193" t="s">
        <v>5183</v>
      </c>
      <c r="G330" s="193" t="s">
        <v>5184</v>
      </c>
      <c r="H330" s="193" t="s">
        <v>5185</v>
      </c>
      <c r="I330" s="193" t="s">
        <v>5186</v>
      </c>
      <c r="T330" s="76"/>
    </row>
    <row r="331" spans="1:20" s="36" customFormat="1" ht="20" customHeight="1" x14ac:dyDescent="0.15">
      <c r="A331" s="5" t="s">
        <v>5852</v>
      </c>
      <c r="B331" s="193" t="s">
        <v>175</v>
      </c>
      <c r="C331" s="193" t="s">
        <v>2789</v>
      </c>
      <c r="D331" s="193" t="s">
        <v>5281</v>
      </c>
      <c r="E331" s="193" t="s">
        <v>5282</v>
      </c>
      <c r="F331" s="193" t="s">
        <v>5283</v>
      </c>
      <c r="G331" s="193" t="s">
        <v>5284</v>
      </c>
      <c r="H331" s="193" t="s">
        <v>5285</v>
      </c>
      <c r="I331" s="193" t="s">
        <v>5286</v>
      </c>
      <c r="T331" s="76"/>
    </row>
    <row r="332" spans="1:20" s="36" customFormat="1" ht="20" customHeight="1" x14ac:dyDescent="0.15">
      <c r="A332" s="5" t="s">
        <v>5852</v>
      </c>
      <c r="B332" s="193" t="s">
        <v>175</v>
      </c>
      <c r="C332" s="193" t="s">
        <v>2789</v>
      </c>
      <c r="D332" s="193" t="s">
        <v>5318</v>
      </c>
      <c r="E332" s="193" t="s">
        <v>5319</v>
      </c>
      <c r="F332" s="193" t="s">
        <v>5320</v>
      </c>
      <c r="G332" s="193" t="s">
        <v>5321</v>
      </c>
      <c r="H332" s="193" t="s">
        <v>5322</v>
      </c>
      <c r="I332" s="193" t="s">
        <v>5323</v>
      </c>
      <c r="T332" s="76"/>
    </row>
    <row r="333" spans="1:20" s="36" customFormat="1" ht="20" customHeight="1" x14ac:dyDescent="0.15">
      <c r="A333" s="5" t="s">
        <v>5852</v>
      </c>
      <c r="B333" s="193" t="s">
        <v>175</v>
      </c>
      <c r="C333" s="193" t="s">
        <v>2789</v>
      </c>
      <c r="D333" s="193" t="s">
        <v>5254</v>
      </c>
      <c r="E333" s="193" t="s">
        <v>5255</v>
      </c>
      <c r="F333" s="193" t="s">
        <v>5256</v>
      </c>
      <c r="G333" s="193" t="s">
        <v>5257</v>
      </c>
      <c r="H333" s="193" t="s">
        <v>5258</v>
      </c>
      <c r="I333" s="193" t="s">
        <v>3107</v>
      </c>
      <c r="T333" s="76"/>
    </row>
    <row r="334" spans="1:20" s="36" customFormat="1" ht="20" customHeight="1" x14ac:dyDescent="0.15">
      <c r="A334" s="5" t="s">
        <v>5852</v>
      </c>
      <c r="B334" s="193" t="s">
        <v>175</v>
      </c>
      <c r="C334" s="193" t="s">
        <v>2789</v>
      </c>
      <c r="D334" s="193" t="s">
        <v>5264</v>
      </c>
      <c r="E334" s="193" t="s">
        <v>5265</v>
      </c>
      <c r="F334" s="193" t="s">
        <v>5266</v>
      </c>
      <c r="G334" s="193" t="s">
        <v>5267</v>
      </c>
      <c r="H334" s="193" t="s">
        <v>5268</v>
      </c>
      <c r="I334" s="193" t="s">
        <v>5269</v>
      </c>
      <c r="T334" s="76"/>
    </row>
    <row r="335" spans="1:20" s="36" customFormat="1" ht="20" customHeight="1" x14ac:dyDescent="0.15">
      <c r="A335" s="5" t="s">
        <v>5852</v>
      </c>
      <c r="B335" s="193" t="s">
        <v>175</v>
      </c>
      <c r="C335" s="193" t="s">
        <v>2789</v>
      </c>
      <c r="D335" s="193" t="s">
        <v>5203</v>
      </c>
      <c r="E335" s="193" t="s">
        <v>5204</v>
      </c>
      <c r="F335" s="193" t="s">
        <v>5205</v>
      </c>
      <c r="G335" s="193" t="s">
        <v>5206</v>
      </c>
      <c r="H335" s="193" t="s">
        <v>5207</v>
      </c>
      <c r="I335" s="193" t="s">
        <v>5208</v>
      </c>
      <c r="T335" s="76"/>
    </row>
    <row r="336" spans="1:20" s="36" customFormat="1" ht="20" customHeight="1" x14ac:dyDescent="0.15">
      <c r="A336" s="5" t="s">
        <v>5852</v>
      </c>
      <c r="B336" s="193" t="s">
        <v>175</v>
      </c>
      <c r="C336" s="193" t="s">
        <v>2789</v>
      </c>
      <c r="D336" s="193" t="s">
        <v>5287</v>
      </c>
      <c r="E336" s="193" t="s">
        <v>5288</v>
      </c>
      <c r="F336" s="193" t="s">
        <v>5289</v>
      </c>
      <c r="G336" s="193" t="s">
        <v>5290</v>
      </c>
      <c r="H336" s="193" t="s">
        <v>5291</v>
      </c>
      <c r="I336" s="193" t="s">
        <v>4727</v>
      </c>
      <c r="T336" s="76"/>
    </row>
    <row r="337" spans="1:20" s="36" customFormat="1" ht="20" customHeight="1" x14ac:dyDescent="0.15">
      <c r="A337" s="5" t="s">
        <v>5852</v>
      </c>
      <c r="B337" s="193" t="s">
        <v>175</v>
      </c>
      <c r="C337" s="193" t="s">
        <v>2789</v>
      </c>
      <c r="D337" s="193" t="s">
        <v>5226</v>
      </c>
      <c r="E337" s="193" t="s">
        <v>5227</v>
      </c>
      <c r="F337" s="193" t="s">
        <v>5228</v>
      </c>
      <c r="G337" s="193" t="s">
        <v>5229</v>
      </c>
      <c r="H337" s="193" t="s">
        <v>5230</v>
      </c>
      <c r="I337" s="193" t="s">
        <v>5231</v>
      </c>
      <c r="T337" s="76"/>
    </row>
    <row r="338" spans="1:20" s="36" customFormat="1" ht="20" customHeight="1" x14ac:dyDescent="0.15">
      <c r="A338" s="5" t="s">
        <v>5852</v>
      </c>
      <c r="B338" s="193" t="s">
        <v>175</v>
      </c>
      <c r="C338" s="193" t="s">
        <v>2789</v>
      </c>
      <c r="D338" s="193" t="s">
        <v>5298</v>
      </c>
      <c r="E338" s="193" t="s">
        <v>5299</v>
      </c>
      <c r="F338" s="193" t="s">
        <v>5300</v>
      </c>
      <c r="G338" s="193" t="s">
        <v>5301</v>
      </c>
      <c r="H338" s="193" t="s">
        <v>5302</v>
      </c>
      <c r="I338" s="193" t="s">
        <v>3056</v>
      </c>
      <c r="T338" s="76"/>
    </row>
    <row r="339" spans="1:20" s="36" customFormat="1" ht="20" customHeight="1" x14ac:dyDescent="0.15">
      <c r="A339" s="5" t="s">
        <v>5852</v>
      </c>
      <c r="B339" s="193" t="s">
        <v>175</v>
      </c>
      <c r="C339" s="193" t="s">
        <v>2789</v>
      </c>
      <c r="D339" s="193" t="s">
        <v>5220</v>
      </c>
      <c r="E339" s="193" t="s">
        <v>5221</v>
      </c>
      <c r="F339" s="193" t="s">
        <v>5222</v>
      </c>
      <c r="G339" s="193" t="s">
        <v>5223</v>
      </c>
      <c r="H339" s="193" t="s">
        <v>5224</v>
      </c>
      <c r="I339" s="193" t="s">
        <v>5225</v>
      </c>
      <c r="T339" s="76"/>
    </row>
    <row r="340" spans="1:20" s="36" customFormat="1" ht="20" customHeight="1" x14ac:dyDescent="0.15">
      <c r="A340" s="5" t="s">
        <v>5852</v>
      </c>
      <c r="B340" s="193" t="s">
        <v>175</v>
      </c>
      <c r="C340" s="193" t="s">
        <v>2789</v>
      </c>
      <c r="D340" s="193" t="s">
        <v>5214</v>
      </c>
      <c r="E340" s="193" t="s">
        <v>5215</v>
      </c>
      <c r="F340" s="193" t="s">
        <v>5216</v>
      </c>
      <c r="G340" s="193" t="s">
        <v>5217</v>
      </c>
      <c r="H340" s="193" t="s">
        <v>5218</v>
      </c>
      <c r="I340" s="193" t="s">
        <v>5219</v>
      </c>
      <c r="T340" s="76"/>
    </row>
    <row r="341" spans="1:20" s="36" customFormat="1" ht="20" customHeight="1" x14ac:dyDescent="0.15">
      <c r="A341" s="5" t="s">
        <v>5852</v>
      </c>
      <c r="B341" s="193" t="s">
        <v>175</v>
      </c>
      <c r="C341" s="193" t="s">
        <v>2789</v>
      </c>
      <c r="D341" s="193" t="s">
        <v>5237</v>
      </c>
      <c r="E341" s="193" t="s">
        <v>5238</v>
      </c>
      <c r="F341" s="193" t="s">
        <v>5239</v>
      </c>
      <c r="G341" s="193" t="s">
        <v>5240</v>
      </c>
      <c r="H341" s="193" t="s">
        <v>5241</v>
      </c>
      <c r="I341" s="193" t="s">
        <v>5242</v>
      </c>
      <c r="T341" s="76"/>
    </row>
    <row r="342" spans="1:20" s="36" customFormat="1" ht="20" customHeight="1" x14ac:dyDescent="0.15">
      <c r="A342" s="5" t="s">
        <v>5852</v>
      </c>
      <c r="B342" s="193" t="s">
        <v>175</v>
      </c>
      <c r="C342" s="193" t="s">
        <v>2789</v>
      </c>
      <c r="D342" s="193" t="s">
        <v>5292</v>
      </c>
      <c r="E342" s="193" t="s">
        <v>5293</v>
      </c>
      <c r="F342" s="193" t="s">
        <v>5294</v>
      </c>
      <c r="G342" s="193" t="s">
        <v>5295</v>
      </c>
      <c r="H342" s="193" t="s">
        <v>5296</v>
      </c>
      <c r="I342" s="193" t="s">
        <v>5297</v>
      </c>
      <c r="T342" s="76"/>
    </row>
    <row r="343" spans="1:20" s="36" customFormat="1" ht="20" customHeight="1" x14ac:dyDescent="0.15">
      <c r="A343" s="5" t="s">
        <v>5852</v>
      </c>
      <c r="B343" s="193" t="s">
        <v>175</v>
      </c>
      <c r="C343" s="193" t="s">
        <v>2789</v>
      </c>
      <c r="D343" s="193" t="s">
        <v>5209</v>
      </c>
      <c r="E343" s="193" t="s">
        <v>5210</v>
      </c>
      <c r="F343" s="193" t="s">
        <v>5211</v>
      </c>
      <c r="G343" s="193" t="s">
        <v>5212</v>
      </c>
      <c r="H343" s="193" t="s">
        <v>5213</v>
      </c>
      <c r="I343" s="193" t="s">
        <v>4975</v>
      </c>
      <c r="T343" s="76"/>
    </row>
    <row r="344" spans="1:20" s="36" customFormat="1" ht="20" customHeight="1" x14ac:dyDescent="0.15">
      <c r="A344" s="5" t="s">
        <v>5853</v>
      </c>
      <c r="B344" s="193" t="s">
        <v>178</v>
      </c>
      <c r="C344" s="193" t="s">
        <v>2794</v>
      </c>
      <c r="D344" s="193" t="s">
        <v>5144</v>
      </c>
      <c r="E344" s="193" t="s">
        <v>5145</v>
      </c>
      <c r="F344" s="193" t="s">
        <v>5145</v>
      </c>
      <c r="G344" s="193">
        <v>8445</v>
      </c>
      <c r="H344" s="193" t="s">
        <v>5146</v>
      </c>
      <c r="I344" s="193" t="s">
        <v>3934</v>
      </c>
      <c r="T344" s="76"/>
    </row>
    <row r="345" spans="1:20" s="36" customFormat="1" ht="20" customHeight="1" x14ac:dyDescent="0.15">
      <c r="A345" s="5" t="s">
        <v>5853</v>
      </c>
      <c r="B345" s="193" t="s">
        <v>178</v>
      </c>
      <c r="C345" s="193" t="s">
        <v>2794</v>
      </c>
      <c r="D345" s="193" t="s">
        <v>5162</v>
      </c>
      <c r="E345" s="193" t="s">
        <v>5163</v>
      </c>
      <c r="F345" s="193" t="s">
        <v>5164</v>
      </c>
      <c r="G345" s="193" t="s">
        <v>5165</v>
      </c>
      <c r="H345" s="193" t="s">
        <v>5166</v>
      </c>
      <c r="I345" s="193" t="s">
        <v>5756</v>
      </c>
      <c r="T345" s="76"/>
    </row>
    <row r="346" spans="1:20" s="36" customFormat="1" ht="20" customHeight="1" x14ac:dyDescent="0.15">
      <c r="A346" s="5" t="s">
        <v>5853</v>
      </c>
      <c r="B346" s="193" t="s">
        <v>178</v>
      </c>
      <c r="C346" s="193" t="s">
        <v>2794</v>
      </c>
      <c r="D346" s="193" t="s">
        <v>5147</v>
      </c>
      <c r="E346" s="193" t="s">
        <v>5148</v>
      </c>
      <c r="F346" s="193" t="s">
        <v>5171</v>
      </c>
      <c r="G346" s="193" t="s">
        <v>5149</v>
      </c>
      <c r="H346" s="193" t="s">
        <v>5150</v>
      </c>
      <c r="I346" s="193" t="s">
        <v>5757</v>
      </c>
      <c r="T346" s="76"/>
    </row>
    <row r="347" spans="1:20" s="36" customFormat="1" ht="20" customHeight="1" x14ac:dyDescent="0.15">
      <c r="A347" s="5" t="s">
        <v>5853</v>
      </c>
      <c r="B347" s="193" t="s">
        <v>178</v>
      </c>
      <c r="C347" s="193" t="s">
        <v>2794</v>
      </c>
      <c r="D347" s="193" t="s">
        <v>5151</v>
      </c>
      <c r="E347" s="193" t="s">
        <v>5152</v>
      </c>
      <c r="F347" s="193" t="s">
        <v>5172</v>
      </c>
      <c r="G347" s="193" t="s">
        <v>5153</v>
      </c>
      <c r="H347" s="193" t="s">
        <v>5143</v>
      </c>
      <c r="I347" s="193" t="s">
        <v>4975</v>
      </c>
      <c r="T347" s="76"/>
    </row>
    <row r="348" spans="1:20" s="36" customFormat="1" ht="20" customHeight="1" x14ac:dyDescent="0.15">
      <c r="A348" s="5" t="s">
        <v>5853</v>
      </c>
      <c r="B348" s="193" t="s">
        <v>178</v>
      </c>
      <c r="C348" s="193" t="s">
        <v>2794</v>
      </c>
      <c r="D348" s="193" t="s">
        <v>5154</v>
      </c>
      <c r="E348" s="193" t="s">
        <v>5155</v>
      </c>
      <c r="F348" s="193" t="s">
        <v>5173</v>
      </c>
      <c r="G348" s="193" t="s">
        <v>5156</v>
      </c>
      <c r="H348" s="193" t="s">
        <v>5157</v>
      </c>
      <c r="I348" s="193" t="s">
        <v>5758</v>
      </c>
      <c r="T348" s="76"/>
    </row>
    <row r="349" spans="1:20" s="36" customFormat="1" ht="20" customHeight="1" x14ac:dyDescent="0.15">
      <c r="A349" s="5" t="s">
        <v>5853</v>
      </c>
      <c r="B349" s="193" t="s">
        <v>178</v>
      </c>
      <c r="C349" s="193" t="s">
        <v>2794</v>
      </c>
      <c r="D349" s="193" t="s">
        <v>5167</v>
      </c>
      <c r="E349" s="193" t="s">
        <v>5168</v>
      </c>
      <c r="F349" s="193" t="s">
        <v>5169</v>
      </c>
      <c r="G349" s="193" t="s">
        <v>5170</v>
      </c>
      <c r="H349" s="193" t="s">
        <v>5146</v>
      </c>
      <c r="I349" s="193" t="s">
        <v>3934</v>
      </c>
      <c r="T349" s="76"/>
    </row>
    <row r="350" spans="1:20" s="36" customFormat="1" ht="20" customHeight="1" x14ac:dyDescent="0.15">
      <c r="A350" s="5" t="s">
        <v>5853</v>
      </c>
      <c r="B350" s="193" t="s">
        <v>178</v>
      </c>
      <c r="C350" s="193" t="s">
        <v>2794</v>
      </c>
      <c r="D350" s="193" t="s">
        <v>5141</v>
      </c>
      <c r="E350" s="193" t="s">
        <v>5142</v>
      </c>
      <c r="F350" s="193" t="s">
        <v>5142</v>
      </c>
      <c r="G350" s="193">
        <v>8444</v>
      </c>
      <c r="H350" s="193" t="s">
        <v>5143</v>
      </c>
      <c r="I350" s="193" t="s">
        <v>4975</v>
      </c>
      <c r="T350" s="76"/>
    </row>
    <row r="351" spans="1:20" s="36" customFormat="1" ht="20" customHeight="1" x14ac:dyDescent="0.15">
      <c r="A351" s="5" t="s">
        <v>5853</v>
      </c>
      <c r="B351" s="193" t="s">
        <v>178</v>
      </c>
      <c r="C351" s="193" t="s">
        <v>2794</v>
      </c>
      <c r="D351" s="193" t="s">
        <v>5158</v>
      </c>
      <c r="E351" s="193" t="s">
        <v>5159</v>
      </c>
      <c r="F351" s="193" t="s">
        <v>5174</v>
      </c>
      <c r="G351" s="193" t="s">
        <v>5160</v>
      </c>
      <c r="H351" s="193" t="s">
        <v>5161</v>
      </c>
      <c r="I351" s="193" t="s">
        <v>5759</v>
      </c>
      <c r="T351" s="76"/>
    </row>
    <row r="352" spans="1:20" s="36" customFormat="1" ht="20" customHeight="1" x14ac:dyDescent="0.15">
      <c r="A352" s="5" t="s">
        <v>5854</v>
      </c>
      <c r="B352" s="193" t="s">
        <v>181</v>
      </c>
      <c r="C352" s="193" t="s">
        <v>2790</v>
      </c>
      <c r="D352" s="193" t="s">
        <v>5101</v>
      </c>
      <c r="E352" s="193" t="s">
        <v>5102</v>
      </c>
      <c r="F352" s="193" t="s">
        <v>5103</v>
      </c>
      <c r="G352" s="193" t="s">
        <v>5104</v>
      </c>
      <c r="H352" s="193" t="s">
        <v>5105</v>
      </c>
      <c r="I352" s="193" t="s">
        <v>5106</v>
      </c>
      <c r="T352" s="76"/>
    </row>
    <row r="353" spans="1:20" s="36" customFormat="1" ht="20" customHeight="1" x14ac:dyDescent="0.15">
      <c r="A353" s="5" t="s">
        <v>5854</v>
      </c>
      <c r="B353" s="193" t="s">
        <v>181</v>
      </c>
      <c r="C353" s="193" t="s">
        <v>2790</v>
      </c>
      <c r="D353" s="193" t="s">
        <v>5088</v>
      </c>
      <c r="E353" s="193" t="s">
        <v>5089</v>
      </c>
      <c r="F353" s="193" t="s">
        <v>5090</v>
      </c>
      <c r="G353" s="193" t="s">
        <v>5091</v>
      </c>
      <c r="H353" s="193" t="s">
        <v>5092</v>
      </c>
      <c r="I353" s="193" t="s">
        <v>3256</v>
      </c>
      <c r="T353" s="76"/>
    </row>
    <row r="354" spans="1:20" s="36" customFormat="1" ht="20" customHeight="1" x14ac:dyDescent="0.15">
      <c r="A354" s="5" t="s">
        <v>5854</v>
      </c>
      <c r="B354" s="193" t="s">
        <v>181</v>
      </c>
      <c r="C354" s="193" t="s">
        <v>2790</v>
      </c>
      <c r="D354" s="193" t="s">
        <v>5126</v>
      </c>
      <c r="E354" s="193" t="s">
        <v>5127</v>
      </c>
      <c r="F354" s="193" t="s">
        <v>5128</v>
      </c>
      <c r="G354" s="193" t="s">
        <v>5129</v>
      </c>
      <c r="H354" s="193" t="s">
        <v>5782</v>
      </c>
      <c r="I354" s="193" t="s">
        <v>5810</v>
      </c>
      <c r="T354" s="76"/>
    </row>
    <row r="355" spans="1:20" s="36" customFormat="1" ht="20" customHeight="1" x14ac:dyDescent="0.15">
      <c r="A355" s="5" t="s">
        <v>5854</v>
      </c>
      <c r="B355" s="193" t="s">
        <v>181</v>
      </c>
      <c r="C355" s="193" t="s">
        <v>2790</v>
      </c>
      <c r="D355" s="193" t="s">
        <v>5107</v>
      </c>
      <c r="E355" s="193" t="s">
        <v>5108</v>
      </c>
      <c r="F355" s="193" t="s">
        <v>5109</v>
      </c>
      <c r="G355" s="193" t="s">
        <v>5110</v>
      </c>
      <c r="H355" s="193" t="s">
        <v>5092</v>
      </c>
      <c r="I355" s="193" t="s">
        <v>3256</v>
      </c>
      <c r="T355" s="76"/>
    </row>
    <row r="356" spans="1:20" s="36" customFormat="1" ht="20" customHeight="1" x14ac:dyDescent="0.15">
      <c r="A356" s="5" t="s">
        <v>5854</v>
      </c>
      <c r="B356" s="193" t="s">
        <v>181</v>
      </c>
      <c r="C356" s="193" t="s">
        <v>2790</v>
      </c>
      <c r="D356" s="193" t="s">
        <v>5025</v>
      </c>
      <c r="E356" s="193" t="s">
        <v>5026</v>
      </c>
      <c r="F356" s="193" t="s">
        <v>5027</v>
      </c>
      <c r="G356" s="193" t="s">
        <v>5028</v>
      </c>
      <c r="H356" s="193" t="s">
        <v>5783</v>
      </c>
      <c r="I356" s="193" t="s">
        <v>5811</v>
      </c>
      <c r="T356" s="76"/>
    </row>
    <row r="357" spans="1:20" s="36" customFormat="1" ht="20" customHeight="1" x14ac:dyDescent="0.15">
      <c r="A357" s="5" t="s">
        <v>5854</v>
      </c>
      <c r="B357" s="193" t="s">
        <v>181</v>
      </c>
      <c r="C357" s="193" t="s">
        <v>2790</v>
      </c>
      <c r="D357" s="193" t="s">
        <v>4998</v>
      </c>
      <c r="E357" s="193" t="s">
        <v>4999</v>
      </c>
      <c r="F357" s="193" t="s">
        <v>5000</v>
      </c>
      <c r="G357" s="193" t="s">
        <v>5001</v>
      </c>
      <c r="H357" s="193" t="s">
        <v>5002</v>
      </c>
      <c r="I357" s="193" t="s">
        <v>4063</v>
      </c>
      <c r="T357" s="76"/>
    </row>
    <row r="358" spans="1:20" s="36" customFormat="1" ht="20" customHeight="1" x14ac:dyDescent="0.15">
      <c r="A358" s="5" t="s">
        <v>5854</v>
      </c>
      <c r="B358" s="193" t="s">
        <v>181</v>
      </c>
      <c r="C358" s="193" t="s">
        <v>2790</v>
      </c>
      <c r="D358" s="193" t="s">
        <v>5003</v>
      </c>
      <c r="E358" s="193" t="s">
        <v>5004</v>
      </c>
      <c r="F358" s="193" t="s">
        <v>5005</v>
      </c>
      <c r="G358" s="193" t="s">
        <v>5006</v>
      </c>
      <c r="H358" s="193" t="s">
        <v>5007</v>
      </c>
      <c r="I358" s="193" t="s">
        <v>5768</v>
      </c>
      <c r="T358" s="76"/>
    </row>
    <row r="359" spans="1:20" s="36" customFormat="1" ht="20" customHeight="1" x14ac:dyDescent="0.15">
      <c r="A359" s="5" t="s">
        <v>5854</v>
      </c>
      <c r="B359" s="193" t="s">
        <v>181</v>
      </c>
      <c r="C359" s="193" t="s">
        <v>2790</v>
      </c>
      <c r="D359" s="193" t="s">
        <v>5076</v>
      </c>
      <c r="E359" s="193" t="s">
        <v>5077</v>
      </c>
      <c r="F359" s="193" t="s">
        <v>5078</v>
      </c>
      <c r="G359" s="193" t="s">
        <v>5079</v>
      </c>
      <c r="H359" s="193" t="s">
        <v>5080</v>
      </c>
      <c r="I359" s="193" t="s">
        <v>5081</v>
      </c>
      <c r="T359" s="76"/>
    </row>
    <row r="360" spans="1:20" s="36" customFormat="1" ht="20" customHeight="1" x14ac:dyDescent="0.15">
      <c r="A360" s="5" t="s">
        <v>5854</v>
      </c>
      <c r="B360" s="193" t="s">
        <v>181</v>
      </c>
      <c r="C360" s="193" t="s">
        <v>2790</v>
      </c>
      <c r="D360" s="193" t="s">
        <v>4994</v>
      </c>
      <c r="E360" s="193" t="s">
        <v>4995</v>
      </c>
      <c r="F360" s="193" t="s">
        <v>4996</v>
      </c>
      <c r="G360" s="193" t="s">
        <v>4997</v>
      </c>
      <c r="H360" s="193" t="s">
        <v>5764</v>
      </c>
      <c r="I360" s="193" t="s">
        <v>5765</v>
      </c>
      <c r="T360" s="76"/>
    </row>
    <row r="361" spans="1:20" s="36" customFormat="1" ht="20" customHeight="1" x14ac:dyDescent="0.15">
      <c r="A361" s="5" t="s">
        <v>5854</v>
      </c>
      <c r="B361" s="193" t="s">
        <v>181</v>
      </c>
      <c r="C361" s="193" t="s">
        <v>2790</v>
      </c>
      <c r="D361" s="193" t="s">
        <v>5072</v>
      </c>
      <c r="E361" s="193" t="s">
        <v>5073</v>
      </c>
      <c r="F361" s="193" t="s">
        <v>5074</v>
      </c>
      <c r="G361" s="193" t="s">
        <v>5075</v>
      </c>
      <c r="H361" s="193" t="s">
        <v>5784</v>
      </c>
      <c r="I361" s="193" t="s">
        <v>5812</v>
      </c>
      <c r="T361" s="76"/>
    </row>
    <row r="362" spans="1:20" s="36" customFormat="1" ht="20" customHeight="1" x14ac:dyDescent="0.15">
      <c r="A362" s="5" t="s">
        <v>5854</v>
      </c>
      <c r="B362" s="193" t="s">
        <v>181</v>
      </c>
      <c r="C362" s="193" t="s">
        <v>2790</v>
      </c>
      <c r="D362" s="193" t="s">
        <v>5029</v>
      </c>
      <c r="E362" s="193" t="s">
        <v>5030</v>
      </c>
      <c r="F362" s="193" t="s">
        <v>5031</v>
      </c>
      <c r="G362" s="193" t="s">
        <v>5032</v>
      </c>
      <c r="H362" s="193" t="s">
        <v>5785</v>
      </c>
      <c r="I362" s="193" t="s">
        <v>5813</v>
      </c>
      <c r="T362" s="76"/>
    </row>
    <row r="363" spans="1:20" s="36" customFormat="1" ht="20" customHeight="1" x14ac:dyDescent="0.15">
      <c r="A363" s="5" t="s">
        <v>5854</v>
      </c>
      <c r="B363" s="193" t="s">
        <v>181</v>
      </c>
      <c r="C363" s="193" t="s">
        <v>2790</v>
      </c>
      <c r="D363" s="193" t="s">
        <v>5097</v>
      </c>
      <c r="E363" s="193" t="s">
        <v>5098</v>
      </c>
      <c r="F363" s="193" t="s">
        <v>5099</v>
      </c>
      <c r="G363" s="193" t="s">
        <v>5100</v>
      </c>
      <c r="H363" s="193" t="s">
        <v>5786</v>
      </c>
      <c r="I363" s="193" t="s">
        <v>5814</v>
      </c>
      <c r="T363" s="76"/>
    </row>
    <row r="364" spans="1:20" s="36" customFormat="1" ht="20" customHeight="1" x14ac:dyDescent="0.15">
      <c r="A364" s="5" t="s">
        <v>5854</v>
      </c>
      <c r="B364" s="193" t="s">
        <v>181</v>
      </c>
      <c r="C364" s="193" t="s">
        <v>2790</v>
      </c>
      <c r="D364" s="193" t="s">
        <v>5008</v>
      </c>
      <c r="E364" s="193" t="s">
        <v>5009</v>
      </c>
      <c r="F364" s="193" t="s">
        <v>5010</v>
      </c>
      <c r="G364" s="193" t="s">
        <v>5011</v>
      </c>
      <c r="H364" s="193" t="s">
        <v>5766</v>
      </c>
      <c r="I364" s="193" t="s">
        <v>5767</v>
      </c>
      <c r="T364" s="76"/>
    </row>
    <row r="365" spans="1:20" s="36" customFormat="1" ht="20" customHeight="1" x14ac:dyDescent="0.15">
      <c r="A365" s="5" t="s">
        <v>5854</v>
      </c>
      <c r="B365" s="193" t="s">
        <v>181</v>
      </c>
      <c r="C365" s="193" t="s">
        <v>2790</v>
      </c>
      <c r="D365" s="193" t="s">
        <v>4986</v>
      </c>
      <c r="E365" s="193" t="s">
        <v>4987</v>
      </c>
      <c r="F365" s="193" t="s">
        <v>4988</v>
      </c>
      <c r="G365" s="193" t="s">
        <v>4989</v>
      </c>
      <c r="H365" s="193" t="s">
        <v>5760</v>
      </c>
      <c r="I365" s="193" t="s">
        <v>5761</v>
      </c>
      <c r="T365" s="76"/>
    </row>
    <row r="366" spans="1:20" s="36" customFormat="1" ht="20" customHeight="1" x14ac:dyDescent="0.15">
      <c r="A366" s="5" t="s">
        <v>5854</v>
      </c>
      <c r="B366" s="193" t="s">
        <v>181</v>
      </c>
      <c r="C366" s="193" t="s">
        <v>2790</v>
      </c>
      <c r="D366" s="193" t="s">
        <v>5063</v>
      </c>
      <c r="E366" s="193" t="s">
        <v>5064</v>
      </c>
      <c r="F366" s="193" t="s">
        <v>5065</v>
      </c>
      <c r="G366" s="193" t="s">
        <v>5066</v>
      </c>
      <c r="H366" s="193" t="s">
        <v>5067</v>
      </c>
      <c r="I366" s="193" t="s">
        <v>3524</v>
      </c>
      <c r="T366" s="76"/>
    </row>
    <row r="367" spans="1:20" s="36" customFormat="1" ht="20" customHeight="1" x14ac:dyDescent="0.15">
      <c r="A367" s="5" t="s">
        <v>5854</v>
      </c>
      <c r="B367" s="193" t="s">
        <v>181</v>
      </c>
      <c r="C367" s="193" t="s">
        <v>2790</v>
      </c>
      <c r="D367" s="193" t="s">
        <v>5051</v>
      </c>
      <c r="E367" s="193" t="s">
        <v>5052</v>
      </c>
      <c r="F367" s="193" t="s">
        <v>5053</v>
      </c>
      <c r="G367" s="193" t="s">
        <v>5054</v>
      </c>
      <c r="H367" s="193" t="s">
        <v>5055</v>
      </c>
      <c r="I367" s="193" t="s">
        <v>5056</v>
      </c>
      <c r="T367" s="76"/>
    </row>
    <row r="368" spans="1:20" s="36" customFormat="1" ht="20" customHeight="1" x14ac:dyDescent="0.15">
      <c r="A368" s="5" t="s">
        <v>5854</v>
      </c>
      <c r="B368" s="193" t="s">
        <v>181</v>
      </c>
      <c r="C368" s="193" t="s">
        <v>2790</v>
      </c>
      <c r="D368" s="193" t="s">
        <v>5012</v>
      </c>
      <c r="E368" s="193" t="s">
        <v>5013</v>
      </c>
      <c r="F368" s="193" t="s">
        <v>5014</v>
      </c>
      <c r="G368" s="193" t="s">
        <v>5015</v>
      </c>
      <c r="H368" s="193" t="s">
        <v>5787</v>
      </c>
      <c r="I368" s="193" t="s">
        <v>5815</v>
      </c>
      <c r="T368" s="76"/>
    </row>
    <row r="369" spans="1:20" s="36" customFormat="1" ht="20" customHeight="1" x14ac:dyDescent="0.15">
      <c r="A369" s="5" t="s">
        <v>5854</v>
      </c>
      <c r="B369" s="193" t="s">
        <v>181</v>
      </c>
      <c r="C369" s="193" t="s">
        <v>2790</v>
      </c>
      <c r="D369" s="193" t="s">
        <v>4990</v>
      </c>
      <c r="E369" s="193" t="s">
        <v>4991</v>
      </c>
      <c r="F369" s="193" t="s">
        <v>4992</v>
      </c>
      <c r="G369" s="193" t="s">
        <v>4993</v>
      </c>
      <c r="H369" s="193" t="s">
        <v>5763</v>
      </c>
      <c r="I369" s="193" t="s">
        <v>5762</v>
      </c>
      <c r="T369" s="76"/>
    </row>
    <row r="370" spans="1:20" s="36" customFormat="1" ht="20" customHeight="1" x14ac:dyDescent="0.15">
      <c r="A370" s="5" t="s">
        <v>5854</v>
      </c>
      <c r="B370" s="193" t="s">
        <v>181</v>
      </c>
      <c r="C370" s="193" t="s">
        <v>2790</v>
      </c>
      <c r="D370" s="193" t="s">
        <v>5021</v>
      </c>
      <c r="E370" s="193" t="s">
        <v>5022</v>
      </c>
      <c r="F370" s="193" t="s">
        <v>5023</v>
      </c>
      <c r="G370" s="193" t="s">
        <v>5024</v>
      </c>
      <c r="H370" s="193" t="s">
        <v>5788</v>
      </c>
      <c r="I370" s="193" t="s">
        <v>5816</v>
      </c>
      <c r="T370" s="76"/>
    </row>
    <row r="371" spans="1:20" s="36" customFormat="1" ht="20" customHeight="1" x14ac:dyDescent="0.15">
      <c r="A371" s="5" t="s">
        <v>5854</v>
      </c>
      <c r="B371" s="193" t="s">
        <v>181</v>
      </c>
      <c r="C371" s="193" t="s">
        <v>2790</v>
      </c>
      <c r="D371" s="193" t="s">
        <v>5111</v>
      </c>
      <c r="E371" s="193" t="s">
        <v>5112</v>
      </c>
      <c r="F371" s="193" t="s">
        <v>5113</v>
      </c>
      <c r="G371" s="193" t="s">
        <v>5114</v>
      </c>
      <c r="H371" s="193" t="s">
        <v>5115</v>
      </c>
      <c r="I371" s="193" t="s">
        <v>3417</v>
      </c>
      <c r="T371" s="76"/>
    </row>
    <row r="372" spans="1:20" s="36" customFormat="1" ht="20" customHeight="1" x14ac:dyDescent="0.15">
      <c r="A372" s="5" t="s">
        <v>5854</v>
      </c>
      <c r="B372" s="193" t="s">
        <v>181</v>
      </c>
      <c r="C372" s="193" t="s">
        <v>2790</v>
      </c>
      <c r="D372" s="193" t="s">
        <v>5043</v>
      </c>
      <c r="E372" s="193" t="s">
        <v>5044</v>
      </c>
      <c r="F372" s="193" t="s">
        <v>5045</v>
      </c>
      <c r="G372" s="193" t="s">
        <v>5046</v>
      </c>
      <c r="H372" s="193" t="s">
        <v>5789</v>
      </c>
      <c r="I372" s="193" t="s">
        <v>5817</v>
      </c>
      <c r="T372" s="76"/>
    </row>
    <row r="373" spans="1:20" s="36" customFormat="1" ht="20" customHeight="1" x14ac:dyDescent="0.15">
      <c r="A373" s="5" t="s">
        <v>5854</v>
      </c>
      <c r="B373" s="193" t="s">
        <v>181</v>
      </c>
      <c r="C373" s="193" t="s">
        <v>2790</v>
      </c>
      <c r="D373" s="193" t="s">
        <v>5059</v>
      </c>
      <c r="E373" s="193" t="s">
        <v>5060</v>
      </c>
      <c r="F373" s="193" t="s">
        <v>5061</v>
      </c>
      <c r="G373" s="193" t="s">
        <v>5062</v>
      </c>
      <c r="H373" s="193" t="s">
        <v>5790</v>
      </c>
      <c r="I373" s="193" t="s">
        <v>5818</v>
      </c>
      <c r="T373" s="76"/>
    </row>
    <row r="374" spans="1:20" s="36" customFormat="1" ht="20" customHeight="1" x14ac:dyDescent="0.15">
      <c r="A374" s="5" t="s">
        <v>5854</v>
      </c>
      <c r="B374" s="193" t="s">
        <v>181</v>
      </c>
      <c r="C374" s="193" t="s">
        <v>2790</v>
      </c>
      <c r="D374" s="193" t="s">
        <v>5130</v>
      </c>
      <c r="E374" s="193" t="s">
        <v>5131</v>
      </c>
      <c r="F374" s="193" t="s">
        <v>5132</v>
      </c>
      <c r="G374" s="193" t="s">
        <v>5133</v>
      </c>
      <c r="H374" s="193" t="s">
        <v>5791</v>
      </c>
      <c r="I374" s="193" t="s">
        <v>5819</v>
      </c>
      <c r="T374" s="76"/>
    </row>
    <row r="375" spans="1:20" s="36" customFormat="1" ht="20" customHeight="1" x14ac:dyDescent="0.15">
      <c r="A375" s="5" t="s">
        <v>5854</v>
      </c>
      <c r="B375" s="193" t="s">
        <v>181</v>
      </c>
      <c r="C375" s="193" t="s">
        <v>2790</v>
      </c>
      <c r="D375" s="193" t="s">
        <v>5039</v>
      </c>
      <c r="E375" s="193" t="s">
        <v>5040</v>
      </c>
      <c r="F375" s="193" t="s">
        <v>5041</v>
      </c>
      <c r="G375" s="193" t="s">
        <v>5042</v>
      </c>
      <c r="H375" s="193" t="s">
        <v>5792</v>
      </c>
      <c r="I375" s="193" t="s">
        <v>5820</v>
      </c>
      <c r="T375" s="76"/>
    </row>
    <row r="376" spans="1:20" s="36" customFormat="1" ht="20" customHeight="1" x14ac:dyDescent="0.15">
      <c r="A376" s="5" t="s">
        <v>5854</v>
      </c>
      <c r="B376" s="193" t="s">
        <v>181</v>
      </c>
      <c r="C376" s="193" t="s">
        <v>2790</v>
      </c>
      <c r="D376" s="193" t="s">
        <v>3903</v>
      </c>
      <c r="E376" s="193" t="s">
        <v>5057</v>
      </c>
      <c r="F376" s="193" t="s">
        <v>5058</v>
      </c>
      <c r="G376" s="193" t="s">
        <v>3906</v>
      </c>
      <c r="H376" s="193" t="s">
        <v>5793</v>
      </c>
      <c r="I376" s="193" t="s">
        <v>5821</v>
      </c>
      <c r="T376" s="76"/>
    </row>
    <row r="377" spans="1:20" s="36" customFormat="1" ht="20" customHeight="1" x14ac:dyDescent="0.15">
      <c r="A377" s="5" t="s">
        <v>5854</v>
      </c>
      <c r="B377" s="193" t="s">
        <v>181</v>
      </c>
      <c r="C377" s="193" t="s">
        <v>2790</v>
      </c>
      <c r="D377" s="193" t="s">
        <v>5137</v>
      </c>
      <c r="E377" s="193" t="s">
        <v>5138</v>
      </c>
      <c r="F377" s="193"/>
      <c r="G377" s="193" t="s">
        <v>5139</v>
      </c>
      <c r="H377" s="193" t="s">
        <v>5140</v>
      </c>
      <c r="I377" s="193" t="s">
        <v>2814</v>
      </c>
      <c r="T377" s="76"/>
    </row>
    <row r="378" spans="1:20" s="36" customFormat="1" ht="20" customHeight="1" x14ac:dyDescent="0.15">
      <c r="A378" s="5" t="s">
        <v>5854</v>
      </c>
      <c r="B378" s="193" t="s">
        <v>181</v>
      </c>
      <c r="C378" s="193" t="s">
        <v>2790</v>
      </c>
      <c r="D378" s="193" t="s">
        <v>5082</v>
      </c>
      <c r="E378" s="193" t="s">
        <v>5083</v>
      </c>
      <c r="F378" s="193" t="s">
        <v>5084</v>
      </c>
      <c r="G378" s="193" t="s">
        <v>5085</v>
      </c>
      <c r="H378" s="193" t="s">
        <v>5086</v>
      </c>
      <c r="I378" s="193" t="s">
        <v>5087</v>
      </c>
      <c r="T378" s="76"/>
    </row>
    <row r="379" spans="1:20" s="36" customFormat="1" ht="20" customHeight="1" x14ac:dyDescent="0.15">
      <c r="A379" s="5" t="s">
        <v>5854</v>
      </c>
      <c r="B379" s="193" t="s">
        <v>181</v>
      </c>
      <c r="C379" s="193" t="s">
        <v>2790</v>
      </c>
      <c r="D379" s="193" t="s">
        <v>5134</v>
      </c>
      <c r="E379" s="193" t="s">
        <v>5135</v>
      </c>
      <c r="F379" s="193"/>
      <c r="G379" s="193" t="s">
        <v>5136</v>
      </c>
      <c r="H379" s="193" t="s">
        <v>5794</v>
      </c>
      <c r="I379" s="193" t="s">
        <v>5822</v>
      </c>
      <c r="T379" s="76"/>
    </row>
    <row r="380" spans="1:20" s="36" customFormat="1" ht="20" customHeight="1" x14ac:dyDescent="0.15">
      <c r="A380" s="5" t="s">
        <v>5854</v>
      </c>
      <c r="B380" s="193" t="s">
        <v>181</v>
      </c>
      <c r="C380" s="193" t="s">
        <v>2790</v>
      </c>
      <c r="D380" s="193" t="s">
        <v>5068</v>
      </c>
      <c r="E380" s="193" t="s">
        <v>5069</v>
      </c>
      <c r="F380" s="193" t="s">
        <v>5070</v>
      </c>
      <c r="G380" s="193" t="s">
        <v>5071</v>
      </c>
      <c r="H380" s="193" t="s">
        <v>5795</v>
      </c>
      <c r="I380" s="193" t="s">
        <v>5823</v>
      </c>
      <c r="T380" s="76"/>
    </row>
    <row r="381" spans="1:20" s="36" customFormat="1" ht="20" customHeight="1" x14ac:dyDescent="0.15">
      <c r="A381" s="5" t="s">
        <v>5854</v>
      </c>
      <c r="B381" s="193" t="s">
        <v>181</v>
      </c>
      <c r="C381" s="193" t="s">
        <v>2790</v>
      </c>
      <c r="D381" s="193" t="s">
        <v>5033</v>
      </c>
      <c r="E381" s="193" t="s">
        <v>5034</v>
      </c>
      <c r="F381" s="193" t="s">
        <v>5035</v>
      </c>
      <c r="G381" s="193" t="s">
        <v>5036</v>
      </c>
      <c r="H381" s="193" t="s">
        <v>5037</v>
      </c>
      <c r="I381" s="193" t="s">
        <v>5038</v>
      </c>
      <c r="T381" s="76"/>
    </row>
    <row r="382" spans="1:20" s="36" customFormat="1" ht="20" customHeight="1" x14ac:dyDescent="0.15">
      <c r="A382" s="5" t="s">
        <v>5854</v>
      </c>
      <c r="B382" s="193" t="s">
        <v>181</v>
      </c>
      <c r="C382" s="193" t="s">
        <v>2790</v>
      </c>
      <c r="D382" s="193" t="s">
        <v>5122</v>
      </c>
      <c r="E382" s="193" t="s">
        <v>5123</v>
      </c>
      <c r="F382" s="193" t="s">
        <v>5124</v>
      </c>
      <c r="G382" s="193" t="s">
        <v>5125</v>
      </c>
      <c r="H382" s="196" t="s">
        <v>5796</v>
      </c>
      <c r="I382" s="193" t="s">
        <v>5824</v>
      </c>
      <c r="T382" s="76"/>
    </row>
    <row r="383" spans="1:20" s="36" customFormat="1" ht="20" customHeight="1" x14ac:dyDescent="0.15">
      <c r="A383" s="5" t="s">
        <v>5854</v>
      </c>
      <c r="B383" s="193" t="s">
        <v>181</v>
      </c>
      <c r="C383" s="193" t="s">
        <v>2790</v>
      </c>
      <c r="D383" s="193" t="s">
        <v>5093</v>
      </c>
      <c r="E383" s="193" t="s">
        <v>5094</v>
      </c>
      <c r="F383" s="193" t="s">
        <v>5095</v>
      </c>
      <c r="G383" s="193" t="s">
        <v>5096</v>
      </c>
      <c r="H383" s="193" t="s">
        <v>5797</v>
      </c>
      <c r="I383" s="193" t="s">
        <v>5825</v>
      </c>
      <c r="T383" s="76"/>
    </row>
    <row r="384" spans="1:20" s="36" customFormat="1" ht="20" customHeight="1" x14ac:dyDescent="0.15">
      <c r="A384" s="5" t="s">
        <v>5854</v>
      </c>
      <c r="B384" s="193" t="s">
        <v>181</v>
      </c>
      <c r="C384" s="193" t="s">
        <v>2790</v>
      </c>
      <c r="D384" s="193" t="s">
        <v>5047</v>
      </c>
      <c r="E384" s="193" t="s">
        <v>5048</v>
      </c>
      <c r="F384" s="193" t="s">
        <v>5049</v>
      </c>
      <c r="G384" s="193" t="s">
        <v>5050</v>
      </c>
      <c r="H384" s="193" t="s">
        <v>5798</v>
      </c>
      <c r="I384" s="193" t="s">
        <v>5826</v>
      </c>
      <c r="T384" s="76"/>
    </row>
    <row r="385" spans="1:20" s="36" customFormat="1" ht="20" customHeight="1" x14ac:dyDescent="0.15">
      <c r="A385" s="5" t="s">
        <v>5854</v>
      </c>
      <c r="B385" s="193" t="s">
        <v>181</v>
      </c>
      <c r="C385" s="193" t="s">
        <v>2790</v>
      </c>
      <c r="D385" s="193" t="s">
        <v>5116</v>
      </c>
      <c r="E385" s="193" t="s">
        <v>5117</v>
      </c>
      <c r="F385" s="193" t="s">
        <v>5118</v>
      </c>
      <c r="G385" s="193" t="s">
        <v>5119</v>
      </c>
      <c r="H385" s="193" t="s">
        <v>5120</v>
      </c>
      <c r="I385" s="193" t="s">
        <v>5121</v>
      </c>
      <c r="T385" s="76"/>
    </row>
    <row r="386" spans="1:20" s="36" customFormat="1" ht="20" customHeight="1" x14ac:dyDescent="0.15">
      <c r="A386" s="5" t="s">
        <v>5854</v>
      </c>
      <c r="B386" s="193" t="s">
        <v>181</v>
      </c>
      <c r="C386" s="193" t="s">
        <v>2790</v>
      </c>
      <c r="D386" s="193" t="s">
        <v>5016</v>
      </c>
      <c r="E386" s="193" t="s">
        <v>5017</v>
      </c>
      <c r="F386" s="193" t="s">
        <v>5018</v>
      </c>
      <c r="G386" s="193" t="s">
        <v>5019</v>
      </c>
      <c r="H386" s="193" t="s">
        <v>4732</v>
      </c>
      <c r="I386" s="193" t="s">
        <v>5020</v>
      </c>
      <c r="T386" s="76"/>
    </row>
    <row r="387" spans="1:20" s="36" customFormat="1" ht="20" customHeight="1" x14ac:dyDescent="0.15">
      <c r="A387" s="5" t="s">
        <v>5855</v>
      </c>
      <c r="B387" s="193" t="s">
        <v>183</v>
      </c>
      <c r="C387" s="193" t="s">
        <v>2786</v>
      </c>
      <c r="D387" s="193" t="s">
        <v>4728</v>
      </c>
      <c r="E387" s="193" t="s">
        <v>4729</v>
      </c>
      <c r="F387" s="193" t="s">
        <v>4730</v>
      </c>
      <c r="G387" s="193" t="s">
        <v>4731</v>
      </c>
      <c r="H387" s="193" t="s">
        <v>4732</v>
      </c>
      <c r="I387" s="193" t="s">
        <v>4733</v>
      </c>
      <c r="T387" s="76"/>
    </row>
    <row r="388" spans="1:20" s="36" customFormat="1" ht="20" customHeight="1" x14ac:dyDescent="0.15">
      <c r="A388" s="5" t="s">
        <v>5855</v>
      </c>
      <c r="B388" s="193" t="s">
        <v>183</v>
      </c>
      <c r="C388" s="193" t="s">
        <v>2786</v>
      </c>
      <c r="D388" s="193" t="s">
        <v>4707</v>
      </c>
      <c r="E388" s="193" t="s">
        <v>4708</v>
      </c>
      <c r="F388" s="193" t="s">
        <v>4709</v>
      </c>
      <c r="G388" s="193" t="s">
        <v>4710</v>
      </c>
      <c r="H388" s="193" t="s">
        <v>4711</v>
      </c>
      <c r="I388" s="193" t="s">
        <v>3340</v>
      </c>
      <c r="T388" s="76"/>
    </row>
    <row r="389" spans="1:20" s="36" customFormat="1" ht="20" customHeight="1" x14ac:dyDescent="0.15">
      <c r="A389" s="5" t="s">
        <v>5855</v>
      </c>
      <c r="B389" s="193" t="s">
        <v>183</v>
      </c>
      <c r="C389" s="193" t="s">
        <v>2786</v>
      </c>
      <c r="D389" s="193" t="s">
        <v>4618</v>
      </c>
      <c r="E389" s="193" t="s">
        <v>4619</v>
      </c>
      <c r="F389" s="193" t="s">
        <v>4620</v>
      </c>
      <c r="G389" s="193" t="s">
        <v>4621</v>
      </c>
      <c r="H389" s="193" t="s">
        <v>4617</v>
      </c>
      <c r="I389" s="193" t="s">
        <v>4567</v>
      </c>
      <c r="T389" s="76"/>
    </row>
    <row r="390" spans="1:20" s="36" customFormat="1" ht="20" customHeight="1" x14ac:dyDescent="0.15">
      <c r="A390" s="5" t="s">
        <v>5855</v>
      </c>
      <c r="B390" s="193" t="s">
        <v>183</v>
      </c>
      <c r="C390" s="193" t="s">
        <v>2786</v>
      </c>
      <c r="D390" s="193" t="s">
        <v>4717</v>
      </c>
      <c r="E390" s="193" t="s">
        <v>4718</v>
      </c>
      <c r="F390" s="193" t="s">
        <v>4719</v>
      </c>
      <c r="G390" s="193" t="s">
        <v>4720</v>
      </c>
      <c r="H390" s="193" t="s">
        <v>4721</v>
      </c>
      <c r="I390" s="193" t="s">
        <v>2953</v>
      </c>
      <c r="T390" s="76"/>
    </row>
    <row r="391" spans="1:20" s="36" customFormat="1" ht="20" customHeight="1" x14ac:dyDescent="0.15">
      <c r="A391" s="5" t="s">
        <v>5855</v>
      </c>
      <c r="B391" s="193" t="s">
        <v>183</v>
      </c>
      <c r="C391" s="193" t="s">
        <v>2786</v>
      </c>
      <c r="D391" s="193" t="s">
        <v>4821</v>
      </c>
      <c r="E391" s="193" t="s">
        <v>4822</v>
      </c>
      <c r="F391" s="193" t="s">
        <v>4823</v>
      </c>
      <c r="G391" s="193" t="s">
        <v>4824</v>
      </c>
      <c r="H391" s="193" t="s">
        <v>4825</v>
      </c>
      <c r="I391" s="193" t="s">
        <v>3345</v>
      </c>
      <c r="T391" s="76"/>
    </row>
    <row r="392" spans="1:20" s="36" customFormat="1" ht="20" customHeight="1" x14ac:dyDescent="0.15">
      <c r="A392" s="5" t="s">
        <v>5855</v>
      </c>
      <c r="B392" s="193" t="s">
        <v>183</v>
      </c>
      <c r="C392" s="193" t="s">
        <v>2786</v>
      </c>
      <c r="D392" s="193" t="s">
        <v>4933</v>
      </c>
      <c r="E392" s="193" t="s">
        <v>4934</v>
      </c>
      <c r="F392" s="193" t="s">
        <v>4935</v>
      </c>
      <c r="G392" s="193" t="s">
        <v>4936</v>
      </c>
      <c r="H392" s="193" t="s">
        <v>4937</v>
      </c>
      <c r="I392" s="193" t="s">
        <v>3477</v>
      </c>
      <c r="T392" s="76"/>
    </row>
    <row r="393" spans="1:20" s="36" customFormat="1" ht="20" customHeight="1" x14ac:dyDescent="0.15">
      <c r="A393" s="5" t="s">
        <v>5855</v>
      </c>
      <c r="B393" s="193" t="s">
        <v>183</v>
      </c>
      <c r="C393" s="193" t="s">
        <v>2786</v>
      </c>
      <c r="D393" s="193" t="s">
        <v>4927</v>
      </c>
      <c r="E393" s="193" t="s">
        <v>4928</v>
      </c>
      <c r="F393" s="193" t="s">
        <v>4929</v>
      </c>
      <c r="G393" s="193" t="s">
        <v>4930</v>
      </c>
      <c r="H393" s="193" t="s">
        <v>4931</v>
      </c>
      <c r="I393" s="193" t="s">
        <v>4932</v>
      </c>
      <c r="T393" s="76"/>
    </row>
    <row r="394" spans="1:20" s="36" customFormat="1" ht="20" customHeight="1" x14ac:dyDescent="0.15">
      <c r="A394" s="5" t="s">
        <v>5855</v>
      </c>
      <c r="B394" s="193" t="s">
        <v>183</v>
      </c>
      <c r="C394" s="193" t="s">
        <v>2786</v>
      </c>
      <c r="D394" s="193" t="s">
        <v>4844</v>
      </c>
      <c r="E394" s="193" t="s">
        <v>4845</v>
      </c>
      <c r="F394" s="193" t="s">
        <v>4846</v>
      </c>
      <c r="G394" s="193" t="s">
        <v>4847</v>
      </c>
      <c r="H394" s="193" t="s">
        <v>4848</v>
      </c>
      <c r="I394" s="193" t="s">
        <v>3373</v>
      </c>
      <c r="T394" s="76"/>
    </row>
    <row r="395" spans="1:20" s="36" customFormat="1" ht="20" customHeight="1" x14ac:dyDescent="0.15">
      <c r="A395" s="5" t="s">
        <v>5855</v>
      </c>
      <c r="B395" s="193" t="s">
        <v>183</v>
      </c>
      <c r="C395" s="193" t="s">
        <v>2786</v>
      </c>
      <c r="D395" s="193" t="s">
        <v>4643</v>
      </c>
      <c r="E395" s="193" t="s">
        <v>4644</v>
      </c>
      <c r="F395" s="193" t="s">
        <v>4645</v>
      </c>
      <c r="G395" s="193" t="s">
        <v>4646</v>
      </c>
      <c r="H395" s="193" t="s">
        <v>4647</v>
      </c>
      <c r="I395" s="193" t="s">
        <v>4648</v>
      </c>
      <c r="T395" s="76"/>
    </row>
    <row r="396" spans="1:20" s="36" customFormat="1" ht="20" customHeight="1" x14ac:dyDescent="0.15">
      <c r="A396" s="5" t="s">
        <v>5855</v>
      </c>
      <c r="B396" s="193" t="s">
        <v>183</v>
      </c>
      <c r="C396" s="193" t="s">
        <v>2786</v>
      </c>
      <c r="D396" s="193" t="s">
        <v>4675</v>
      </c>
      <c r="E396" s="193" t="s">
        <v>4676</v>
      </c>
      <c r="F396" s="193" t="s">
        <v>4677</v>
      </c>
      <c r="G396" s="193" t="s">
        <v>4678</v>
      </c>
      <c r="H396" s="193" t="s">
        <v>4679</v>
      </c>
      <c r="I396" s="193" t="s">
        <v>3373</v>
      </c>
      <c r="T396" s="76"/>
    </row>
    <row r="397" spans="1:20" s="36" customFormat="1" ht="20" customHeight="1" x14ac:dyDescent="0.15">
      <c r="A397" s="5" t="s">
        <v>5855</v>
      </c>
      <c r="B397" s="193" t="s">
        <v>183</v>
      </c>
      <c r="C397" s="193" t="s">
        <v>2786</v>
      </c>
      <c r="D397" s="193" t="s">
        <v>4603</v>
      </c>
      <c r="E397" s="193" t="s">
        <v>4604</v>
      </c>
      <c r="F397" s="193" t="s">
        <v>4605</v>
      </c>
      <c r="G397" s="193" t="s">
        <v>4606</v>
      </c>
      <c r="H397" s="193" t="s">
        <v>4607</v>
      </c>
      <c r="I397" s="193" t="s">
        <v>3107</v>
      </c>
      <c r="T397" s="76"/>
    </row>
    <row r="398" spans="1:20" s="36" customFormat="1" ht="20" customHeight="1" x14ac:dyDescent="0.15">
      <c r="A398" s="5" t="s">
        <v>5855</v>
      </c>
      <c r="B398" s="193" t="s">
        <v>183</v>
      </c>
      <c r="C398" s="193" t="s">
        <v>2786</v>
      </c>
      <c r="D398" s="193" t="s">
        <v>4976</v>
      </c>
      <c r="E398" s="193" t="s">
        <v>4977</v>
      </c>
      <c r="F398" s="193" t="s">
        <v>4978</v>
      </c>
      <c r="G398" s="193" t="s">
        <v>4979</v>
      </c>
      <c r="H398" s="193" t="s">
        <v>4771</v>
      </c>
      <c r="I398" s="193" t="s">
        <v>4772</v>
      </c>
      <c r="T398" s="76"/>
    </row>
    <row r="399" spans="1:20" s="36" customFormat="1" ht="20" customHeight="1" x14ac:dyDescent="0.15">
      <c r="A399" s="5" t="s">
        <v>5855</v>
      </c>
      <c r="B399" s="193" t="s">
        <v>183</v>
      </c>
      <c r="C399" s="193" t="s">
        <v>2786</v>
      </c>
      <c r="D399" s="193" t="s">
        <v>4665</v>
      </c>
      <c r="E399" s="193" t="s">
        <v>4666</v>
      </c>
      <c r="F399" s="193" t="s">
        <v>4667</v>
      </c>
      <c r="G399" s="193" t="s">
        <v>4668</v>
      </c>
      <c r="H399" s="193" t="s">
        <v>4669</v>
      </c>
      <c r="I399" s="193" t="s">
        <v>3162</v>
      </c>
      <c r="T399" s="76"/>
    </row>
    <row r="400" spans="1:20" s="36" customFormat="1" ht="20" customHeight="1" x14ac:dyDescent="0.15">
      <c r="A400" s="5" t="s">
        <v>5855</v>
      </c>
      <c r="B400" s="193" t="s">
        <v>183</v>
      </c>
      <c r="C400" s="193" t="s">
        <v>2786</v>
      </c>
      <c r="D400" s="193" t="s">
        <v>4918</v>
      </c>
      <c r="E400" s="193" t="s">
        <v>4919</v>
      </c>
      <c r="F400" s="193" t="s">
        <v>4920</v>
      </c>
      <c r="G400" s="193" t="s">
        <v>4921</v>
      </c>
      <c r="H400" s="193" t="s">
        <v>5799</v>
      </c>
      <c r="I400" s="193" t="s">
        <v>5827</v>
      </c>
      <c r="T400" s="76"/>
    </row>
    <row r="401" spans="1:20" s="36" customFormat="1" ht="20" customHeight="1" x14ac:dyDescent="0.15">
      <c r="A401" s="5" t="s">
        <v>5855</v>
      </c>
      <c r="B401" s="193" t="s">
        <v>183</v>
      </c>
      <c r="C401" s="193" t="s">
        <v>2786</v>
      </c>
      <c r="D401" s="193" t="s">
        <v>4740</v>
      </c>
      <c r="E401" s="193" t="s">
        <v>4741</v>
      </c>
      <c r="F401" s="193" t="s">
        <v>4742</v>
      </c>
      <c r="G401" s="193" t="s">
        <v>4743</v>
      </c>
      <c r="H401" s="193" t="s">
        <v>4744</v>
      </c>
      <c r="I401" s="193" t="s">
        <v>4745</v>
      </c>
      <c r="T401" s="76"/>
    </row>
    <row r="402" spans="1:20" s="36" customFormat="1" ht="20" customHeight="1" x14ac:dyDescent="0.15">
      <c r="A402" s="5" t="s">
        <v>5855</v>
      </c>
      <c r="B402" s="193" t="s">
        <v>183</v>
      </c>
      <c r="C402" s="193" t="s">
        <v>2786</v>
      </c>
      <c r="D402" s="193" t="s">
        <v>4854</v>
      </c>
      <c r="E402" s="193" t="s">
        <v>4855</v>
      </c>
      <c r="F402" s="193" t="s">
        <v>4856</v>
      </c>
      <c r="G402" s="193" t="s">
        <v>4857</v>
      </c>
      <c r="H402" s="193" t="s">
        <v>4858</v>
      </c>
      <c r="I402" s="193" t="s">
        <v>3256</v>
      </c>
      <c r="T402" s="76"/>
    </row>
    <row r="403" spans="1:20" s="36" customFormat="1" ht="20" customHeight="1" x14ac:dyDescent="0.15">
      <c r="A403" s="5" t="s">
        <v>5855</v>
      </c>
      <c r="B403" s="193" t="s">
        <v>183</v>
      </c>
      <c r="C403" s="193" t="s">
        <v>2786</v>
      </c>
      <c r="D403" s="193" t="s">
        <v>4578</v>
      </c>
      <c r="E403" s="193" t="s">
        <v>4579</v>
      </c>
      <c r="F403" s="193" t="s">
        <v>4580</v>
      </c>
      <c r="G403" s="193" t="s">
        <v>4581</v>
      </c>
      <c r="H403" s="193" t="s">
        <v>4582</v>
      </c>
      <c r="I403" s="193" t="s">
        <v>4583</v>
      </c>
      <c r="T403" s="76"/>
    </row>
    <row r="404" spans="1:20" s="36" customFormat="1" ht="20" customHeight="1" x14ac:dyDescent="0.15">
      <c r="A404" s="5" t="s">
        <v>5855</v>
      </c>
      <c r="B404" s="193" t="s">
        <v>183</v>
      </c>
      <c r="C404" s="193" t="s">
        <v>2786</v>
      </c>
      <c r="D404" s="193" t="s">
        <v>4811</v>
      </c>
      <c r="E404" s="193" t="s">
        <v>4812</v>
      </c>
      <c r="F404" s="193" t="s">
        <v>4813</v>
      </c>
      <c r="G404" s="193" t="s">
        <v>4814</v>
      </c>
      <c r="H404" s="193" t="s">
        <v>4815</v>
      </c>
      <c r="I404" s="193" t="s">
        <v>4816</v>
      </c>
      <c r="T404" s="76"/>
    </row>
    <row r="405" spans="1:20" s="36" customFormat="1" ht="20" customHeight="1" x14ac:dyDescent="0.15">
      <c r="A405" s="5" t="s">
        <v>5855</v>
      </c>
      <c r="B405" s="193" t="s">
        <v>183</v>
      </c>
      <c r="C405" s="193" t="s">
        <v>2786</v>
      </c>
      <c r="D405" s="193" t="s">
        <v>4864</v>
      </c>
      <c r="E405" s="193" t="s">
        <v>4865</v>
      </c>
      <c r="F405" s="193" t="s">
        <v>4866</v>
      </c>
      <c r="G405" s="193" t="s">
        <v>4867</v>
      </c>
      <c r="H405" s="193" t="s">
        <v>4868</v>
      </c>
      <c r="I405" s="193" t="s">
        <v>4869</v>
      </c>
      <c r="T405" s="76"/>
    </row>
    <row r="406" spans="1:20" s="36" customFormat="1" ht="20" customHeight="1" x14ac:dyDescent="0.15">
      <c r="A406" s="5" t="s">
        <v>5855</v>
      </c>
      <c r="B406" s="193" t="s">
        <v>183</v>
      </c>
      <c r="C406" s="193" t="s">
        <v>2786</v>
      </c>
      <c r="D406" s="193" t="s">
        <v>4875</v>
      </c>
      <c r="E406" s="193" t="s">
        <v>4876</v>
      </c>
      <c r="F406" s="193" t="s">
        <v>4877</v>
      </c>
      <c r="G406" s="193" t="s">
        <v>4878</v>
      </c>
      <c r="H406" s="193" t="s">
        <v>3877</v>
      </c>
      <c r="I406" s="193" t="s">
        <v>4879</v>
      </c>
      <c r="T406" s="76"/>
    </row>
    <row r="407" spans="1:20" s="36" customFormat="1" ht="20" customHeight="1" x14ac:dyDescent="0.15">
      <c r="A407" s="5" t="s">
        <v>5855</v>
      </c>
      <c r="B407" s="193" t="s">
        <v>183</v>
      </c>
      <c r="C407" s="193" t="s">
        <v>2786</v>
      </c>
      <c r="D407" s="193" t="s">
        <v>4907</v>
      </c>
      <c r="E407" s="193" t="s">
        <v>4908</v>
      </c>
      <c r="F407" s="193" t="s">
        <v>4909</v>
      </c>
      <c r="G407" s="193" t="s">
        <v>4910</v>
      </c>
      <c r="H407" s="193" t="s">
        <v>4911</v>
      </c>
      <c r="I407" s="193" t="s">
        <v>3244</v>
      </c>
      <c r="T407" s="76"/>
    </row>
    <row r="408" spans="1:20" s="36" customFormat="1" ht="20" customHeight="1" x14ac:dyDescent="0.15">
      <c r="A408" s="5" t="s">
        <v>5855</v>
      </c>
      <c r="B408" s="193" t="s">
        <v>183</v>
      </c>
      <c r="C408" s="193" t="s">
        <v>2786</v>
      </c>
      <c r="D408" s="193" t="s">
        <v>4943</v>
      </c>
      <c r="E408" s="193" t="s">
        <v>4944</v>
      </c>
      <c r="F408" s="193" t="s">
        <v>4945</v>
      </c>
      <c r="G408" s="193" t="s">
        <v>4946</v>
      </c>
      <c r="H408" s="193" t="s">
        <v>4947</v>
      </c>
      <c r="I408" s="193" t="s">
        <v>4948</v>
      </c>
      <c r="T408" s="76"/>
    </row>
    <row r="409" spans="1:20" s="36" customFormat="1" ht="20" customHeight="1" x14ac:dyDescent="0.15">
      <c r="A409" s="5" t="s">
        <v>5855</v>
      </c>
      <c r="B409" s="193" t="s">
        <v>183</v>
      </c>
      <c r="C409" s="193" t="s">
        <v>2786</v>
      </c>
      <c r="D409" s="193" t="s">
        <v>4622</v>
      </c>
      <c r="E409" s="193" t="s">
        <v>4623</v>
      </c>
      <c r="F409" s="193" t="s">
        <v>4624</v>
      </c>
      <c r="G409" s="193" t="s">
        <v>4625</v>
      </c>
      <c r="H409" s="193" t="s">
        <v>3523</v>
      </c>
      <c r="I409" s="193" t="s">
        <v>2987</v>
      </c>
      <c r="T409" s="76"/>
    </row>
    <row r="410" spans="1:20" s="36" customFormat="1" ht="20" customHeight="1" x14ac:dyDescent="0.15">
      <c r="A410" s="5" t="s">
        <v>5855</v>
      </c>
      <c r="B410" s="193" t="s">
        <v>183</v>
      </c>
      <c r="C410" s="193" t="s">
        <v>2786</v>
      </c>
      <c r="D410" s="193" t="s">
        <v>4593</v>
      </c>
      <c r="E410" s="193" t="s">
        <v>4594</v>
      </c>
      <c r="F410" s="193" t="s">
        <v>4595</v>
      </c>
      <c r="G410" s="193" t="s">
        <v>4596</v>
      </c>
      <c r="H410" s="193" t="s">
        <v>4597</v>
      </c>
      <c r="I410" s="193" t="s">
        <v>3614</v>
      </c>
      <c r="T410" s="76"/>
    </row>
    <row r="411" spans="1:20" s="36" customFormat="1" ht="20" customHeight="1" x14ac:dyDescent="0.15">
      <c r="A411" s="5" t="s">
        <v>5855</v>
      </c>
      <c r="B411" s="193" t="s">
        <v>183</v>
      </c>
      <c r="C411" s="193" t="s">
        <v>2786</v>
      </c>
      <c r="D411" s="193" t="s">
        <v>4970</v>
      </c>
      <c r="E411" s="193" t="s">
        <v>4971</v>
      </c>
      <c r="F411" s="193" t="s">
        <v>4972</v>
      </c>
      <c r="G411" s="193" t="s">
        <v>4973</v>
      </c>
      <c r="H411" s="193" t="s">
        <v>4974</v>
      </c>
      <c r="I411" s="193" t="s">
        <v>4975</v>
      </c>
      <c r="T411" s="76"/>
    </row>
    <row r="412" spans="1:20" s="36" customFormat="1" ht="20" customHeight="1" x14ac:dyDescent="0.15">
      <c r="A412" s="5" t="s">
        <v>5855</v>
      </c>
      <c r="B412" s="193" t="s">
        <v>183</v>
      </c>
      <c r="C412" s="193" t="s">
        <v>2786</v>
      </c>
      <c r="D412" s="193" t="s">
        <v>4746</v>
      </c>
      <c r="E412" s="193" t="s">
        <v>4747</v>
      </c>
      <c r="F412" s="193" t="s">
        <v>4748</v>
      </c>
      <c r="G412" s="193" t="s">
        <v>4749</v>
      </c>
      <c r="H412" s="193" t="s">
        <v>4750</v>
      </c>
      <c r="I412" s="193" t="s">
        <v>4751</v>
      </c>
      <c r="T412" s="76"/>
    </row>
    <row r="413" spans="1:20" s="36" customFormat="1" ht="20" customHeight="1" x14ac:dyDescent="0.15">
      <c r="A413" s="5" t="s">
        <v>5855</v>
      </c>
      <c r="B413" s="193" t="s">
        <v>183</v>
      </c>
      <c r="C413" s="193" t="s">
        <v>2786</v>
      </c>
      <c r="D413" s="193" t="s">
        <v>4587</v>
      </c>
      <c r="E413" s="193" t="s">
        <v>4588</v>
      </c>
      <c r="F413" s="193" t="s">
        <v>4589</v>
      </c>
      <c r="G413" s="193" t="s">
        <v>4590</v>
      </c>
      <c r="H413" s="193" t="s">
        <v>4591</v>
      </c>
      <c r="I413" s="193" t="s">
        <v>4592</v>
      </c>
      <c r="T413" s="76"/>
    </row>
    <row r="414" spans="1:20" s="36" customFormat="1" ht="20" customHeight="1" x14ac:dyDescent="0.15">
      <c r="A414" s="5" t="s">
        <v>5855</v>
      </c>
      <c r="B414" s="193" t="s">
        <v>183</v>
      </c>
      <c r="C414" s="193" t="s">
        <v>2786</v>
      </c>
      <c r="D414" s="193" t="s">
        <v>4922</v>
      </c>
      <c r="E414" s="193" t="s">
        <v>4923</v>
      </c>
      <c r="F414" s="193" t="s">
        <v>4924</v>
      </c>
      <c r="G414" s="193" t="s">
        <v>4925</v>
      </c>
      <c r="H414" s="193" t="s">
        <v>4926</v>
      </c>
      <c r="I414" s="193" t="s">
        <v>3056</v>
      </c>
      <c r="T414" s="76"/>
    </row>
    <row r="415" spans="1:20" s="36" customFormat="1" ht="20" customHeight="1" x14ac:dyDescent="0.15">
      <c r="A415" s="5" t="s">
        <v>5855</v>
      </c>
      <c r="B415" s="193" t="s">
        <v>183</v>
      </c>
      <c r="C415" s="193" t="s">
        <v>2786</v>
      </c>
      <c r="D415" s="193" t="s">
        <v>4613</v>
      </c>
      <c r="E415" s="193" t="s">
        <v>4614</v>
      </c>
      <c r="F415" s="193" t="s">
        <v>4615</v>
      </c>
      <c r="G415" s="193" t="s">
        <v>4616</v>
      </c>
      <c r="H415" s="193" t="s">
        <v>4617</v>
      </c>
      <c r="I415" s="193" t="s">
        <v>4567</v>
      </c>
      <c r="T415" s="76"/>
    </row>
    <row r="416" spans="1:20" s="36" customFormat="1" ht="20" customHeight="1" x14ac:dyDescent="0.15">
      <c r="A416" s="5" t="s">
        <v>5855</v>
      </c>
      <c r="B416" s="193" t="s">
        <v>183</v>
      </c>
      <c r="C416" s="193" t="s">
        <v>2786</v>
      </c>
      <c r="D416" s="193" t="s">
        <v>4880</v>
      </c>
      <c r="E416" s="193" t="s">
        <v>4881</v>
      </c>
      <c r="F416" s="193" t="s">
        <v>4882</v>
      </c>
      <c r="G416" s="193" t="s">
        <v>4883</v>
      </c>
      <c r="H416" s="193" t="s">
        <v>4884</v>
      </c>
      <c r="I416" s="193" t="s">
        <v>4885</v>
      </c>
      <c r="T416" s="76"/>
    </row>
    <row r="417" spans="1:20" s="36" customFormat="1" ht="20" customHeight="1" x14ac:dyDescent="0.15">
      <c r="A417" s="5" t="s">
        <v>5855</v>
      </c>
      <c r="B417" s="193" t="s">
        <v>183</v>
      </c>
      <c r="C417" s="193" t="s">
        <v>2786</v>
      </c>
      <c r="D417" s="193" t="s">
        <v>4608</v>
      </c>
      <c r="E417" s="193" t="s">
        <v>4609</v>
      </c>
      <c r="F417" s="193" t="s">
        <v>4610</v>
      </c>
      <c r="G417" s="193" t="s">
        <v>4611</v>
      </c>
      <c r="H417" s="193" t="s">
        <v>4612</v>
      </c>
      <c r="I417" s="193" t="s">
        <v>3345</v>
      </c>
      <c r="T417" s="76"/>
    </row>
    <row r="418" spans="1:20" s="36" customFormat="1" ht="20" customHeight="1" x14ac:dyDescent="0.15">
      <c r="A418" s="5" t="s">
        <v>5855</v>
      </c>
      <c r="B418" s="193" t="s">
        <v>183</v>
      </c>
      <c r="C418" s="193" t="s">
        <v>2786</v>
      </c>
      <c r="D418" s="193" t="s">
        <v>4734</v>
      </c>
      <c r="E418" s="193" t="s">
        <v>4735</v>
      </c>
      <c r="F418" s="193" t="s">
        <v>4736</v>
      </c>
      <c r="G418" s="193" t="s">
        <v>4737</v>
      </c>
      <c r="H418" s="193" t="s">
        <v>4738</v>
      </c>
      <c r="I418" s="193" t="s">
        <v>4739</v>
      </c>
      <c r="T418" s="76"/>
    </row>
    <row r="419" spans="1:20" s="36" customFormat="1" ht="20" customHeight="1" x14ac:dyDescent="0.15">
      <c r="A419" s="5" t="s">
        <v>5855</v>
      </c>
      <c r="B419" s="193" t="s">
        <v>183</v>
      </c>
      <c r="C419" s="193" t="s">
        <v>2786</v>
      </c>
      <c r="D419" s="193" t="s">
        <v>4685</v>
      </c>
      <c r="E419" s="193" t="s">
        <v>4686</v>
      </c>
      <c r="F419" s="193" t="s">
        <v>4687</v>
      </c>
      <c r="G419" s="193" t="s">
        <v>4688</v>
      </c>
      <c r="H419" s="193" t="s">
        <v>4684</v>
      </c>
      <c r="I419" s="193" t="s">
        <v>3373</v>
      </c>
      <c r="T419" s="76"/>
    </row>
    <row r="420" spans="1:20" s="36" customFormat="1" ht="20" customHeight="1" x14ac:dyDescent="0.15">
      <c r="A420" s="5" t="s">
        <v>5855</v>
      </c>
      <c r="B420" s="193" t="s">
        <v>183</v>
      </c>
      <c r="C420" s="193" t="s">
        <v>2786</v>
      </c>
      <c r="D420" s="193" t="s">
        <v>4752</v>
      </c>
      <c r="E420" s="193" t="s">
        <v>4753</v>
      </c>
      <c r="F420" s="193" t="s">
        <v>4754</v>
      </c>
      <c r="G420" s="193" t="s">
        <v>4755</v>
      </c>
      <c r="H420" s="193" t="s">
        <v>4756</v>
      </c>
      <c r="I420" s="193" t="s">
        <v>3295</v>
      </c>
      <c r="T420" s="76"/>
    </row>
    <row r="421" spans="1:20" s="36" customFormat="1" ht="20" customHeight="1" x14ac:dyDescent="0.15">
      <c r="A421" s="5" t="s">
        <v>5855</v>
      </c>
      <c r="B421" s="193" t="s">
        <v>183</v>
      </c>
      <c r="C421" s="193" t="s">
        <v>2786</v>
      </c>
      <c r="D421" s="193" t="s">
        <v>4631</v>
      </c>
      <c r="E421" s="193" t="s">
        <v>4632</v>
      </c>
      <c r="F421" s="193" t="s">
        <v>4633</v>
      </c>
      <c r="G421" s="193" t="s">
        <v>4634</v>
      </c>
      <c r="H421" s="193" t="s">
        <v>4635</v>
      </c>
      <c r="I421" s="193" t="s">
        <v>4636</v>
      </c>
      <c r="T421" s="76"/>
    </row>
    <row r="422" spans="1:20" s="36" customFormat="1" ht="20" customHeight="1" x14ac:dyDescent="0.15">
      <c r="A422" s="5" t="s">
        <v>5855</v>
      </c>
      <c r="B422" s="193" t="s">
        <v>183</v>
      </c>
      <c r="C422" s="193" t="s">
        <v>2786</v>
      </c>
      <c r="D422" s="193" t="s">
        <v>4712</v>
      </c>
      <c r="E422" s="193" t="s">
        <v>4713</v>
      </c>
      <c r="F422" s="193" t="s">
        <v>4714</v>
      </c>
      <c r="G422" s="193" t="s">
        <v>4715</v>
      </c>
      <c r="H422" s="193" t="s">
        <v>4716</v>
      </c>
      <c r="I422" s="193" t="s">
        <v>2987</v>
      </c>
      <c r="T422" s="76"/>
    </row>
    <row r="423" spans="1:20" s="36" customFormat="1" ht="20" customHeight="1" x14ac:dyDescent="0.15">
      <c r="A423" s="5" t="s">
        <v>5855</v>
      </c>
      <c r="B423" s="193" t="s">
        <v>183</v>
      </c>
      <c r="C423" s="193" t="s">
        <v>2786</v>
      </c>
      <c r="D423" s="193" t="s">
        <v>4637</v>
      </c>
      <c r="E423" s="193" t="s">
        <v>4638</v>
      </c>
      <c r="F423" s="193" t="s">
        <v>4639</v>
      </c>
      <c r="G423" s="193" t="s">
        <v>4640</v>
      </c>
      <c r="H423" s="193" t="s">
        <v>4641</v>
      </c>
      <c r="I423" s="193" t="s">
        <v>4642</v>
      </c>
      <c r="T423" s="76"/>
    </row>
    <row r="424" spans="1:20" s="36" customFormat="1" ht="20" customHeight="1" x14ac:dyDescent="0.15">
      <c r="A424" s="5" t="s">
        <v>5855</v>
      </c>
      <c r="B424" s="193" t="s">
        <v>183</v>
      </c>
      <c r="C424" s="193" t="s">
        <v>2786</v>
      </c>
      <c r="D424" s="193" t="s">
        <v>4626</v>
      </c>
      <c r="E424" s="193" t="s">
        <v>4627</v>
      </c>
      <c r="F424" s="193" t="s">
        <v>4628</v>
      </c>
      <c r="G424" s="193" t="s">
        <v>4629</v>
      </c>
      <c r="H424" s="193" t="s">
        <v>4630</v>
      </c>
      <c r="I424" s="193" t="s">
        <v>3477</v>
      </c>
      <c r="T424" s="76"/>
    </row>
    <row r="425" spans="1:20" s="36" customFormat="1" ht="20" customHeight="1" x14ac:dyDescent="0.15">
      <c r="A425" s="5" t="s">
        <v>5855</v>
      </c>
      <c r="B425" s="193" t="s">
        <v>183</v>
      </c>
      <c r="C425" s="193" t="s">
        <v>2786</v>
      </c>
      <c r="D425" s="193" t="s">
        <v>4573</v>
      </c>
      <c r="E425" s="193" t="s">
        <v>4574</v>
      </c>
      <c r="F425" s="193" t="s">
        <v>4575</v>
      </c>
      <c r="G425" s="193" t="s">
        <v>4576</v>
      </c>
      <c r="H425" s="193" t="s">
        <v>4577</v>
      </c>
      <c r="I425" s="193" t="s">
        <v>3004</v>
      </c>
      <c r="T425" s="76"/>
    </row>
    <row r="426" spans="1:20" s="36" customFormat="1" ht="20" customHeight="1" x14ac:dyDescent="0.15">
      <c r="A426" s="5" t="s">
        <v>5855</v>
      </c>
      <c r="B426" s="193" t="s">
        <v>183</v>
      </c>
      <c r="C426" s="193" t="s">
        <v>2786</v>
      </c>
      <c r="D426" s="193" t="s">
        <v>4779</v>
      </c>
      <c r="E426" s="193" t="s">
        <v>4780</v>
      </c>
      <c r="F426" s="193" t="s">
        <v>4781</v>
      </c>
      <c r="G426" s="193" t="s">
        <v>4782</v>
      </c>
      <c r="H426" s="193" t="s">
        <v>4783</v>
      </c>
      <c r="I426" s="193" t="s">
        <v>3614</v>
      </c>
      <c r="T426" s="76"/>
    </row>
    <row r="427" spans="1:20" s="36" customFormat="1" ht="20" customHeight="1" x14ac:dyDescent="0.15">
      <c r="A427" s="5" t="s">
        <v>5855</v>
      </c>
      <c r="B427" s="193" t="s">
        <v>183</v>
      </c>
      <c r="C427" s="193" t="s">
        <v>2786</v>
      </c>
      <c r="D427" s="193" t="s">
        <v>4722</v>
      </c>
      <c r="E427" s="193" t="s">
        <v>4723</v>
      </c>
      <c r="F427" s="193" t="s">
        <v>4724</v>
      </c>
      <c r="G427" s="193" t="s">
        <v>4725</v>
      </c>
      <c r="H427" s="193" t="s">
        <v>4726</v>
      </c>
      <c r="I427" s="193" t="s">
        <v>4727</v>
      </c>
      <c r="T427" s="76"/>
    </row>
    <row r="428" spans="1:20" s="36" customFormat="1" ht="20" customHeight="1" x14ac:dyDescent="0.15">
      <c r="A428" s="5" t="s">
        <v>5855</v>
      </c>
      <c r="B428" s="193" t="s">
        <v>183</v>
      </c>
      <c r="C428" s="193" t="s">
        <v>2786</v>
      </c>
      <c r="D428" s="193" t="s">
        <v>4701</v>
      </c>
      <c r="E428" s="193" t="s">
        <v>4702</v>
      </c>
      <c r="F428" s="193" t="s">
        <v>4703</v>
      </c>
      <c r="G428" s="193" t="s">
        <v>4704</v>
      </c>
      <c r="H428" s="193" t="s">
        <v>4705</v>
      </c>
      <c r="I428" s="193" t="s">
        <v>4706</v>
      </c>
      <c r="T428" s="76"/>
    </row>
    <row r="429" spans="1:20" s="36" customFormat="1" ht="20" customHeight="1" x14ac:dyDescent="0.15">
      <c r="A429" s="5" t="s">
        <v>5855</v>
      </c>
      <c r="B429" s="193" t="s">
        <v>183</v>
      </c>
      <c r="C429" s="193" t="s">
        <v>2786</v>
      </c>
      <c r="D429" s="193" t="s">
        <v>4806</v>
      </c>
      <c r="E429" s="193" t="s">
        <v>4807</v>
      </c>
      <c r="F429" s="193" t="s">
        <v>4808</v>
      </c>
      <c r="G429" s="193" t="s">
        <v>4809</v>
      </c>
      <c r="H429" s="193" t="s">
        <v>4810</v>
      </c>
      <c r="I429" s="193" t="s">
        <v>3340</v>
      </c>
      <c r="T429" s="76"/>
    </row>
    <row r="430" spans="1:20" s="36" customFormat="1" ht="20" customHeight="1" x14ac:dyDescent="0.15">
      <c r="A430" s="5" t="s">
        <v>5855</v>
      </c>
      <c r="B430" s="193" t="s">
        <v>183</v>
      </c>
      <c r="C430" s="193" t="s">
        <v>2786</v>
      </c>
      <c r="D430" s="193" t="s">
        <v>4773</v>
      </c>
      <c r="E430" s="193" t="s">
        <v>4774</v>
      </c>
      <c r="F430" s="193" t="s">
        <v>4775</v>
      </c>
      <c r="G430" s="193" t="s">
        <v>4776</v>
      </c>
      <c r="H430" s="193" t="s">
        <v>4777</v>
      </c>
      <c r="I430" s="193" t="s">
        <v>4778</v>
      </c>
      <c r="T430" s="76"/>
    </row>
    <row r="431" spans="1:20" s="36" customFormat="1" ht="20" customHeight="1" x14ac:dyDescent="0.15">
      <c r="A431" s="5" t="s">
        <v>5855</v>
      </c>
      <c r="B431" s="193" t="s">
        <v>183</v>
      </c>
      <c r="C431" s="193" t="s">
        <v>2786</v>
      </c>
      <c r="D431" s="193" t="s">
        <v>4980</v>
      </c>
      <c r="E431" s="193" t="s">
        <v>4981</v>
      </c>
      <c r="F431" s="193" t="s">
        <v>4982</v>
      </c>
      <c r="G431" s="193" t="s">
        <v>4983</v>
      </c>
      <c r="H431" s="193" t="s">
        <v>4984</v>
      </c>
      <c r="I431" s="193" t="s">
        <v>3553</v>
      </c>
      <c r="T431" s="76"/>
    </row>
    <row r="432" spans="1:20" s="36" customFormat="1" ht="20" customHeight="1" x14ac:dyDescent="0.15">
      <c r="A432" s="5" t="s">
        <v>5855</v>
      </c>
      <c r="B432" s="193" t="s">
        <v>183</v>
      </c>
      <c r="C432" s="193" t="s">
        <v>2786</v>
      </c>
      <c r="D432" s="193" t="s">
        <v>4912</v>
      </c>
      <c r="E432" s="193" t="s">
        <v>4913</v>
      </c>
      <c r="F432" s="193" t="s">
        <v>4914</v>
      </c>
      <c r="G432" s="193" t="s">
        <v>4915</v>
      </c>
      <c r="H432" s="193" t="s">
        <v>4916</v>
      </c>
      <c r="I432" s="193" t="s">
        <v>4917</v>
      </c>
      <c r="T432" s="76"/>
    </row>
    <row r="433" spans="1:20" s="36" customFormat="1" ht="20" customHeight="1" x14ac:dyDescent="0.15">
      <c r="A433" s="5" t="s">
        <v>5855</v>
      </c>
      <c r="B433" s="193" t="s">
        <v>183</v>
      </c>
      <c r="C433" s="193" t="s">
        <v>2786</v>
      </c>
      <c r="D433" s="193" t="s">
        <v>4789</v>
      </c>
      <c r="E433" s="193" t="s">
        <v>4790</v>
      </c>
      <c r="F433" s="193" t="s">
        <v>4791</v>
      </c>
      <c r="G433" s="193" t="s">
        <v>4792</v>
      </c>
      <c r="H433" s="193" t="s">
        <v>4793</v>
      </c>
      <c r="I433" s="193" t="s">
        <v>3334</v>
      </c>
      <c r="T433" s="76"/>
    </row>
    <row r="434" spans="1:20" s="36" customFormat="1" ht="20" customHeight="1" x14ac:dyDescent="0.15">
      <c r="A434" s="5" t="s">
        <v>5855</v>
      </c>
      <c r="B434" s="193" t="s">
        <v>183</v>
      </c>
      <c r="C434" s="193" t="s">
        <v>2786</v>
      </c>
      <c r="D434" s="193" t="s">
        <v>4800</v>
      </c>
      <c r="E434" s="193" t="s">
        <v>4801</v>
      </c>
      <c r="F434" s="193" t="s">
        <v>4802</v>
      </c>
      <c r="G434" s="193" t="s">
        <v>4803</v>
      </c>
      <c r="H434" s="193" t="s">
        <v>4804</v>
      </c>
      <c r="I434" s="193" t="s">
        <v>4805</v>
      </c>
      <c r="T434" s="76"/>
    </row>
    <row r="435" spans="1:20" s="36" customFormat="1" ht="20" customHeight="1" x14ac:dyDescent="0.15">
      <c r="A435" s="5" t="s">
        <v>5855</v>
      </c>
      <c r="B435" s="193" t="s">
        <v>183</v>
      </c>
      <c r="C435" s="193" t="s">
        <v>2786</v>
      </c>
      <c r="D435" s="193" t="s">
        <v>4757</v>
      </c>
      <c r="E435" s="193" t="s">
        <v>4758</v>
      </c>
      <c r="F435" s="193" t="s">
        <v>4759</v>
      </c>
      <c r="G435" s="193" t="s">
        <v>4760</v>
      </c>
      <c r="H435" s="193" t="s">
        <v>4761</v>
      </c>
      <c r="I435" s="193" t="s">
        <v>2913</v>
      </c>
      <c r="T435" s="76"/>
    </row>
    <row r="436" spans="1:20" s="36" customFormat="1" ht="20" customHeight="1" x14ac:dyDescent="0.15">
      <c r="A436" s="5" t="s">
        <v>5855</v>
      </c>
      <c r="B436" s="193" t="s">
        <v>183</v>
      </c>
      <c r="C436" s="193" t="s">
        <v>2786</v>
      </c>
      <c r="D436" s="193" t="s">
        <v>4897</v>
      </c>
      <c r="E436" s="193" t="s">
        <v>4898</v>
      </c>
      <c r="F436" s="193" t="s">
        <v>4899</v>
      </c>
      <c r="G436" s="193" t="s">
        <v>4900</v>
      </c>
      <c r="H436" s="193" t="s">
        <v>4901</v>
      </c>
      <c r="I436" s="193" t="s">
        <v>3660</v>
      </c>
      <c r="T436" s="76"/>
    </row>
    <row r="437" spans="1:20" s="36" customFormat="1" ht="20" customHeight="1" x14ac:dyDescent="0.15">
      <c r="A437" s="5" t="s">
        <v>5855</v>
      </c>
      <c r="B437" s="193" t="s">
        <v>183</v>
      </c>
      <c r="C437" s="193" t="s">
        <v>2786</v>
      </c>
      <c r="D437" s="193" t="s">
        <v>4870</v>
      </c>
      <c r="E437" s="193" t="s">
        <v>4871</v>
      </c>
      <c r="F437" s="193" t="s">
        <v>4872</v>
      </c>
      <c r="G437" s="193" t="s">
        <v>4873</v>
      </c>
      <c r="H437" s="193" t="s">
        <v>4874</v>
      </c>
      <c r="I437" s="193" t="s">
        <v>2814</v>
      </c>
      <c r="T437" s="76"/>
    </row>
    <row r="438" spans="1:20" s="36" customFormat="1" ht="20" customHeight="1" x14ac:dyDescent="0.15">
      <c r="A438" s="5" t="s">
        <v>5855</v>
      </c>
      <c r="B438" s="193" t="s">
        <v>183</v>
      </c>
      <c r="C438" s="193" t="s">
        <v>2786</v>
      </c>
      <c r="D438" s="193" t="s">
        <v>3482</v>
      </c>
      <c r="E438" s="193" t="s">
        <v>3483</v>
      </c>
      <c r="F438" s="193" t="s">
        <v>4832</v>
      </c>
      <c r="G438" s="193" t="s">
        <v>4833</v>
      </c>
      <c r="H438" s="193" t="s">
        <v>4834</v>
      </c>
      <c r="I438" s="193" t="s">
        <v>4430</v>
      </c>
      <c r="T438" s="76"/>
    </row>
    <row r="439" spans="1:20" s="36" customFormat="1" ht="20" customHeight="1" x14ac:dyDescent="0.15">
      <c r="A439" s="5" t="s">
        <v>5855</v>
      </c>
      <c r="B439" s="193" t="s">
        <v>183</v>
      </c>
      <c r="C439" s="193" t="s">
        <v>2786</v>
      </c>
      <c r="D439" s="193" t="s">
        <v>4826</v>
      </c>
      <c r="E439" s="193" t="s">
        <v>4827</v>
      </c>
      <c r="F439" s="193" t="s">
        <v>4828</v>
      </c>
      <c r="G439" s="193" t="s">
        <v>4829</v>
      </c>
      <c r="H439" s="193" t="s">
        <v>4830</v>
      </c>
      <c r="I439" s="193" t="s">
        <v>4831</v>
      </c>
      <c r="T439" s="76"/>
    </row>
    <row r="440" spans="1:20" s="36" customFormat="1" ht="20" customHeight="1" x14ac:dyDescent="0.15">
      <c r="A440" s="5" t="s">
        <v>5855</v>
      </c>
      <c r="B440" s="193" t="s">
        <v>183</v>
      </c>
      <c r="C440" s="193" t="s">
        <v>2786</v>
      </c>
      <c r="D440" s="193" t="s">
        <v>4670</v>
      </c>
      <c r="E440" s="193" t="s">
        <v>4671</v>
      </c>
      <c r="F440" s="193" t="s">
        <v>4672</v>
      </c>
      <c r="G440" s="193" t="s">
        <v>4673</v>
      </c>
      <c r="H440" s="193" t="s">
        <v>4674</v>
      </c>
      <c r="I440" s="193" t="s">
        <v>2814</v>
      </c>
      <c r="T440" s="76"/>
    </row>
    <row r="441" spans="1:20" s="36" customFormat="1" ht="20" customHeight="1" x14ac:dyDescent="0.15">
      <c r="A441" s="5" t="s">
        <v>5855</v>
      </c>
      <c r="B441" s="193" t="s">
        <v>183</v>
      </c>
      <c r="C441" s="193" t="s">
        <v>2786</v>
      </c>
      <c r="D441" s="193" t="s">
        <v>4859</v>
      </c>
      <c r="E441" s="193" t="s">
        <v>4860</v>
      </c>
      <c r="F441" s="193" t="s">
        <v>4861</v>
      </c>
      <c r="G441" s="193" t="s">
        <v>4862</v>
      </c>
      <c r="H441" s="193" t="s">
        <v>4863</v>
      </c>
      <c r="I441" s="193" t="s">
        <v>3340</v>
      </c>
      <c r="T441" s="76"/>
    </row>
    <row r="442" spans="1:20" s="36" customFormat="1" ht="20" customHeight="1" x14ac:dyDescent="0.15">
      <c r="A442" s="5" t="s">
        <v>5855</v>
      </c>
      <c r="B442" s="193" t="s">
        <v>183</v>
      </c>
      <c r="C442" s="193" t="s">
        <v>2786</v>
      </c>
      <c r="D442" s="193" t="s">
        <v>4568</v>
      </c>
      <c r="E442" s="193" t="s">
        <v>4569</v>
      </c>
      <c r="F442" s="193" t="s">
        <v>4570</v>
      </c>
      <c r="G442" s="193" t="s">
        <v>4571</v>
      </c>
      <c r="H442" s="193" t="s">
        <v>4572</v>
      </c>
      <c r="I442" s="193" t="s">
        <v>3262</v>
      </c>
      <c r="T442" s="76"/>
    </row>
    <row r="443" spans="1:20" s="36" customFormat="1" ht="20" customHeight="1" x14ac:dyDescent="0.15">
      <c r="A443" s="5" t="s">
        <v>5855</v>
      </c>
      <c r="B443" s="193" t="s">
        <v>183</v>
      </c>
      <c r="C443" s="193" t="s">
        <v>2786</v>
      </c>
      <c r="D443" s="193" t="s">
        <v>4959</v>
      </c>
      <c r="E443" s="193" t="s">
        <v>4960</v>
      </c>
      <c r="F443" s="193" t="s">
        <v>4961</v>
      </c>
      <c r="G443" s="193" t="s">
        <v>4962</v>
      </c>
      <c r="H443" s="193" t="s">
        <v>4963</v>
      </c>
      <c r="I443" s="193" t="s">
        <v>2987</v>
      </c>
      <c r="T443" s="76"/>
    </row>
    <row r="444" spans="1:20" s="36" customFormat="1" ht="20" customHeight="1" x14ac:dyDescent="0.15">
      <c r="A444" s="5" t="s">
        <v>5855</v>
      </c>
      <c r="B444" s="193" t="s">
        <v>183</v>
      </c>
      <c r="C444" s="193" t="s">
        <v>2786</v>
      </c>
      <c r="D444" s="193" t="s">
        <v>4784</v>
      </c>
      <c r="E444" s="193" t="s">
        <v>4785</v>
      </c>
      <c r="F444" s="193" t="s">
        <v>4786</v>
      </c>
      <c r="G444" s="193" t="s">
        <v>4787</v>
      </c>
      <c r="H444" s="193" t="s">
        <v>4788</v>
      </c>
      <c r="I444" s="193" t="s">
        <v>3547</v>
      </c>
      <c r="T444" s="76"/>
    </row>
    <row r="445" spans="1:20" s="36" customFormat="1" ht="20" customHeight="1" x14ac:dyDescent="0.15">
      <c r="A445" s="5" t="s">
        <v>5855</v>
      </c>
      <c r="B445" s="193" t="s">
        <v>183</v>
      </c>
      <c r="C445" s="193" t="s">
        <v>2786</v>
      </c>
      <c r="D445" s="193" t="s">
        <v>4902</v>
      </c>
      <c r="E445" s="193" t="s">
        <v>4903</v>
      </c>
      <c r="F445" s="193" t="s">
        <v>4904</v>
      </c>
      <c r="G445" s="193" t="s">
        <v>4905</v>
      </c>
      <c r="H445" s="193" t="s">
        <v>4906</v>
      </c>
      <c r="I445" s="193" t="s">
        <v>3107</v>
      </c>
      <c r="T445" s="76"/>
    </row>
    <row r="446" spans="1:20" s="36" customFormat="1" ht="20" customHeight="1" x14ac:dyDescent="0.15">
      <c r="A446" s="5" t="s">
        <v>5855</v>
      </c>
      <c r="B446" s="193" t="s">
        <v>183</v>
      </c>
      <c r="C446" s="193" t="s">
        <v>2786</v>
      </c>
      <c r="D446" s="193" t="s">
        <v>4655</v>
      </c>
      <c r="E446" s="193" t="s">
        <v>4656</v>
      </c>
      <c r="F446" s="193" t="s">
        <v>4657</v>
      </c>
      <c r="G446" s="193" t="s">
        <v>4658</v>
      </c>
      <c r="H446" s="193" t="s">
        <v>5800</v>
      </c>
      <c r="I446" s="193" t="s">
        <v>5828</v>
      </c>
      <c r="T446" s="76"/>
    </row>
    <row r="447" spans="1:20" s="36" customFormat="1" ht="20" customHeight="1" x14ac:dyDescent="0.15">
      <c r="A447" s="5" t="s">
        <v>5855</v>
      </c>
      <c r="B447" s="193" t="s">
        <v>183</v>
      </c>
      <c r="C447" s="193" t="s">
        <v>2786</v>
      </c>
      <c r="D447" s="193" t="s">
        <v>4840</v>
      </c>
      <c r="E447" s="193"/>
      <c r="F447" s="193" t="s">
        <v>4841</v>
      </c>
      <c r="G447" s="193" t="s">
        <v>4842</v>
      </c>
      <c r="H447" s="193" t="s">
        <v>4843</v>
      </c>
      <c r="I447" s="193" t="s">
        <v>3694</v>
      </c>
      <c r="T447" s="76"/>
    </row>
    <row r="448" spans="1:20" s="36" customFormat="1" ht="20" customHeight="1" x14ac:dyDescent="0.15">
      <c r="A448" s="5" t="s">
        <v>5855</v>
      </c>
      <c r="B448" s="193" t="s">
        <v>183</v>
      </c>
      <c r="C448" s="193" t="s">
        <v>2786</v>
      </c>
      <c r="D448" s="193" t="s">
        <v>3478</v>
      </c>
      <c r="E448" s="193" t="s">
        <v>4584</v>
      </c>
      <c r="F448" s="193" t="s">
        <v>4585</v>
      </c>
      <c r="G448" s="193" t="s">
        <v>3479</v>
      </c>
      <c r="H448" s="193" t="s">
        <v>4586</v>
      </c>
      <c r="I448" s="193" t="s">
        <v>3481</v>
      </c>
      <c r="T448" s="76"/>
    </row>
    <row r="449" spans="1:20" s="36" customFormat="1" ht="20" customHeight="1" x14ac:dyDescent="0.15">
      <c r="A449" s="5" t="s">
        <v>5855</v>
      </c>
      <c r="B449" s="193" t="s">
        <v>183</v>
      </c>
      <c r="C449" s="193" t="s">
        <v>2786</v>
      </c>
      <c r="D449" s="193" t="s">
        <v>4835</v>
      </c>
      <c r="E449" s="193" t="s">
        <v>4836</v>
      </c>
      <c r="F449" s="193" t="s">
        <v>4837</v>
      </c>
      <c r="G449" s="193" t="s">
        <v>4838</v>
      </c>
      <c r="H449" s="193" t="s">
        <v>4839</v>
      </c>
      <c r="I449" s="193" t="s">
        <v>3547</v>
      </c>
      <c r="T449" s="76"/>
    </row>
    <row r="450" spans="1:20" s="36" customFormat="1" ht="20" customHeight="1" x14ac:dyDescent="0.15">
      <c r="A450" s="5" t="s">
        <v>5855</v>
      </c>
      <c r="B450" s="193" t="s">
        <v>183</v>
      </c>
      <c r="C450" s="193" t="s">
        <v>2786</v>
      </c>
      <c r="D450" s="193" t="s">
        <v>4954</v>
      </c>
      <c r="E450" s="193" t="s">
        <v>4955</v>
      </c>
      <c r="F450" s="193" t="s">
        <v>4956</v>
      </c>
      <c r="G450" s="193" t="s">
        <v>4957</v>
      </c>
      <c r="H450" s="193" t="s">
        <v>4958</v>
      </c>
      <c r="I450" s="193" t="s">
        <v>2839</v>
      </c>
      <c r="T450" s="76"/>
    </row>
    <row r="451" spans="1:20" s="36" customFormat="1" ht="20" customHeight="1" x14ac:dyDescent="0.15">
      <c r="A451" s="5" t="s">
        <v>5855</v>
      </c>
      <c r="B451" s="193" t="s">
        <v>183</v>
      </c>
      <c r="C451" s="193" t="s">
        <v>2786</v>
      </c>
      <c r="D451" s="193" t="s">
        <v>4767</v>
      </c>
      <c r="E451" s="193" t="s">
        <v>4768</v>
      </c>
      <c r="F451" s="193" t="s">
        <v>4769</v>
      </c>
      <c r="G451" s="193" t="s">
        <v>4770</v>
      </c>
      <c r="H451" s="193" t="s">
        <v>4771</v>
      </c>
      <c r="I451" s="193" t="s">
        <v>4772</v>
      </c>
      <c r="T451" s="76"/>
    </row>
    <row r="452" spans="1:20" s="36" customFormat="1" ht="20" customHeight="1" x14ac:dyDescent="0.15">
      <c r="A452" s="5" t="s">
        <v>5855</v>
      </c>
      <c r="B452" s="193" t="s">
        <v>183</v>
      </c>
      <c r="C452" s="193" t="s">
        <v>2786</v>
      </c>
      <c r="D452" s="193" t="s">
        <v>4695</v>
      </c>
      <c r="E452" s="193" t="s">
        <v>4696</v>
      </c>
      <c r="F452" s="193" t="s">
        <v>4697</v>
      </c>
      <c r="G452" s="193" t="s">
        <v>4698</v>
      </c>
      <c r="H452" s="193" t="s">
        <v>4699</v>
      </c>
      <c r="I452" s="193" t="s">
        <v>4700</v>
      </c>
      <c r="T452" s="76"/>
    </row>
    <row r="453" spans="1:20" s="36" customFormat="1" ht="20" customHeight="1" x14ac:dyDescent="0.15">
      <c r="A453" s="5" t="s">
        <v>5855</v>
      </c>
      <c r="B453" s="193" t="s">
        <v>183</v>
      </c>
      <c r="C453" s="193" t="s">
        <v>2786</v>
      </c>
      <c r="D453" s="193" t="s">
        <v>4680</v>
      </c>
      <c r="E453" s="193" t="s">
        <v>4681</v>
      </c>
      <c r="F453" s="193" t="s">
        <v>4682</v>
      </c>
      <c r="G453" s="193" t="s">
        <v>4683</v>
      </c>
      <c r="H453" s="193" t="s">
        <v>4684</v>
      </c>
      <c r="I453" s="193" t="s">
        <v>3373</v>
      </c>
      <c r="T453" s="76"/>
    </row>
    <row r="454" spans="1:20" s="36" customFormat="1" ht="20" customHeight="1" x14ac:dyDescent="0.15">
      <c r="A454" s="5" t="s">
        <v>5855</v>
      </c>
      <c r="B454" s="193" t="s">
        <v>183</v>
      </c>
      <c r="C454" s="193" t="s">
        <v>2786</v>
      </c>
      <c r="D454" s="193" t="s">
        <v>4849</v>
      </c>
      <c r="E454" s="193" t="s">
        <v>4850</v>
      </c>
      <c r="F454" s="193" t="s">
        <v>4851</v>
      </c>
      <c r="G454" s="193" t="s">
        <v>4852</v>
      </c>
      <c r="H454" s="193" t="s">
        <v>4853</v>
      </c>
      <c r="I454" s="193" t="s">
        <v>3681</v>
      </c>
      <c r="T454" s="76"/>
    </row>
    <row r="455" spans="1:20" s="36" customFormat="1" ht="20" customHeight="1" x14ac:dyDescent="0.15">
      <c r="A455" s="5" t="s">
        <v>5855</v>
      </c>
      <c r="B455" s="193" t="s">
        <v>183</v>
      </c>
      <c r="C455" s="193" t="s">
        <v>2786</v>
      </c>
      <c r="D455" s="193" t="s">
        <v>4964</v>
      </c>
      <c r="E455" s="193" t="s">
        <v>4965</v>
      </c>
      <c r="F455" s="193" t="s">
        <v>4966</v>
      </c>
      <c r="G455" s="193" t="s">
        <v>4967</v>
      </c>
      <c r="H455" s="193" t="s">
        <v>4968</v>
      </c>
      <c r="I455" s="193" t="s">
        <v>4969</v>
      </c>
      <c r="T455" s="76"/>
    </row>
    <row r="456" spans="1:20" s="36" customFormat="1" ht="20" customHeight="1" x14ac:dyDescent="0.15">
      <c r="A456" s="5" t="s">
        <v>5855</v>
      </c>
      <c r="B456" s="193" t="s">
        <v>183</v>
      </c>
      <c r="C456" s="193" t="s">
        <v>2786</v>
      </c>
      <c r="D456" s="193" t="s">
        <v>4762</v>
      </c>
      <c r="E456" s="193" t="s">
        <v>4763</v>
      </c>
      <c r="F456" s="193" t="s">
        <v>4764</v>
      </c>
      <c r="G456" s="193" t="s">
        <v>4765</v>
      </c>
      <c r="H456" s="193" t="s">
        <v>4766</v>
      </c>
      <c r="I456" s="193" t="s">
        <v>3162</v>
      </c>
      <c r="T456" s="76"/>
    </row>
    <row r="457" spans="1:20" s="36" customFormat="1" ht="20" customHeight="1" x14ac:dyDescent="0.15">
      <c r="A457" s="5" t="s">
        <v>5855</v>
      </c>
      <c r="B457" s="193" t="s">
        <v>183</v>
      </c>
      <c r="C457" s="193" t="s">
        <v>2786</v>
      </c>
      <c r="D457" s="193" t="s">
        <v>4649</v>
      </c>
      <c r="E457" s="193" t="s">
        <v>4650</v>
      </c>
      <c r="F457" s="193" t="s">
        <v>4651</v>
      </c>
      <c r="G457" s="193" t="s">
        <v>4652</v>
      </c>
      <c r="H457" s="193" t="s">
        <v>4653</v>
      </c>
      <c r="I457" s="193" t="s">
        <v>4654</v>
      </c>
      <c r="T457" s="76"/>
    </row>
    <row r="458" spans="1:20" s="36" customFormat="1" ht="20" customHeight="1" x14ac:dyDescent="0.15">
      <c r="A458" s="5" t="s">
        <v>5855</v>
      </c>
      <c r="B458" s="193" t="s">
        <v>183</v>
      </c>
      <c r="C458" s="193" t="s">
        <v>2786</v>
      </c>
      <c r="D458" s="193" t="s">
        <v>4949</v>
      </c>
      <c r="E458" s="193" t="s">
        <v>4950</v>
      </c>
      <c r="F458" s="193" t="s">
        <v>4951</v>
      </c>
      <c r="G458" s="193" t="s">
        <v>4952</v>
      </c>
      <c r="H458" s="193" t="s">
        <v>4953</v>
      </c>
      <c r="I458" s="193" t="s">
        <v>3134</v>
      </c>
      <c r="T458" s="76"/>
    </row>
    <row r="459" spans="1:20" s="36" customFormat="1" ht="20" customHeight="1" x14ac:dyDescent="0.15">
      <c r="A459" s="5" t="s">
        <v>5855</v>
      </c>
      <c r="B459" s="193" t="s">
        <v>183</v>
      </c>
      <c r="C459" s="193" t="s">
        <v>2786</v>
      </c>
      <c r="D459" s="193" t="s">
        <v>4938</v>
      </c>
      <c r="E459" s="193" t="s">
        <v>4939</v>
      </c>
      <c r="F459" s="193" t="s">
        <v>4940</v>
      </c>
      <c r="G459" s="193" t="s">
        <v>4941</v>
      </c>
      <c r="H459" s="193" t="s">
        <v>4942</v>
      </c>
      <c r="I459" s="193" t="s">
        <v>3050</v>
      </c>
      <c r="T459" s="76"/>
    </row>
    <row r="460" spans="1:20" s="36" customFormat="1" ht="20" customHeight="1" x14ac:dyDescent="0.15">
      <c r="A460" s="5" t="s">
        <v>5855</v>
      </c>
      <c r="B460" s="193" t="s">
        <v>183</v>
      </c>
      <c r="C460" s="193" t="s">
        <v>2786</v>
      </c>
      <c r="D460" s="193" t="s">
        <v>4659</v>
      </c>
      <c r="E460" s="193" t="s">
        <v>4660</v>
      </c>
      <c r="F460" s="193" t="s">
        <v>4661</v>
      </c>
      <c r="G460" s="193" t="s">
        <v>4662</v>
      </c>
      <c r="H460" s="193" t="s">
        <v>4663</v>
      </c>
      <c r="I460" s="193" t="s">
        <v>4664</v>
      </c>
      <c r="T460" s="76"/>
    </row>
    <row r="461" spans="1:20" s="36" customFormat="1" ht="20" customHeight="1" x14ac:dyDescent="0.15">
      <c r="A461" s="5" t="s">
        <v>5855</v>
      </c>
      <c r="B461" s="193" t="s">
        <v>183</v>
      </c>
      <c r="C461" s="193" t="s">
        <v>2786</v>
      </c>
      <c r="D461" s="193" t="s">
        <v>4891</v>
      </c>
      <c r="E461" s="193" t="s">
        <v>4892</v>
      </c>
      <c r="F461" s="193" t="s">
        <v>4893</v>
      </c>
      <c r="G461" s="193" t="s">
        <v>4894</v>
      </c>
      <c r="H461" s="193" t="s">
        <v>4895</v>
      </c>
      <c r="I461" s="193" t="s">
        <v>4896</v>
      </c>
      <c r="T461" s="76"/>
    </row>
    <row r="462" spans="1:20" s="36" customFormat="1" ht="20" customHeight="1" x14ac:dyDescent="0.15">
      <c r="A462" s="5" t="s">
        <v>5855</v>
      </c>
      <c r="B462" s="193" t="s">
        <v>183</v>
      </c>
      <c r="C462" s="193" t="s">
        <v>2786</v>
      </c>
      <c r="D462" s="193" t="s">
        <v>4598</v>
      </c>
      <c r="E462" s="193" t="s">
        <v>4599</v>
      </c>
      <c r="F462" s="193" t="s">
        <v>4600</v>
      </c>
      <c r="G462" s="193" t="s">
        <v>4601</v>
      </c>
      <c r="H462" s="193" t="s">
        <v>4602</v>
      </c>
      <c r="I462" s="193" t="s">
        <v>4116</v>
      </c>
      <c r="T462" s="76"/>
    </row>
    <row r="463" spans="1:20" s="36" customFormat="1" ht="20" customHeight="1" x14ac:dyDescent="0.15">
      <c r="A463" s="5" t="s">
        <v>5855</v>
      </c>
      <c r="B463" s="193" t="s">
        <v>183</v>
      </c>
      <c r="C463" s="193" t="s">
        <v>2786</v>
      </c>
      <c r="D463" s="193" t="s">
        <v>4689</v>
      </c>
      <c r="E463" s="193" t="s">
        <v>4690</v>
      </c>
      <c r="F463" s="193" t="s">
        <v>4691</v>
      </c>
      <c r="G463" s="193" t="s">
        <v>4692</v>
      </c>
      <c r="H463" s="193" t="s">
        <v>4693</v>
      </c>
      <c r="I463" s="193" t="s">
        <v>4694</v>
      </c>
      <c r="T463" s="76"/>
    </row>
    <row r="464" spans="1:20" s="36" customFormat="1" ht="20" customHeight="1" x14ac:dyDescent="0.15">
      <c r="A464" s="5" t="s">
        <v>5855</v>
      </c>
      <c r="B464" s="193" t="s">
        <v>183</v>
      </c>
      <c r="C464" s="193" t="s">
        <v>2786</v>
      </c>
      <c r="D464" s="193" t="s">
        <v>4794</v>
      </c>
      <c r="E464" s="193" t="s">
        <v>4795</v>
      </c>
      <c r="F464" s="193" t="s">
        <v>4796</v>
      </c>
      <c r="G464" s="193" t="s">
        <v>4797</v>
      </c>
      <c r="H464" s="193" t="s">
        <v>4798</v>
      </c>
      <c r="I464" s="193" t="s">
        <v>4799</v>
      </c>
      <c r="T464" s="76"/>
    </row>
    <row r="465" spans="1:20" s="36" customFormat="1" ht="20" customHeight="1" x14ac:dyDescent="0.15">
      <c r="A465" s="5" t="s">
        <v>5855</v>
      </c>
      <c r="B465" s="193" t="s">
        <v>183</v>
      </c>
      <c r="C465" s="193" t="s">
        <v>2786</v>
      </c>
      <c r="D465" s="193" t="s">
        <v>2015</v>
      </c>
      <c r="E465" s="193" t="s">
        <v>4817</v>
      </c>
      <c r="F465" s="193" t="s">
        <v>4818</v>
      </c>
      <c r="G465" s="193" t="s">
        <v>4819</v>
      </c>
      <c r="H465" s="193" t="s">
        <v>4820</v>
      </c>
      <c r="I465" s="193" t="s">
        <v>2841</v>
      </c>
      <c r="T465" s="76"/>
    </row>
    <row r="466" spans="1:20" s="36" customFormat="1" ht="20" customHeight="1" x14ac:dyDescent="0.15">
      <c r="A466" s="5" t="s">
        <v>5855</v>
      </c>
      <c r="B466" s="193" t="s">
        <v>183</v>
      </c>
      <c r="C466" s="193" t="s">
        <v>2786</v>
      </c>
      <c r="D466" s="193" t="s">
        <v>4886</v>
      </c>
      <c r="E466" s="193" t="s">
        <v>4887</v>
      </c>
      <c r="F466" s="193" t="s">
        <v>4888</v>
      </c>
      <c r="G466" s="193" t="s">
        <v>4889</v>
      </c>
      <c r="H466" s="193" t="s">
        <v>4890</v>
      </c>
      <c r="I466" s="193" t="s">
        <v>4116</v>
      </c>
      <c r="T466" s="76"/>
    </row>
    <row r="467" spans="1:20" s="36" customFormat="1" ht="20" customHeight="1" x14ac:dyDescent="0.15">
      <c r="A467" s="5" t="s">
        <v>5856</v>
      </c>
      <c r="B467" s="193" t="s">
        <v>186</v>
      </c>
      <c r="C467" s="193" t="s">
        <v>2787</v>
      </c>
      <c r="D467" s="193" t="s">
        <v>4541</v>
      </c>
      <c r="E467" s="193" t="s">
        <v>4542</v>
      </c>
      <c r="F467" s="193" t="s">
        <v>4543</v>
      </c>
      <c r="G467" s="193" t="s">
        <v>4544</v>
      </c>
      <c r="H467" s="193" t="s">
        <v>4545</v>
      </c>
      <c r="I467" s="193" t="s">
        <v>3134</v>
      </c>
      <c r="T467" s="76"/>
    </row>
    <row r="468" spans="1:20" s="36" customFormat="1" ht="20" customHeight="1" x14ac:dyDescent="0.15">
      <c r="A468" s="5" t="s">
        <v>5856</v>
      </c>
      <c r="B468" s="193" t="s">
        <v>186</v>
      </c>
      <c r="C468" s="193" t="s">
        <v>2787</v>
      </c>
      <c r="D468" s="193" t="s">
        <v>4562</v>
      </c>
      <c r="E468" s="193" t="s">
        <v>4563</v>
      </c>
      <c r="F468" s="193" t="s">
        <v>4564</v>
      </c>
      <c r="G468" s="193" t="s">
        <v>4565</v>
      </c>
      <c r="H468" s="193" t="s">
        <v>4566</v>
      </c>
      <c r="I468" s="193" t="s">
        <v>4567</v>
      </c>
      <c r="T468" s="76"/>
    </row>
    <row r="469" spans="1:20" s="36" customFormat="1" ht="20" customHeight="1" x14ac:dyDescent="0.15">
      <c r="A469" s="5" t="s">
        <v>5856</v>
      </c>
      <c r="B469" s="193" t="s">
        <v>186</v>
      </c>
      <c r="C469" s="193" t="s">
        <v>2787</v>
      </c>
      <c r="D469" s="193" t="s">
        <v>4527</v>
      </c>
      <c r="E469" s="193" t="s">
        <v>4528</v>
      </c>
      <c r="F469" s="193" t="s">
        <v>4529</v>
      </c>
      <c r="G469" s="193" t="s">
        <v>4530</v>
      </c>
      <c r="H469" s="193" t="s">
        <v>4531</v>
      </c>
      <c r="I469" s="193" t="s">
        <v>3004</v>
      </c>
      <c r="T469" s="76"/>
    </row>
    <row r="470" spans="1:20" s="36" customFormat="1" ht="20" customHeight="1" x14ac:dyDescent="0.15">
      <c r="A470" s="5" t="s">
        <v>5856</v>
      </c>
      <c r="B470" s="193" t="s">
        <v>186</v>
      </c>
      <c r="C470" s="193" t="s">
        <v>2787</v>
      </c>
      <c r="D470" s="193" t="s">
        <v>4546</v>
      </c>
      <c r="E470" s="193" t="s">
        <v>4547</v>
      </c>
      <c r="F470" s="193" t="s">
        <v>4548</v>
      </c>
      <c r="G470" s="193" t="s">
        <v>4549</v>
      </c>
      <c r="H470" s="193" t="s">
        <v>4550</v>
      </c>
      <c r="I470" s="193" t="s">
        <v>3340</v>
      </c>
      <c r="T470" s="76"/>
    </row>
    <row r="471" spans="1:20" s="36" customFormat="1" ht="20" customHeight="1" x14ac:dyDescent="0.15">
      <c r="A471" s="5" t="s">
        <v>5856</v>
      </c>
      <c r="B471" s="193" t="s">
        <v>186</v>
      </c>
      <c r="C471" s="193" t="s">
        <v>2787</v>
      </c>
      <c r="D471" s="193" t="s">
        <v>4532</v>
      </c>
      <c r="E471" s="193" t="s">
        <v>4533</v>
      </c>
      <c r="F471" s="193" t="s">
        <v>4534</v>
      </c>
      <c r="G471" s="193" t="s">
        <v>4535</v>
      </c>
      <c r="H471" s="193" t="s">
        <v>4536</v>
      </c>
      <c r="I471" s="193" t="s">
        <v>4116</v>
      </c>
      <c r="T471" s="76"/>
    </row>
    <row r="472" spans="1:20" s="36" customFormat="1" ht="20" customHeight="1" x14ac:dyDescent="0.15">
      <c r="A472" s="5" t="s">
        <v>5856</v>
      </c>
      <c r="B472" s="193" t="s">
        <v>186</v>
      </c>
      <c r="C472" s="193" t="s">
        <v>2787</v>
      </c>
      <c r="D472" s="193" t="s">
        <v>4557</v>
      </c>
      <c r="E472" s="193" t="s">
        <v>4558</v>
      </c>
      <c r="F472" s="193" t="s">
        <v>4559</v>
      </c>
      <c r="G472" s="193" t="s">
        <v>4560</v>
      </c>
      <c r="H472" s="193" t="s">
        <v>4561</v>
      </c>
      <c r="I472" s="193" t="s">
        <v>3221</v>
      </c>
      <c r="T472" s="76"/>
    </row>
    <row r="473" spans="1:20" s="36" customFormat="1" ht="20" customHeight="1" x14ac:dyDescent="0.15">
      <c r="A473" s="5" t="s">
        <v>5856</v>
      </c>
      <c r="B473" s="193" t="s">
        <v>186</v>
      </c>
      <c r="C473" s="193" t="s">
        <v>2787</v>
      </c>
      <c r="D473" s="193" t="s">
        <v>4537</v>
      </c>
      <c r="E473" s="193" t="s">
        <v>3730</v>
      </c>
      <c r="F473" s="193" t="s">
        <v>4538</v>
      </c>
      <c r="G473" s="193" t="s">
        <v>4539</v>
      </c>
      <c r="H473" s="193" t="s">
        <v>4540</v>
      </c>
      <c r="I473" s="193" t="s">
        <v>2857</v>
      </c>
      <c r="T473" s="76"/>
    </row>
    <row r="474" spans="1:20" s="36" customFormat="1" ht="20" customHeight="1" x14ac:dyDescent="0.15">
      <c r="A474" s="5" t="s">
        <v>5856</v>
      </c>
      <c r="B474" s="193" t="s">
        <v>186</v>
      </c>
      <c r="C474" s="193" t="s">
        <v>2787</v>
      </c>
      <c r="D474" s="193" t="s">
        <v>4551</v>
      </c>
      <c r="E474" s="193" t="s">
        <v>4552</v>
      </c>
      <c r="F474" s="193" t="s">
        <v>4553</v>
      </c>
      <c r="G474" s="193" t="s">
        <v>4554</v>
      </c>
      <c r="H474" s="193" t="s">
        <v>4555</v>
      </c>
      <c r="I474" s="193" t="s">
        <v>4556</v>
      </c>
      <c r="T474" s="76"/>
    </row>
    <row r="475" spans="1:20" s="36" customFormat="1" ht="20" customHeight="1" x14ac:dyDescent="0.15">
      <c r="A475" s="5" t="s">
        <v>5857</v>
      </c>
      <c r="B475" s="193" t="s">
        <v>189</v>
      </c>
      <c r="C475" s="193" t="s">
        <v>2788</v>
      </c>
      <c r="D475" s="193" t="s">
        <v>4362</v>
      </c>
      <c r="E475" s="193" t="s">
        <v>4363</v>
      </c>
      <c r="F475" s="193" t="s">
        <v>4364</v>
      </c>
      <c r="G475" s="193" t="s">
        <v>4365</v>
      </c>
      <c r="H475" s="193" t="s">
        <v>4366</v>
      </c>
      <c r="I475" s="193" t="s">
        <v>2947</v>
      </c>
      <c r="T475" s="76"/>
    </row>
    <row r="476" spans="1:20" s="36" customFormat="1" ht="20" customHeight="1" x14ac:dyDescent="0.15">
      <c r="A476" s="5" t="s">
        <v>5857</v>
      </c>
      <c r="B476" s="193" t="s">
        <v>189</v>
      </c>
      <c r="C476" s="193" t="s">
        <v>2788</v>
      </c>
      <c r="D476" s="193" t="s">
        <v>4393</v>
      </c>
      <c r="E476" s="193" t="s">
        <v>4394</v>
      </c>
      <c r="F476" s="193" t="s">
        <v>4395</v>
      </c>
      <c r="G476" s="193" t="s">
        <v>4396</v>
      </c>
      <c r="H476" s="193" t="s">
        <v>4397</v>
      </c>
      <c r="I476" s="193" t="s">
        <v>4398</v>
      </c>
      <c r="T476" s="76"/>
    </row>
    <row r="477" spans="1:20" s="36" customFormat="1" ht="20" customHeight="1" x14ac:dyDescent="0.15">
      <c r="A477" s="5" t="s">
        <v>5857</v>
      </c>
      <c r="B477" s="193" t="s">
        <v>189</v>
      </c>
      <c r="C477" s="193" t="s">
        <v>2788</v>
      </c>
      <c r="D477" s="193" t="s">
        <v>4420</v>
      </c>
      <c r="E477" s="193" t="s">
        <v>4421</v>
      </c>
      <c r="F477" s="193" t="s">
        <v>4422</v>
      </c>
      <c r="G477" s="193" t="s">
        <v>4423</v>
      </c>
      <c r="H477" s="193" t="s">
        <v>4424</v>
      </c>
      <c r="I477" s="193" t="s">
        <v>4425</v>
      </c>
      <c r="T477" s="76"/>
    </row>
    <row r="478" spans="1:20" s="36" customFormat="1" ht="20" customHeight="1" x14ac:dyDescent="0.15">
      <c r="A478" s="5" t="s">
        <v>5857</v>
      </c>
      <c r="B478" s="193" t="s">
        <v>189</v>
      </c>
      <c r="C478" s="193" t="s">
        <v>2788</v>
      </c>
      <c r="D478" s="193" t="s">
        <v>4437</v>
      </c>
      <c r="E478" s="193" t="s">
        <v>4438</v>
      </c>
      <c r="F478" s="193" t="s">
        <v>4439</v>
      </c>
      <c r="G478" s="193" t="s">
        <v>4440</v>
      </c>
      <c r="H478" s="193" t="s">
        <v>4441</v>
      </c>
      <c r="I478" s="193" t="s">
        <v>4442</v>
      </c>
      <c r="T478" s="76"/>
    </row>
    <row r="479" spans="1:20" s="36" customFormat="1" ht="20" customHeight="1" x14ac:dyDescent="0.15">
      <c r="A479" s="5" t="s">
        <v>5857</v>
      </c>
      <c r="B479" s="193" t="s">
        <v>189</v>
      </c>
      <c r="C479" s="193" t="s">
        <v>2788</v>
      </c>
      <c r="D479" s="193" t="s">
        <v>4431</v>
      </c>
      <c r="E479" s="193" t="s">
        <v>4432</v>
      </c>
      <c r="F479" s="193" t="s">
        <v>4433</v>
      </c>
      <c r="G479" s="193" t="s">
        <v>4434</v>
      </c>
      <c r="H479" s="193" t="s">
        <v>4435</v>
      </c>
      <c r="I479" s="193" t="s">
        <v>4436</v>
      </c>
      <c r="T479" s="76"/>
    </row>
    <row r="480" spans="1:20" s="36" customFormat="1" ht="20" customHeight="1" x14ac:dyDescent="0.15">
      <c r="A480" s="5" t="s">
        <v>5857</v>
      </c>
      <c r="B480" s="193" t="s">
        <v>189</v>
      </c>
      <c r="C480" s="193" t="s">
        <v>2788</v>
      </c>
      <c r="D480" s="193" t="s">
        <v>4496</v>
      </c>
      <c r="E480" s="193" t="s">
        <v>4497</v>
      </c>
      <c r="F480" s="193" t="s">
        <v>4498</v>
      </c>
      <c r="G480" s="193" t="s">
        <v>4499</v>
      </c>
      <c r="H480" s="193" t="s">
        <v>4500</v>
      </c>
      <c r="I480" s="193" t="s">
        <v>2925</v>
      </c>
      <c r="T480" s="76"/>
    </row>
    <row r="481" spans="1:20" s="36" customFormat="1" ht="20" customHeight="1" x14ac:dyDescent="0.15">
      <c r="A481" s="5" t="s">
        <v>5857</v>
      </c>
      <c r="B481" s="193" t="s">
        <v>189</v>
      </c>
      <c r="C481" s="193" t="s">
        <v>2788</v>
      </c>
      <c r="D481" s="193" t="s">
        <v>4506</v>
      </c>
      <c r="E481" s="193" t="s">
        <v>4507</v>
      </c>
      <c r="F481" s="193" t="s">
        <v>4508</v>
      </c>
      <c r="G481" s="193" t="s">
        <v>4509</v>
      </c>
      <c r="H481" s="193" t="s">
        <v>4510</v>
      </c>
      <c r="I481" s="193" t="s">
        <v>3694</v>
      </c>
      <c r="T481" s="76"/>
    </row>
    <row r="482" spans="1:20" s="36" customFormat="1" ht="20" customHeight="1" x14ac:dyDescent="0.15">
      <c r="A482" s="5" t="s">
        <v>5857</v>
      </c>
      <c r="B482" s="193" t="s">
        <v>189</v>
      </c>
      <c r="C482" s="193" t="s">
        <v>2788</v>
      </c>
      <c r="D482" s="193" t="s">
        <v>4372</v>
      </c>
      <c r="E482" s="193" t="s">
        <v>4373</v>
      </c>
      <c r="F482" s="193" t="s">
        <v>4374</v>
      </c>
      <c r="G482" s="193" t="s">
        <v>4375</v>
      </c>
      <c r="H482" s="193" t="s">
        <v>4376</v>
      </c>
      <c r="I482" s="193" t="s">
        <v>4377</v>
      </c>
      <c r="T482" s="76"/>
    </row>
    <row r="483" spans="1:20" s="36" customFormat="1" ht="20" customHeight="1" x14ac:dyDescent="0.15">
      <c r="A483" s="5" t="s">
        <v>5857</v>
      </c>
      <c r="B483" s="193" t="s">
        <v>189</v>
      </c>
      <c r="C483" s="193" t="s">
        <v>2788</v>
      </c>
      <c r="D483" s="193" t="s">
        <v>4481</v>
      </c>
      <c r="E483" s="193" t="s">
        <v>4482</v>
      </c>
      <c r="F483" s="193" t="s">
        <v>4483</v>
      </c>
      <c r="G483" s="193" t="s">
        <v>4484</v>
      </c>
      <c r="H483" s="193" t="s">
        <v>4485</v>
      </c>
      <c r="I483" s="193" t="s">
        <v>4486</v>
      </c>
      <c r="T483" s="76"/>
    </row>
    <row r="484" spans="1:20" s="36" customFormat="1" ht="20" customHeight="1" x14ac:dyDescent="0.15">
      <c r="A484" s="5" t="s">
        <v>5857</v>
      </c>
      <c r="B484" s="193" t="s">
        <v>189</v>
      </c>
      <c r="C484" s="193" t="s">
        <v>2788</v>
      </c>
      <c r="D484" s="193" t="s">
        <v>4459</v>
      </c>
      <c r="E484" s="193" t="s">
        <v>4460</v>
      </c>
      <c r="F484" s="193" t="s">
        <v>4461</v>
      </c>
      <c r="G484" s="193" t="s">
        <v>4462</v>
      </c>
      <c r="H484" s="193" t="s">
        <v>4463</v>
      </c>
      <c r="I484" s="193" t="s">
        <v>4116</v>
      </c>
      <c r="T484" s="76"/>
    </row>
    <row r="485" spans="1:20" s="36" customFormat="1" ht="20" customHeight="1" x14ac:dyDescent="0.15">
      <c r="A485" s="5" t="s">
        <v>5857</v>
      </c>
      <c r="B485" s="193" t="s">
        <v>189</v>
      </c>
      <c r="C485" s="193" t="s">
        <v>2788</v>
      </c>
      <c r="D485" s="193" t="s">
        <v>4464</v>
      </c>
      <c r="E485" s="193" t="s">
        <v>4465</v>
      </c>
      <c r="F485" s="193" t="s">
        <v>4466</v>
      </c>
      <c r="G485" s="193" t="s">
        <v>4467</v>
      </c>
      <c r="H485" s="193" t="s">
        <v>4468</v>
      </c>
      <c r="I485" s="193" t="s">
        <v>3020</v>
      </c>
      <c r="T485" s="76"/>
    </row>
    <row r="486" spans="1:20" s="36" customFormat="1" ht="20" customHeight="1" x14ac:dyDescent="0.15">
      <c r="A486" s="5" t="s">
        <v>5857</v>
      </c>
      <c r="B486" s="193" t="s">
        <v>189</v>
      </c>
      <c r="C486" s="193" t="s">
        <v>2788</v>
      </c>
      <c r="D486" s="193" t="s">
        <v>4415</v>
      </c>
      <c r="E486" s="193" t="s">
        <v>4416</v>
      </c>
      <c r="F486" s="193" t="s">
        <v>4417</v>
      </c>
      <c r="G486" s="193" t="s">
        <v>4418</v>
      </c>
      <c r="H486" s="193" t="s">
        <v>4419</v>
      </c>
      <c r="I486" s="193" t="s">
        <v>2953</v>
      </c>
      <c r="T486" s="76"/>
    </row>
    <row r="487" spans="1:20" s="36" customFormat="1" ht="20" customHeight="1" x14ac:dyDescent="0.15">
      <c r="A487" s="5" t="s">
        <v>5857</v>
      </c>
      <c r="B487" s="193" t="s">
        <v>189</v>
      </c>
      <c r="C487" s="193" t="s">
        <v>2788</v>
      </c>
      <c r="D487" s="193" t="s">
        <v>4516</v>
      </c>
      <c r="E487" s="193" t="s">
        <v>4517</v>
      </c>
      <c r="F487" s="193" t="s">
        <v>4518</v>
      </c>
      <c r="G487" s="193" t="s">
        <v>4519</v>
      </c>
      <c r="H487" s="193" t="s">
        <v>4520</v>
      </c>
      <c r="I487" s="193" t="s">
        <v>4521</v>
      </c>
      <c r="T487" s="76"/>
    </row>
    <row r="488" spans="1:20" s="36" customFormat="1" ht="20" customHeight="1" x14ac:dyDescent="0.15">
      <c r="A488" s="5" t="s">
        <v>5857</v>
      </c>
      <c r="B488" s="193" t="s">
        <v>189</v>
      </c>
      <c r="C488" s="193" t="s">
        <v>2788</v>
      </c>
      <c r="D488" s="193" t="s">
        <v>4399</v>
      </c>
      <c r="E488" s="193" t="s">
        <v>4400</v>
      </c>
      <c r="F488" s="193" t="s">
        <v>4401</v>
      </c>
      <c r="G488" s="193" t="s">
        <v>4402</v>
      </c>
      <c r="H488" s="193" t="s">
        <v>4403</v>
      </c>
      <c r="I488" s="193" t="s">
        <v>3205</v>
      </c>
      <c r="T488" s="76"/>
    </row>
    <row r="489" spans="1:20" s="36" customFormat="1" ht="20" customHeight="1" x14ac:dyDescent="0.15">
      <c r="A489" s="5" t="s">
        <v>5857</v>
      </c>
      <c r="B489" s="193" t="s">
        <v>189</v>
      </c>
      <c r="C489" s="193" t="s">
        <v>2788</v>
      </c>
      <c r="D489" s="193" t="s">
        <v>4426</v>
      </c>
      <c r="E489" s="193" t="s">
        <v>3904</v>
      </c>
      <c r="F489" s="193" t="s">
        <v>4427</v>
      </c>
      <c r="G489" s="193" t="s">
        <v>4428</v>
      </c>
      <c r="H489" s="193" t="s">
        <v>4429</v>
      </c>
      <c r="I489" s="193" t="s">
        <v>4430</v>
      </c>
      <c r="T489" s="76"/>
    </row>
    <row r="490" spans="1:20" s="36" customFormat="1" ht="20" customHeight="1" x14ac:dyDescent="0.15">
      <c r="A490" s="5" t="s">
        <v>5857</v>
      </c>
      <c r="B490" s="193" t="s">
        <v>189</v>
      </c>
      <c r="C490" s="193" t="s">
        <v>2788</v>
      </c>
      <c r="D490" s="193" t="s">
        <v>4404</v>
      </c>
      <c r="E490" s="193" t="s">
        <v>4405</v>
      </c>
      <c r="F490" s="193" t="s">
        <v>4406</v>
      </c>
      <c r="G490" s="193" t="s">
        <v>4407</v>
      </c>
      <c r="H490" s="193" t="s">
        <v>4408</v>
      </c>
      <c r="I490" s="193" t="s">
        <v>2907</v>
      </c>
      <c r="T490" s="76"/>
    </row>
    <row r="491" spans="1:20" s="36" customFormat="1" ht="20" customHeight="1" x14ac:dyDescent="0.15">
      <c r="A491" s="5" t="s">
        <v>5857</v>
      </c>
      <c r="B491" s="193" t="s">
        <v>189</v>
      </c>
      <c r="C491" s="193" t="s">
        <v>2788</v>
      </c>
      <c r="D491" s="193" t="s">
        <v>4409</v>
      </c>
      <c r="E491" s="193" t="s">
        <v>4410</v>
      </c>
      <c r="F491" s="193" t="s">
        <v>4411</v>
      </c>
      <c r="G491" s="193" t="s">
        <v>4412</v>
      </c>
      <c r="H491" s="193" t="s">
        <v>4413</v>
      </c>
      <c r="I491" s="193" t="s">
        <v>4414</v>
      </c>
      <c r="T491" s="76"/>
    </row>
    <row r="492" spans="1:20" s="36" customFormat="1" ht="20" customHeight="1" x14ac:dyDescent="0.15">
      <c r="A492" s="5" t="s">
        <v>5857</v>
      </c>
      <c r="B492" s="193" t="s">
        <v>189</v>
      </c>
      <c r="C492" s="193" t="s">
        <v>2788</v>
      </c>
      <c r="D492" s="193" t="s">
        <v>4469</v>
      </c>
      <c r="E492" s="193" t="s">
        <v>4470</v>
      </c>
      <c r="F492" s="193" t="s">
        <v>4471</v>
      </c>
      <c r="G492" s="193" t="s">
        <v>4472</v>
      </c>
      <c r="H492" s="193" t="s">
        <v>4473</v>
      </c>
      <c r="I492" s="193" t="s">
        <v>4474</v>
      </c>
      <c r="T492" s="76"/>
    </row>
    <row r="493" spans="1:20" s="36" customFormat="1" ht="20" customHeight="1" x14ac:dyDescent="0.15">
      <c r="A493" s="5" t="s">
        <v>5857</v>
      </c>
      <c r="B493" s="193" t="s">
        <v>189</v>
      </c>
      <c r="C493" s="193" t="s">
        <v>2788</v>
      </c>
      <c r="D493" s="193" t="s">
        <v>4491</v>
      </c>
      <c r="E493" s="193" t="s">
        <v>4492</v>
      </c>
      <c r="F493" s="193" t="s">
        <v>4493</v>
      </c>
      <c r="G493" s="193" t="s">
        <v>4494</v>
      </c>
      <c r="H493" s="193" t="s">
        <v>4495</v>
      </c>
      <c r="I493" s="193" t="s">
        <v>3250</v>
      </c>
      <c r="T493" s="76"/>
    </row>
    <row r="494" spans="1:20" s="36" customFormat="1" ht="20" customHeight="1" x14ac:dyDescent="0.15">
      <c r="A494" s="5" t="s">
        <v>5857</v>
      </c>
      <c r="B494" s="193" t="s">
        <v>189</v>
      </c>
      <c r="C494" s="193" t="s">
        <v>2788</v>
      </c>
      <c r="D494" s="193" t="s">
        <v>4454</v>
      </c>
      <c r="E494" s="193" t="s">
        <v>4455</v>
      </c>
      <c r="F494" s="193" t="s">
        <v>4456</v>
      </c>
      <c r="G494" s="193" t="s">
        <v>4457</v>
      </c>
      <c r="H494" s="193" t="s">
        <v>4458</v>
      </c>
      <c r="I494" s="193" t="s">
        <v>2925</v>
      </c>
      <c r="T494" s="76"/>
    </row>
    <row r="495" spans="1:20" s="36" customFormat="1" ht="20" customHeight="1" x14ac:dyDescent="0.15">
      <c r="A495" s="5" t="s">
        <v>5857</v>
      </c>
      <c r="B495" s="193" t="s">
        <v>189</v>
      </c>
      <c r="C495" s="193" t="s">
        <v>2788</v>
      </c>
      <c r="D495" s="193" t="s">
        <v>4383</v>
      </c>
      <c r="E495" s="193" t="s">
        <v>4384</v>
      </c>
      <c r="F495" s="193" t="s">
        <v>4385</v>
      </c>
      <c r="G495" s="193" t="s">
        <v>4386</v>
      </c>
      <c r="H495" s="193" t="s">
        <v>4387</v>
      </c>
      <c r="I495" s="193" t="s">
        <v>3004</v>
      </c>
      <c r="T495" s="76"/>
    </row>
    <row r="496" spans="1:20" s="36" customFormat="1" ht="20" customHeight="1" x14ac:dyDescent="0.15">
      <c r="A496" s="5" t="s">
        <v>5857</v>
      </c>
      <c r="B496" s="193" t="s">
        <v>189</v>
      </c>
      <c r="C496" s="193" t="s">
        <v>2788</v>
      </c>
      <c r="D496" s="193" t="s">
        <v>4443</v>
      </c>
      <c r="E496" s="193" t="s">
        <v>4444</v>
      </c>
      <c r="F496" s="193" t="s">
        <v>4445</v>
      </c>
      <c r="G496" s="193" t="s">
        <v>4446</v>
      </c>
      <c r="H496" s="193" t="s">
        <v>4447</v>
      </c>
      <c r="I496" s="193" t="s">
        <v>4448</v>
      </c>
      <c r="T496" s="76"/>
    </row>
    <row r="497" spans="1:20" s="36" customFormat="1" ht="20" customHeight="1" x14ac:dyDescent="0.15">
      <c r="A497" s="5" t="s">
        <v>5857</v>
      </c>
      <c r="B497" s="193" t="s">
        <v>189</v>
      </c>
      <c r="C497" s="193" t="s">
        <v>2788</v>
      </c>
      <c r="D497" s="193" t="s">
        <v>4487</v>
      </c>
      <c r="E497" s="193"/>
      <c r="F497" s="193" t="s">
        <v>4488</v>
      </c>
      <c r="G497" s="193" t="s">
        <v>4489</v>
      </c>
      <c r="H497" s="193" t="s">
        <v>4490</v>
      </c>
      <c r="I497" s="193" t="s">
        <v>3334</v>
      </c>
      <c r="T497" s="76"/>
    </row>
    <row r="498" spans="1:20" s="36" customFormat="1" ht="20" customHeight="1" x14ac:dyDescent="0.15">
      <c r="A498" s="5" t="s">
        <v>5857</v>
      </c>
      <c r="B498" s="193" t="s">
        <v>189</v>
      </c>
      <c r="C498" s="193" t="s">
        <v>2788</v>
      </c>
      <c r="D498" s="193" t="s">
        <v>4388</v>
      </c>
      <c r="E498" s="193" t="s">
        <v>4389</v>
      </c>
      <c r="F498" s="193" t="s">
        <v>4390</v>
      </c>
      <c r="G498" s="193" t="s">
        <v>4391</v>
      </c>
      <c r="H498" s="193" t="s">
        <v>4392</v>
      </c>
      <c r="I498" s="193" t="s">
        <v>2907</v>
      </c>
      <c r="T498" s="76"/>
    </row>
    <row r="499" spans="1:20" s="36" customFormat="1" ht="20" customHeight="1" x14ac:dyDescent="0.15">
      <c r="A499" s="5" t="s">
        <v>5857</v>
      </c>
      <c r="B499" s="193" t="s">
        <v>189</v>
      </c>
      <c r="C499" s="193" t="s">
        <v>2788</v>
      </c>
      <c r="D499" s="193" t="s">
        <v>4449</v>
      </c>
      <c r="E499" s="193" t="s">
        <v>4450</v>
      </c>
      <c r="F499" s="193" t="s">
        <v>4451</v>
      </c>
      <c r="G499" s="193" t="s">
        <v>4452</v>
      </c>
      <c r="H499" s="193" t="s">
        <v>4453</v>
      </c>
      <c r="I499" s="193" t="s">
        <v>3262</v>
      </c>
      <c r="T499" s="76"/>
    </row>
    <row r="500" spans="1:20" s="36" customFormat="1" ht="20" customHeight="1" x14ac:dyDescent="0.15">
      <c r="A500" s="5" t="s">
        <v>5857</v>
      </c>
      <c r="B500" s="193" t="s">
        <v>189</v>
      </c>
      <c r="C500" s="193" t="s">
        <v>2788</v>
      </c>
      <c r="D500" s="193" t="s">
        <v>4501</v>
      </c>
      <c r="E500" s="193" t="s">
        <v>4502</v>
      </c>
      <c r="F500" s="193" t="s">
        <v>4503</v>
      </c>
      <c r="G500" s="193" t="s">
        <v>4504</v>
      </c>
      <c r="H500" s="193" t="s">
        <v>4505</v>
      </c>
      <c r="I500" s="193" t="s">
        <v>3205</v>
      </c>
      <c r="T500" s="76"/>
    </row>
    <row r="501" spans="1:20" s="36" customFormat="1" ht="20" customHeight="1" x14ac:dyDescent="0.15">
      <c r="A501" s="5" t="s">
        <v>5857</v>
      </c>
      <c r="B501" s="193" t="s">
        <v>189</v>
      </c>
      <c r="C501" s="193" t="s">
        <v>2788</v>
      </c>
      <c r="D501" s="193" t="s">
        <v>4367</v>
      </c>
      <c r="E501" s="193" t="s">
        <v>4368</v>
      </c>
      <c r="F501" s="193" t="s">
        <v>4369</v>
      </c>
      <c r="G501" s="193" t="s">
        <v>4370</v>
      </c>
      <c r="H501" s="193" t="s">
        <v>4371</v>
      </c>
      <c r="I501" s="193" t="s">
        <v>3050</v>
      </c>
      <c r="T501" s="76"/>
    </row>
    <row r="502" spans="1:20" s="36" customFormat="1" ht="20" customHeight="1" x14ac:dyDescent="0.15">
      <c r="A502" s="5" t="s">
        <v>5857</v>
      </c>
      <c r="B502" s="193" t="s">
        <v>189</v>
      </c>
      <c r="C502" s="193" t="s">
        <v>2788</v>
      </c>
      <c r="D502" s="193" t="s">
        <v>4522</v>
      </c>
      <c r="E502" s="193" t="s">
        <v>4523</v>
      </c>
      <c r="F502" s="193" t="s">
        <v>4524</v>
      </c>
      <c r="G502" s="193" t="s">
        <v>4525</v>
      </c>
      <c r="H502" s="193" t="s">
        <v>4526</v>
      </c>
      <c r="I502" s="193" t="s">
        <v>3128</v>
      </c>
      <c r="T502" s="76"/>
    </row>
    <row r="503" spans="1:20" s="36" customFormat="1" ht="20" customHeight="1" x14ac:dyDescent="0.15">
      <c r="A503" s="5" t="s">
        <v>5857</v>
      </c>
      <c r="B503" s="193" t="s">
        <v>189</v>
      </c>
      <c r="C503" s="193" t="s">
        <v>2788</v>
      </c>
      <c r="D503" s="193" t="s">
        <v>4511</v>
      </c>
      <c r="E503" s="193" t="s">
        <v>4512</v>
      </c>
      <c r="F503" s="193" t="s">
        <v>4513</v>
      </c>
      <c r="G503" s="193" t="s">
        <v>4514</v>
      </c>
      <c r="H503" s="193" t="s">
        <v>4515</v>
      </c>
      <c r="I503" s="193" t="s">
        <v>3073</v>
      </c>
      <c r="T503" s="76"/>
    </row>
    <row r="504" spans="1:20" s="36" customFormat="1" ht="20" customHeight="1" x14ac:dyDescent="0.15">
      <c r="A504" s="5" t="s">
        <v>5857</v>
      </c>
      <c r="B504" s="193" t="s">
        <v>189</v>
      </c>
      <c r="C504" s="193" t="s">
        <v>2788</v>
      </c>
      <c r="D504" s="193" t="s">
        <v>4378</v>
      </c>
      <c r="E504" s="193" t="s">
        <v>4379</v>
      </c>
      <c r="F504" s="193" t="s">
        <v>4380</v>
      </c>
      <c r="G504" s="193" t="s">
        <v>4381</v>
      </c>
      <c r="H504" s="193" t="s">
        <v>4382</v>
      </c>
      <c r="I504" s="193" t="s">
        <v>3056</v>
      </c>
      <c r="T504" s="76"/>
    </row>
    <row r="505" spans="1:20" s="36" customFormat="1" ht="20" customHeight="1" x14ac:dyDescent="0.15">
      <c r="A505" s="5" t="s">
        <v>5857</v>
      </c>
      <c r="B505" s="193" t="s">
        <v>189</v>
      </c>
      <c r="C505" s="193" t="s">
        <v>2788</v>
      </c>
      <c r="D505" s="193" t="s">
        <v>4475</v>
      </c>
      <c r="E505" s="193" t="s">
        <v>4476</v>
      </c>
      <c r="F505" s="193" t="s">
        <v>4477</v>
      </c>
      <c r="G505" s="193" t="s">
        <v>4478</v>
      </c>
      <c r="H505" s="193" t="s">
        <v>4479</v>
      </c>
      <c r="I505" s="193" t="s">
        <v>4480</v>
      </c>
      <c r="T505" s="76"/>
    </row>
    <row r="506" spans="1:20" s="36" customFormat="1" ht="20" customHeight="1" x14ac:dyDescent="0.15">
      <c r="A506" s="5" t="s">
        <v>5858</v>
      </c>
      <c r="B506" s="193" t="s">
        <v>192</v>
      </c>
      <c r="C506" s="193" t="s">
        <v>2795</v>
      </c>
      <c r="D506" s="193" t="s">
        <v>3946</v>
      </c>
      <c r="E506" s="193" t="s">
        <v>3947</v>
      </c>
      <c r="F506" s="193" t="s">
        <v>3948</v>
      </c>
      <c r="G506" s="193" t="s">
        <v>3949</v>
      </c>
      <c r="H506" s="193" t="s">
        <v>3950</v>
      </c>
      <c r="I506" s="193" t="s">
        <v>2907</v>
      </c>
      <c r="T506" s="76"/>
    </row>
    <row r="507" spans="1:20" s="36" customFormat="1" ht="20" customHeight="1" x14ac:dyDescent="0.15">
      <c r="A507" s="5" t="s">
        <v>5858</v>
      </c>
      <c r="B507" s="193" t="s">
        <v>192</v>
      </c>
      <c r="C507" s="193" t="s">
        <v>2795</v>
      </c>
      <c r="D507" s="193" t="s">
        <v>3935</v>
      </c>
      <c r="E507" s="193" t="s">
        <v>3936</v>
      </c>
      <c r="F507" s="193" t="s">
        <v>3937</v>
      </c>
      <c r="G507" s="193" t="s">
        <v>3938</v>
      </c>
      <c r="H507" s="193" t="s">
        <v>3939</v>
      </c>
      <c r="I507" s="193" t="s">
        <v>4298</v>
      </c>
      <c r="T507" s="76"/>
    </row>
    <row r="508" spans="1:20" s="36" customFormat="1" ht="20" customHeight="1" x14ac:dyDescent="0.15">
      <c r="A508" s="5" t="s">
        <v>5858</v>
      </c>
      <c r="B508" s="193" t="s">
        <v>192</v>
      </c>
      <c r="C508" s="193" t="s">
        <v>2795</v>
      </c>
      <c r="D508" s="193" t="s">
        <v>3940</v>
      </c>
      <c r="E508" s="193" t="s">
        <v>3941</v>
      </c>
      <c r="F508" s="193" t="s">
        <v>3942</v>
      </c>
      <c r="G508" s="193" t="s">
        <v>3943</v>
      </c>
      <c r="H508" s="193" t="s">
        <v>3944</v>
      </c>
      <c r="I508" s="193" t="s">
        <v>3945</v>
      </c>
      <c r="T508" s="76"/>
    </row>
    <row r="509" spans="1:20" s="36" customFormat="1" ht="20" customHeight="1" x14ac:dyDescent="0.15">
      <c r="A509" s="5" t="s">
        <v>5859</v>
      </c>
      <c r="B509" s="193" t="s">
        <v>195</v>
      </c>
      <c r="C509" s="193" t="s">
        <v>2796</v>
      </c>
      <c r="D509" s="193" t="s">
        <v>5829</v>
      </c>
      <c r="E509" s="193" t="s">
        <v>3918</v>
      </c>
      <c r="F509" s="193" t="s">
        <v>3919</v>
      </c>
      <c r="G509" s="193" t="s">
        <v>3920</v>
      </c>
      <c r="H509" s="193" t="s">
        <v>3921</v>
      </c>
      <c r="I509" s="193" t="s">
        <v>3922</v>
      </c>
      <c r="T509" s="76"/>
    </row>
    <row r="510" spans="1:20" s="36" customFormat="1" ht="20" customHeight="1" x14ac:dyDescent="0.15">
      <c r="A510" s="5" t="s">
        <v>5859</v>
      </c>
      <c r="B510" s="193" t="s">
        <v>195</v>
      </c>
      <c r="C510" s="193" t="s">
        <v>2796</v>
      </c>
      <c r="D510" s="193" t="s">
        <v>3903</v>
      </c>
      <c r="E510" s="193" t="s">
        <v>3904</v>
      </c>
      <c r="F510" s="193" t="s">
        <v>3905</v>
      </c>
      <c r="G510" s="193" t="s">
        <v>3906</v>
      </c>
      <c r="H510" s="193" t="s">
        <v>3907</v>
      </c>
      <c r="I510" s="193" t="s">
        <v>5821</v>
      </c>
      <c r="T510" s="76"/>
    </row>
    <row r="511" spans="1:20" s="36" customFormat="1" ht="20" customHeight="1" x14ac:dyDescent="0.15">
      <c r="A511" s="5" t="s">
        <v>5859</v>
      </c>
      <c r="B511" s="193" t="s">
        <v>195</v>
      </c>
      <c r="C511" s="193" t="s">
        <v>2796</v>
      </c>
      <c r="D511" s="193" t="s">
        <v>3923</v>
      </c>
      <c r="E511" s="193" t="s">
        <v>3924</v>
      </c>
      <c r="F511" s="193" t="s">
        <v>3925</v>
      </c>
      <c r="G511" s="193" t="s">
        <v>3926</v>
      </c>
      <c r="H511" s="193" t="s">
        <v>3927</v>
      </c>
      <c r="I511" s="193" t="s">
        <v>3928</v>
      </c>
      <c r="T511" s="76"/>
    </row>
    <row r="512" spans="1:20" s="36" customFormat="1" ht="20" customHeight="1" x14ac:dyDescent="0.15">
      <c r="A512" s="5" t="s">
        <v>5859</v>
      </c>
      <c r="B512" s="193" t="s">
        <v>195</v>
      </c>
      <c r="C512" s="193" t="s">
        <v>2796</v>
      </c>
      <c r="D512" s="193" t="s">
        <v>3913</v>
      </c>
      <c r="E512" s="193" t="s">
        <v>3914</v>
      </c>
      <c r="F512" s="193" t="s">
        <v>3915</v>
      </c>
      <c r="G512" s="193" t="s">
        <v>3916</v>
      </c>
      <c r="H512" s="193" t="s">
        <v>3917</v>
      </c>
      <c r="I512" s="193" t="s">
        <v>2919</v>
      </c>
      <c r="T512" s="76"/>
    </row>
    <row r="513" spans="1:20" s="36" customFormat="1" ht="20" customHeight="1" x14ac:dyDescent="0.15">
      <c r="A513" s="5" t="s">
        <v>5859</v>
      </c>
      <c r="B513" s="193" t="s">
        <v>195</v>
      </c>
      <c r="C513" s="193" t="s">
        <v>2796</v>
      </c>
      <c r="D513" s="193" t="s">
        <v>3908</v>
      </c>
      <c r="E513" s="193" t="s">
        <v>3909</v>
      </c>
      <c r="F513" s="193" t="s">
        <v>3910</v>
      </c>
      <c r="G513" s="193" t="s">
        <v>3911</v>
      </c>
      <c r="H513" s="193" t="s">
        <v>3912</v>
      </c>
      <c r="I513" s="193" t="s">
        <v>2907</v>
      </c>
      <c r="T513" s="76"/>
    </row>
    <row r="514" spans="1:20" s="36" customFormat="1" ht="20" customHeight="1" x14ac:dyDescent="0.15">
      <c r="A514" s="5" t="s">
        <v>5859</v>
      </c>
      <c r="B514" s="193" t="s">
        <v>195</v>
      </c>
      <c r="C514" s="193" t="s">
        <v>2796</v>
      </c>
      <c r="D514" s="193" t="s">
        <v>3929</v>
      </c>
      <c r="E514" s="193" t="s">
        <v>3930</v>
      </c>
      <c r="F514" s="193" t="s">
        <v>3931</v>
      </c>
      <c r="G514" s="193" t="s">
        <v>3932</v>
      </c>
      <c r="H514" s="193" t="s">
        <v>3933</v>
      </c>
      <c r="I514" s="193" t="s">
        <v>3934</v>
      </c>
      <c r="T514" s="76"/>
    </row>
    <row r="515" spans="1:20" s="36" customFormat="1" ht="20" customHeight="1" x14ac:dyDescent="0.15">
      <c r="A515" s="5" t="s">
        <v>81</v>
      </c>
      <c r="B515" s="193" t="s">
        <v>82</v>
      </c>
      <c r="C515" s="193" t="s">
        <v>81</v>
      </c>
      <c r="D515" s="193" t="s">
        <v>2832</v>
      </c>
      <c r="E515" s="193" t="s">
        <v>2826</v>
      </c>
      <c r="F515" s="193"/>
      <c r="G515" s="193" t="s">
        <v>2819</v>
      </c>
      <c r="H515" s="193" t="s">
        <v>2842</v>
      </c>
      <c r="I515" s="193" t="s">
        <v>2843</v>
      </c>
      <c r="T515" s="76"/>
    </row>
    <row r="516" spans="1:20" s="36" customFormat="1" ht="20" customHeight="1" x14ac:dyDescent="0.15">
      <c r="A516" s="5" t="s">
        <v>81</v>
      </c>
      <c r="B516" s="193" t="s">
        <v>82</v>
      </c>
      <c r="C516" s="193" t="s">
        <v>81</v>
      </c>
      <c r="D516" s="193" t="s">
        <v>2831</v>
      </c>
      <c r="E516" s="193" t="s">
        <v>2825</v>
      </c>
      <c r="F516" s="193"/>
      <c r="G516" s="193" t="s">
        <v>2818</v>
      </c>
      <c r="H516" s="193" t="s">
        <v>2840</v>
      </c>
      <c r="I516" s="193" t="s">
        <v>2841</v>
      </c>
      <c r="T516" s="76"/>
    </row>
    <row r="517" spans="1:20" s="36" customFormat="1" ht="20" customHeight="1" x14ac:dyDescent="0.15">
      <c r="A517" s="5" t="s">
        <v>81</v>
      </c>
      <c r="B517" s="193" t="s">
        <v>82</v>
      </c>
      <c r="C517" s="193" t="s">
        <v>81</v>
      </c>
      <c r="D517" s="193" t="s">
        <v>2830</v>
      </c>
      <c r="E517" s="193" t="s">
        <v>2824</v>
      </c>
      <c r="F517" s="193"/>
      <c r="G517" s="193" t="s">
        <v>2817</v>
      </c>
      <c r="H517" s="193" t="s">
        <v>2838</v>
      </c>
      <c r="I517" s="193" t="s">
        <v>2839</v>
      </c>
      <c r="T517" s="76"/>
    </row>
    <row r="518" spans="1:20" s="36" customFormat="1" ht="20" customHeight="1" x14ac:dyDescent="0.15">
      <c r="A518" s="5" t="s">
        <v>81</v>
      </c>
      <c r="B518" s="193" t="s">
        <v>82</v>
      </c>
      <c r="C518" s="193" t="s">
        <v>81</v>
      </c>
      <c r="D518" s="193" t="s">
        <v>2829</v>
      </c>
      <c r="E518" s="193" t="s">
        <v>2823</v>
      </c>
      <c r="F518" s="193" t="s">
        <v>2821</v>
      </c>
      <c r="G518" s="193" t="s">
        <v>2816</v>
      </c>
      <c r="H518" s="193" t="s">
        <v>2836</v>
      </c>
      <c r="I518" s="193" t="s">
        <v>2837</v>
      </c>
      <c r="T518" s="76"/>
    </row>
    <row r="519" spans="1:20" s="36" customFormat="1" ht="20" customHeight="1" x14ac:dyDescent="0.15">
      <c r="A519" s="5" t="s">
        <v>81</v>
      </c>
      <c r="B519" s="193" t="s">
        <v>82</v>
      </c>
      <c r="C519" s="193" t="s">
        <v>81</v>
      </c>
      <c r="D519" s="193" t="s">
        <v>2828</v>
      </c>
      <c r="E519" s="193" t="s">
        <v>2822</v>
      </c>
      <c r="F519" s="193"/>
      <c r="G519" s="193" t="s">
        <v>2815</v>
      </c>
      <c r="H519" s="193" t="s">
        <v>2834</v>
      </c>
      <c r="I519" s="193" t="s">
        <v>2835</v>
      </c>
      <c r="T519" s="76"/>
    </row>
    <row r="520" spans="1:20" s="36" customFormat="1" ht="20" customHeight="1" x14ac:dyDescent="0.15">
      <c r="A520" s="5" t="s">
        <v>81</v>
      </c>
      <c r="B520" s="193" t="s">
        <v>82</v>
      </c>
      <c r="C520" s="193" t="s">
        <v>81</v>
      </c>
      <c r="D520" s="193" t="s">
        <v>2833</v>
      </c>
      <c r="E520" s="193" t="s">
        <v>2827</v>
      </c>
      <c r="F520" s="193"/>
      <c r="G520" s="193" t="s">
        <v>2820</v>
      </c>
      <c r="H520" s="193" t="s">
        <v>2844</v>
      </c>
      <c r="I520" s="193" t="s">
        <v>2845</v>
      </c>
      <c r="T520" s="76"/>
    </row>
    <row r="521" spans="1:20" s="36" customFormat="1" ht="20" customHeight="1" x14ac:dyDescent="0.15">
      <c r="A521" s="5" t="s">
        <v>201</v>
      </c>
      <c r="B521" s="193" t="s">
        <v>202</v>
      </c>
      <c r="C521" s="193" t="s">
        <v>201</v>
      </c>
      <c r="D521" s="193" t="s">
        <v>2880</v>
      </c>
      <c r="E521" s="193" t="s">
        <v>2881</v>
      </c>
      <c r="F521" s="193"/>
      <c r="G521" s="193" t="s">
        <v>2882</v>
      </c>
      <c r="H521" s="193" t="s">
        <v>2883</v>
      </c>
      <c r="I521" s="193" t="s">
        <v>2884</v>
      </c>
      <c r="T521" s="76"/>
    </row>
    <row r="522" spans="1:20" s="36" customFormat="1" ht="20" customHeight="1" x14ac:dyDescent="0.15">
      <c r="A522" s="5" t="s">
        <v>140</v>
      </c>
      <c r="B522" s="193" t="s">
        <v>141</v>
      </c>
      <c r="C522" s="193" t="s">
        <v>140</v>
      </c>
      <c r="D522" s="193" t="s">
        <v>2965</v>
      </c>
      <c r="E522" s="193" t="s">
        <v>2966</v>
      </c>
      <c r="F522" s="193" t="s">
        <v>2967</v>
      </c>
      <c r="G522" s="193" t="s">
        <v>2968</v>
      </c>
      <c r="H522" s="193" t="s">
        <v>2969</v>
      </c>
      <c r="I522" s="193" t="s">
        <v>2970</v>
      </c>
      <c r="T522" s="76"/>
    </row>
    <row r="523" spans="1:20" s="36" customFormat="1" ht="20" customHeight="1" x14ac:dyDescent="0.15">
      <c r="A523" s="5" t="s">
        <v>140</v>
      </c>
      <c r="B523" s="193" t="s">
        <v>141</v>
      </c>
      <c r="C523" s="193" t="s">
        <v>140</v>
      </c>
      <c r="D523" s="193" t="s">
        <v>2994</v>
      </c>
      <c r="E523" s="193" t="s">
        <v>2994</v>
      </c>
      <c r="F523" s="193" t="s">
        <v>2995</v>
      </c>
      <c r="G523" s="193" t="s">
        <v>2996</v>
      </c>
      <c r="H523" s="193" t="s">
        <v>2997</v>
      </c>
      <c r="I523" s="193" t="s">
        <v>2998</v>
      </c>
      <c r="T523" s="76"/>
    </row>
    <row r="524" spans="1:20" s="36" customFormat="1" ht="20" customHeight="1" x14ac:dyDescent="0.15">
      <c r="A524" s="5" t="s">
        <v>140</v>
      </c>
      <c r="B524" s="193" t="s">
        <v>141</v>
      </c>
      <c r="C524" s="193" t="s">
        <v>140</v>
      </c>
      <c r="D524" s="193" t="s">
        <v>2902</v>
      </c>
      <c r="E524" s="193" t="s">
        <v>2903</v>
      </c>
      <c r="F524" s="193" t="s">
        <v>2904</v>
      </c>
      <c r="G524" s="193" t="s">
        <v>2905</v>
      </c>
      <c r="H524" s="193" t="s">
        <v>2906</v>
      </c>
      <c r="I524" s="193" t="s">
        <v>2907</v>
      </c>
      <c r="T524" s="76"/>
    </row>
    <row r="525" spans="1:20" s="36" customFormat="1" ht="20" customHeight="1" x14ac:dyDescent="0.15">
      <c r="A525" s="5" t="s">
        <v>140</v>
      </c>
      <c r="B525" s="193" t="s">
        <v>141</v>
      </c>
      <c r="C525" s="193" t="s">
        <v>140</v>
      </c>
      <c r="D525" s="193" t="s">
        <v>2976</v>
      </c>
      <c r="E525" s="193" t="s">
        <v>2977</v>
      </c>
      <c r="F525" s="193" t="s">
        <v>2978</v>
      </c>
      <c r="G525" s="193" t="s">
        <v>2979</v>
      </c>
      <c r="H525" s="193" t="s">
        <v>2980</v>
      </c>
      <c r="I525" s="193" t="s">
        <v>2981</v>
      </c>
      <c r="T525" s="76"/>
    </row>
    <row r="526" spans="1:20" s="36" customFormat="1" ht="20" customHeight="1" x14ac:dyDescent="0.15">
      <c r="A526" s="5" t="s">
        <v>140</v>
      </c>
      <c r="B526" s="193" t="s">
        <v>141</v>
      </c>
      <c r="C526" s="193" t="s">
        <v>140</v>
      </c>
      <c r="D526" s="193" t="s">
        <v>3015</v>
      </c>
      <c r="E526" s="193" t="s">
        <v>3016</v>
      </c>
      <c r="F526" s="193" t="s">
        <v>3017</v>
      </c>
      <c r="G526" s="193" t="s">
        <v>3018</v>
      </c>
      <c r="H526" s="193" t="s">
        <v>3019</v>
      </c>
      <c r="I526" s="193" t="s">
        <v>3020</v>
      </c>
      <c r="T526" s="76"/>
    </row>
    <row r="527" spans="1:20" s="36" customFormat="1" ht="20" customHeight="1" x14ac:dyDescent="0.15">
      <c r="A527" s="5" t="s">
        <v>140</v>
      </c>
      <c r="B527" s="193" t="s">
        <v>141</v>
      </c>
      <c r="C527" s="193" t="s">
        <v>140</v>
      </c>
      <c r="D527" s="193" t="s">
        <v>3010</v>
      </c>
      <c r="E527" s="193" t="s">
        <v>3011</v>
      </c>
      <c r="F527" s="193" t="s">
        <v>3012</v>
      </c>
      <c r="G527" s="193" t="s">
        <v>3013</v>
      </c>
      <c r="H527" s="193" t="s">
        <v>3014</v>
      </c>
      <c r="I527" s="193" t="s">
        <v>2841</v>
      </c>
      <c r="T527" s="76"/>
    </row>
    <row r="528" spans="1:20" s="36" customFormat="1" ht="20" customHeight="1" x14ac:dyDescent="0.15">
      <c r="A528" s="5" t="s">
        <v>140</v>
      </c>
      <c r="B528" s="193" t="s">
        <v>141</v>
      </c>
      <c r="C528" s="193" t="s">
        <v>140</v>
      </c>
      <c r="D528" s="193" t="s">
        <v>2914</v>
      </c>
      <c r="E528" s="193" t="s">
        <v>2915</v>
      </c>
      <c r="F528" s="193" t="s">
        <v>2916</v>
      </c>
      <c r="G528" s="193" t="s">
        <v>2917</v>
      </c>
      <c r="H528" s="193" t="s">
        <v>2918</v>
      </c>
      <c r="I528" s="193" t="s">
        <v>2919</v>
      </c>
      <c r="T528" s="76"/>
    </row>
    <row r="529" spans="1:20" s="36" customFormat="1" ht="20" customHeight="1" x14ac:dyDescent="0.15">
      <c r="A529" s="5" t="s">
        <v>140</v>
      </c>
      <c r="B529" s="193" t="s">
        <v>141</v>
      </c>
      <c r="C529" s="193" t="s">
        <v>140</v>
      </c>
      <c r="D529" s="193" t="s">
        <v>2926</v>
      </c>
      <c r="E529" s="193" t="s">
        <v>2927</v>
      </c>
      <c r="F529" s="193" t="s">
        <v>2928</v>
      </c>
      <c r="G529" s="193" t="s">
        <v>2929</v>
      </c>
      <c r="H529" s="193" t="s">
        <v>2930</v>
      </c>
      <c r="I529" s="193" t="s">
        <v>2890</v>
      </c>
      <c r="T529" s="76"/>
    </row>
    <row r="530" spans="1:20" s="36" customFormat="1" ht="20" customHeight="1" x14ac:dyDescent="0.15">
      <c r="A530" s="5" t="s">
        <v>140</v>
      </c>
      <c r="B530" s="193" t="s">
        <v>141</v>
      </c>
      <c r="C530" s="193" t="s">
        <v>140</v>
      </c>
      <c r="D530" s="193" t="s">
        <v>2982</v>
      </c>
      <c r="E530" s="193" t="s">
        <v>2983</v>
      </c>
      <c r="F530" s="193" t="s">
        <v>2984</v>
      </c>
      <c r="G530" s="193" t="s">
        <v>2985</v>
      </c>
      <c r="H530" s="193" t="s">
        <v>2986</v>
      </c>
      <c r="I530" s="193" t="s">
        <v>2987</v>
      </c>
      <c r="T530" s="76"/>
    </row>
    <row r="531" spans="1:20" s="36" customFormat="1" ht="20" customHeight="1" x14ac:dyDescent="0.15">
      <c r="A531" s="5" t="s">
        <v>140</v>
      </c>
      <c r="B531" s="193" t="s">
        <v>141</v>
      </c>
      <c r="C531" s="193" t="s">
        <v>140</v>
      </c>
      <c r="D531" s="193" t="s">
        <v>2954</v>
      </c>
      <c r="E531" s="193" t="s">
        <v>2955</v>
      </c>
      <c r="F531" s="193" t="s">
        <v>2956</v>
      </c>
      <c r="G531" s="193" t="s">
        <v>2957</v>
      </c>
      <c r="H531" s="193" t="s">
        <v>2958</v>
      </c>
      <c r="I531" s="193" t="s">
        <v>2959</v>
      </c>
      <c r="T531" s="76"/>
    </row>
    <row r="532" spans="1:20" s="36" customFormat="1" ht="20" customHeight="1" x14ac:dyDescent="0.15">
      <c r="A532" s="5" t="s">
        <v>140</v>
      </c>
      <c r="B532" s="193" t="s">
        <v>141</v>
      </c>
      <c r="C532" s="193" t="s">
        <v>140</v>
      </c>
      <c r="D532" s="193" t="s">
        <v>2948</v>
      </c>
      <c r="E532" s="193" t="s">
        <v>2949</v>
      </c>
      <c r="F532" s="193" t="s">
        <v>2950</v>
      </c>
      <c r="G532" s="193" t="s">
        <v>2951</v>
      </c>
      <c r="H532" s="193" t="s">
        <v>2952</v>
      </c>
      <c r="I532" s="193" t="s">
        <v>2953</v>
      </c>
      <c r="T532" s="76"/>
    </row>
    <row r="533" spans="1:20" s="36" customFormat="1" ht="20" customHeight="1" x14ac:dyDescent="0.15">
      <c r="A533" s="5" t="s">
        <v>140</v>
      </c>
      <c r="B533" s="193" t="s">
        <v>141</v>
      </c>
      <c r="C533" s="193" t="s">
        <v>140</v>
      </c>
      <c r="D533" s="193" t="s">
        <v>2960</v>
      </c>
      <c r="E533" s="193" t="s">
        <v>2961</v>
      </c>
      <c r="F533" s="193" t="s">
        <v>2962</v>
      </c>
      <c r="G533" s="193" t="s">
        <v>2963</v>
      </c>
      <c r="H533" s="193" t="s">
        <v>2964</v>
      </c>
      <c r="I533" s="193" t="s">
        <v>4985</v>
      </c>
      <c r="T533" s="76"/>
    </row>
    <row r="534" spans="1:20" s="36" customFormat="1" ht="20" customHeight="1" x14ac:dyDescent="0.15">
      <c r="A534" s="5" t="s">
        <v>140</v>
      </c>
      <c r="B534" s="193" t="s">
        <v>141</v>
      </c>
      <c r="C534" s="193" t="s">
        <v>140</v>
      </c>
      <c r="D534" s="193" t="s">
        <v>2942</v>
      </c>
      <c r="E534" s="193" t="s">
        <v>2943</v>
      </c>
      <c r="F534" s="193" t="s">
        <v>2944</v>
      </c>
      <c r="G534" s="193" t="s">
        <v>2945</v>
      </c>
      <c r="H534" s="193" t="s">
        <v>2946</v>
      </c>
      <c r="I534" s="193" t="s">
        <v>2947</v>
      </c>
      <c r="T534" s="76"/>
    </row>
    <row r="535" spans="1:20" s="36" customFormat="1" ht="20" customHeight="1" x14ac:dyDescent="0.15">
      <c r="A535" s="5" t="s">
        <v>140</v>
      </c>
      <c r="B535" s="193" t="s">
        <v>141</v>
      </c>
      <c r="C535" s="193" t="s">
        <v>140</v>
      </c>
      <c r="D535" s="193" t="s">
        <v>2999</v>
      </c>
      <c r="E535" s="193" t="s">
        <v>3000</v>
      </c>
      <c r="F535" s="193" t="s">
        <v>3001</v>
      </c>
      <c r="G535" s="193" t="s">
        <v>3002</v>
      </c>
      <c r="H535" s="193" t="s">
        <v>3003</v>
      </c>
      <c r="I535" s="193" t="s">
        <v>3004</v>
      </c>
      <c r="T535" s="76"/>
    </row>
    <row r="536" spans="1:20" s="36" customFormat="1" ht="20" customHeight="1" x14ac:dyDescent="0.15">
      <c r="A536" s="5" t="s">
        <v>140</v>
      </c>
      <c r="B536" s="193" t="s">
        <v>141</v>
      </c>
      <c r="C536" s="193" t="s">
        <v>140</v>
      </c>
      <c r="D536" s="193" t="s">
        <v>2891</v>
      </c>
      <c r="E536" s="193" t="s">
        <v>2892</v>
      </c>
      <c r="F536" s="193" t="s">
        <v>2893</v>
      </c>
      <c r="G536" s="193" t="s">
        <v>2894</v>
      </c>
      <c r="H536" s="193" t="s">
        <v>2895</v>
      </c>
      <c r="I536" s="193" t="s">
        <v>2896</v>
      </c>
      <c r="T536" s="76"/>
    </row>
    <row r="537" spans="1:20" s="36" customFormat="1" ht="20" customHeight="1" x14ac:dyDescent="0.15">
      <c r="A537" s="5" t="s">
        <v>140</v>
      </c>
      <c r="B537" s="193" t="s">
        <v>141</v>
      </c>
      <c r="C537" s="193" t="s">
        <v>140</v>
      </c>
      <c r="D537" s="193" t="s">
        <v>2988</v>
      </c>
      <c r="E537" s="193" t="s">
        <v>2989</v>
      </c>
      <c r="F537" s="193" t="s">
        <v>2990</v>
      </c>
      <c r="G537" s="193" t="s">
        <v>2991</v>
      </c>
      <c r="H537" s="193" t="s">
        <v>2992</v>
      </c>
      <c r="I537" s="193" t="s">
        <v>2993</v>
      </c>
      <c r="T537" s="76"/>
    </row>
    <row r="538" spans="1:20" s="36" customFormat="1" ht="20" customHeight="1" x14ac:dyDescent="0.15">
      <c r="A538" s="5" t="s">
        <v>140</v>
      </c>
      <c r="B538" s="193" t="s">
        <v>141</v>
      </c>
      <c r="C538" s="193" t="s">
        <v>140</v>
      </c>
      <c r="D538" s="193" t="s">
        <v>2908</v>
      </c>
      <c r="E538" s="193" t="s">
        <v>2909</v>
      </c>
      <c r="F538" s="193" t="s">
        <v>2910</v>
      </c>
      <c r="G538" s="193" t="s">
        <v>2911</v>
      </c>
      <c r="H538" s="193" t="s">
        <v>2912</v>
      </c>
      <c r="I538" s="193" t="s">
        <v>2913</v>
      </c>
      <c r="T538" s="76"/>
    </row>
    <row r="539" spans="1:20" s="36" customFormat="1" ht="20" customHeight="1" x14ac:dyDescent="0.15">
      <c r="A539" s="5" t="s">
        <v>140</v>
      </c>
      <c r="B539" s="193" t="s">
        <v>141</v>
      </c>
      <c r="C539" s="193" t="s">
        <v>140</v>
      </c>
      <c r="D539" s="193" t="s">
        <v>3005</v>
      </c>
      <c r="E539" s="193" t="s">
        <v>3006</v>
      </c>
      <c r="F539" s="193" t="s">
        <v>3007</v>
      </c>
      <c r="G539" s="193" t="s">
        <v>3008</v>
      </c>
      <c r="H539" s="193" t="s">
        <v>3009</v>
      </c>
      <c r="I539" s="193" t="s">
        <v>3026</v>
      </c>
      <c r="T539" s="76"/>
    </row>
    <row r="540" spans="1:20" s="36" customFormat="1" ht="20" customHeight="1" x14ac:dyDescent="0.15">
      <c r="A540" s="5" t="s">
        <v>140</v>
      </c>
      <c r="B540" s="193" t="s">
        <v>141</v>
      </c>
      <c r="C540" s="193" t="s">
        <v>140</v>
      </c>
      <c r="D540" s="193" t="s">
        <v>2971</v>
      </c>
      <c r="E540" s="193" t="s">
        <v>2972</v>
      </c>
      <c r="F540" s="193" t="s">
        <v>2973</v>
      </c>
      <c r="G540" s="193" t="s">
        <v>2974</v>
      </c>
      <c r="H540" s="193" t="s">
        <v>2975</v>
      </c>
      <c r="I540" s="193" t="s">
        <v>5770</v>
      </c>
      <c r="T540" s="76"/>
    </row>
    <row r="541" spans="1:20" s="36" customFormat="1" ht="20" customHeight="1" x14ac:dyDescent="0.15">
      <c r="A541" s="5" t="s">
        <v>140</v>
      </c>
      <c r="B541" s="193" t="s">
        <v>141</v>
      </c>
      <c r="C541" s="193" t="s">
        <v>140</v>
      </c>
      <c r="D541" s="193" t="s">
        <v>2897</v>
      </c>
      <c r="E541" s="193" t="s">
        <v>2898</v>
      </c>
      <c r="F541" s="193" t="s">
        <v>2899</v>
      </c>
      <c r="G541" s="193" t="s">
        <v>2900</v>
      </c>
      <c r="H541" s="193" t="s">
        <v>2901</v>
      </c>
      <c r="I541" s="193" t="s">
        <v>5769</v>
      </c>
      <c r="T541" s="76"/>
    </row>
    <row r="542" spans="1:20" s="36" customFormat="1" ht="20" customHeight="1" x14ac:dyDescent="0.15">
      <c r="A542" s="5" t="s">
        <v>140</v>
      </c>
      <c r="B542" s="193" t="s">
        <v>141</v>
      </c>
      <c r="C542" s="193" t="s">
        <v>140</v>
      </c>
      <c r="D542" s="193" t="s">
        <v>2937</v>
      </c>
      <c r="E542" s="193" t="s">
        <v>2938</v>
      </c>
      <c r="F542" s="193" t="s">
        <v>2939</v>
      </c>
      <c r="G542" s="193" t="s">
        <v>2940</v>
      </c>
      <c r="H542" s="193" t="s">
        <v>2941</v>
      </c>
      <c r="I542" s="193" t="s">
        <v>2841</v>
      </c>
      <c r="T542" s="76"/>
    </row>
    <row r="543" spans="1:20" s="36" customFormat="1" ht="20" customHeight="1" x14ac:dyDescent="0.15">
      <c r="A543" s="5" t="s">
        <v>140</v>
      </c>
      <c r="B543" s="193" t="s">
        <v>141</v>
      </c>
      <c r="C543" s="193" t="s">
        <v>140</v>
      </c>
      <c r="D543" s="193" t="s">
        <v>2885</v>
      </c>
      <c r="E543" s="193" t="s">
        <v>2886</v>
      </c>
      <c r="F543" s="193" t="s">
        <v>2887</v>
      </c>
      <c r="G543" s="193" t="s">
        <v>2888</v>
      </c>
      <c r="H543" s="193" t="s">
        <v>2889</v>
      </c>
      <c r="I543" s="193" t="s">
        <v>2890</v>
      </c>
      <c r="T543" s="76"/>
    </row>
    <row r="544" spans="1:20" s="36" customFormat="1" ht="20" customHeight="1" x14ac:dyDescent="0.15">
      <c r="A544" s="5" t="s">
        <v>140</v>
      </c>
      <c r="B544" s="193" t="s">
        <v>141</v>
      </c>
      <c r="C544" s="193" t="s">
        <v>140</v>
      </c>
      <c r="D544" s="193" t="s">
        <v>2931</v>
      </c>
      <c r="E544" s="193" t="s">
        <v>2932</v>
      </c>
      <c r="F544" s="193" t="s">
        <v>2933</v>
      </c>
      <c r="G544" s="193" t="s">
        <v>2934</v>
      </c>
      <c r="H544" s="193" t="s">
        <v>2935</v>
      </c>
      <c r="I544" s="193" t="s">
        <v>2936</v>
      </c>
      <c r="T544" s="76"/>
    </row>
    <row r="545" spans="1:20" s="36" customFormat="1" ht="20" customHeight="1" x14ac:dyDescent="0.15">
      <c r="A545" s="5" t="s">
        <v>140</v>
      </c>
      <c r="B545" s="193" t="s">
        <v>141</v>
      </c>
      <c r="C545" s="193" t="s">
        <v>140</v>
      </c>
      <c r="D545" s="193" t="s">
        <v>2920</v>
      </c>
      <c r="E545" s="193" t="s">
        <v>2921</v>
      </c>
      <c r="F545" s="193" t="s">
        <v>2922</v>
      </c>
      <c r="G545" s="193" t="s">
        <v>2923</v>
      </c>
      <c r="H545" s="193" t="s">
        <v>2924</v>
      </c>
      <c r="I545" s="193" t="s">
        <v>2925</v>
      </c>
      <c r="T545" s="76"/>
    </row>
    <row r="546" spans="1:20" s="36" customFormat="1" ht="20" customHeight="1" x14ac:dyDescent="0.15">
      <c r="A546" s="5" t="s">
        <v>148</v>
      </c>
      <c r="B546" s="193" t="s">
        <v>149</v>
      </c>
      <c r="C546" s="193" t="s">
        <v>148</v>
      </c>
      <c r="D546" s="193" t="s">
        <v>3021</v>
      </c>
      <c r="E546" s="193" t="s">
        <v>3022</v>
      </c>
      <c r="F546" s="193" t="s">
        <v>3023</v>
      </c>
      <c r="G546" s="193">
        <v>3785</v>
      </c>
      <c r="H546" s="193" t="s">
        <v>3024</v>
      </c>
      <c r="I546" s="193" t="s">
        <v>3025</v>
      </c>
      <c r="T546" s="76"/>
    </row>
    <row r="547" spans="1:20" s="36" customFormat="1" ht="20" customHeight="1" x14ac:dyDescent="0.15">
      <c r="A547" s="194"/>
      <c r="B547" s="195"/>
      <c r="C547" s="195"/>
      <c r="D547" s="195"/>
      <c r="E547" s="195"/>
      <c r="F547" s="195"/>
      <c r="G547" s="195"/>
      <c r="H547" s="195"/>
      <c r="I547" s="195"/>
      <c r="T547" s="76"/>
    </row>
    <row r="548" spans="1:20" s="36" customFormat="1" ht="20" customHeight="1" x14ac:dyDescent="0.15">
      <c r="A548" s="194"/>
      <c r="B548" s="195"/>
      <c r="C548" s="195"/>
      <c r="D548" s="195"/>
      <c r="E548" s="195"/>
      <c r="F548" s="195"/>
      <c r="G548" s="195"/>
      <c r="H548" s="195"/>
      <c r="I548" s="195"/>
      <c r="T548" s="76"/>
    </row>
    <row r="549" spans="1:20" s="36" customFormat="1" ht="20" customHeight="1" x14ac:dyDescent="0.15">
      <c r="A549" s="194"/>
      <c r="B549" s="195"/>
      <c r="C549" s="195"/>
      <c r="D549" s="195"/>
      <c r="E549" s="195"/>
      <c r="F549" s="195"/>
      <c r="G549" s="195"/>
      <c r="H549" s="195"/>
      <c r="I549" s="195"/>
      <c r="T549" s="76"/>
    </row>
    <row r="550" spans="1:20" s="36" customFormat="1" ht="20" customHeight="1" x14ac:dyDescent="0.15">
      <c r="A550" s="194"/>
      <c r="B550" s="195"/>
      <c r="C550" s="195"/>
      <c r="D550" s="195"/>
      <c r="E550" s="195"/>
      <c r="F550" s="195"/>
      <c r="G550" s="195"/>
      <c r="H550" s="195"/>
      <c r="I550" s="195"/>
      <c r="T550" s="76"/>
    </row>
    <row r="551" spans="1:20" s="36" customFormat="1" ht="20" customHeight="1" x14ac:dyDescent="0.15">
      <c r="A551" s="194"/>
      <c r="B551" s="195"/>
      <c r="C551" s="195"/>
      <c r="D551" s="195"/>
      <c r="E551" s="195"/>
      <c r="F551" s="195"/>
      <c r="G551" s="195"/>
      <c r="H551" s="195"/>
      <c r="I551" s="195"/>
      <c r="T551" s="76"/>
    </row>
    <row r="552" spans="1:20" s="36" customFormat="1" ht="20" customHeight="1" x14ac:dyDescent="0.15">
      <c r="A552" s="194"/>
      <c r="B552" s="195"/>
      <c r="C552" s="195"/>
      <c r="D552" s="195"/>
      <c r="E552" s="195"/>
      <c r="F552" s="195"/>
      <c r="G552" s="195"/>
      <c r="H552" s="195"/>
      <c r="I552" s="195"/>
      <c r="T552" s="76"/>
    </row>
    <row r="553" spans="1:20" x14ac:dyDescent="0.15">
      <c r="B553" s="195"/>
      <c r="C553" s="195"/>
      <c r="D553" s="195"/>
      <c r="E553" s="195"/>
      <c r="F553" s="195"/>
      <c r="G553" s="195"/>
      <c r="H553" s="195"/>
      <c r="I553" s="195"/>
    </row>
    <row r="554" spans="1:20" x14ac:dyDescent="0.15">
      <c r="B554" s="195"/>
      <c r="C554" s="195"/>
      <c r="D554" s="195"/>
      <c r="E554" s="195"/>
      <c r="F554" s="195"/>
      <c r="G554" s="195"/>
      <c r="H554" s="195"/>
      <c r="I554" s="195"/>
    </row>
    <row r="555" spans="1:20" x14ac:dyDescent="0.15">
      <c r="B555" s="195"/>
      <c r="C555" s="195"/>
      <c r="D555" s="195"/>
      <c r="E555" s="195"/>
      <c r="F555" s="195"/>
      <c r="G555" s="195"/>
      <c r="H555" s="195"/>
      <c r="I555" s="195"/>
    </row>
    <row r="556" spans="1:20" x14ac:dyDescent="0.15">
      <c r="B556" s="195"/>
      <c r="C556" s="195"/>
      <c r="D556" s="195"/>
      <c r="E556" s="195"/>
      <c r="F556" s="195"/>
      <c r="G556" s="195"/>
      <c r="H556" s="195"/>
      <c r="I556" s="195"/>
    </row>
    <row r="557" spans="1:20" x14ac:dyDescent="0.15">
      <c r="B557" s="195"/>
      <c r="C557" s="195"/>
      <c r="D557" s="195"/>
      <c r="E557" s="195"/>
      <c r="F557" s="195"/>
      <c r="G557" s="195"/>
      <c r="H557" s="195"/>
      <c r="I557" s="195"/>
    </row>
    <row r="558" spans="1:20" x14ac:dyDescent="0.15">
      <c r="B558" s="195"/>
      <c r="C558" s="195"/>
      <c r="D558" s="195"/>
      <c r="E558" s="195"/>
      <c r="F558" s="195"/>
      <c r="G558" s="195"/>
      <c r="H558" s="195"/>
      <c r="I558" s="195"/>
    </row>
    <row r="559" spans="1:20" x14ac:dyDescent="0.15">
      <c r="B559" s="195"/>
      <c r="C559" s="195"/>
      <c r="D559" s="195"/>
      <c r="E559" s="195"/>
      <c r="F559" s="195"/>
      <c r="G559" s="195"/>
      <c r="H559" s="195"/>
      <c r="I559" s="195"/>
    </row>
    <row r="560" spans="1:20" x14ac:dyDescent="0.15">
      <c r="B560" s="195"/>
      <c r="C560" s="195"/>
      <c r="D560" s="195"/>
      <c r="E560" s="195"/>
      <c r="F560" s="195"/>
      <c r="G560" s="195"/>
      <c r="H560" s="195"/>
      <c r="I560" s="195"/>
    </row>
    <row r="561" spans="2:9" x14ac:dyDescent="0.15">
      <c r="B561" s="195"/>
      <c r="C561" s="195"/>
      <c r="D561" s="195"/>
      <c r="E561" s="195"/>
      <c r="F561" s="195"/>
      <c r="G561" s="195"/>
      <c r="H561" s="195"/>
      <c r="I561" s="195"/>
    </row>
    <row r="562" spans="2:9" x14ac:dyDescent="0.15">
      <c r="B562" s="195"/>
      <c r="C562" s="195"/>
      <c r="D562" s="195"/>
      <c r="E562" s="195"/>
      <c r="F562" s="195"/>
      <c r="G562" s="195"/>
      <c r="H562" s="195"/>
      <c r="I562" s="195"/>
    </row>
    <row r="563" spans="2:9" x14ac:dyDescent="0.15">
      <c r="B563" s="195"/>
      <c r="C563" s="195"/>
      <c r="D563" s="195"/>
      <c r="E563" s="195"/>
      <c r="F563" s="195"/>
      <c r="G563" s="195"/>
      <c r="H563" s="195"/>
      <c r="I563" s="195"/>
    </row>
    <row r="564" spans="2:9" x14ac:dyDescent="0.15">
      <c r="B564" s="195"/>
      <c r="C564" s="195"/>
      <c r="D564" s="195"/>
      <c r="E564" s="195"/>
      <c r="F564" s="195"/>
      <c r="G564" s="195"/>
      <c r="H564" s="195"/>
      <c r="I564" s="195"/>
    </row>
    <row r="565" spans="2:9" x14ac:dyDescent="0.15">
      <c r="B565" s="195"/>
      <c r="C565" s="195"/>
      <c r="D565" s="195"/>
      <c r="E565" s="195"/>
      <c r="F565" s="195"/>
      <c r="G565" s="195"/>
      <c r="H565" s="195"/>
      <c r="I565" s="195"/>
    </row>
    <row r="566" spans="2:9" x14ac:dyDescent="0.15">
      <c r="B566" s="195"/>
      <c r="C566" s="195"/>
      <c r="D566" s="195"/>
      <c r="E566" s="195"/>
      <c r="F566" s="195"/>
      <c r="G566" s="195"/>
      <c r="H566" s="195"/>
      <c r="I566" s="195"/>
    </row>
    <row r="567" spans="2:9" x14ac:dyDescent="0.15">
      <c r="B567" s="195"/>
      <c r="C567" s="195"/>
      <c r="D567" s="195"/>
      <c r="E567" s="195"/>
      <c r="F567" s="195"/>
      <c r="G567" s="195"/>
      <c r="H567" s="195"/>
      <c r="I567" s="195"/>
    </row>
    <row r="568" spans="2:9" x14ac:dyDescent="0.15">
      <c r="B568" s="195"/>
      <c r="C568" s="195"/>
      <c r="D568" s="195"/>
      <c r="E568" s="195"/>
      <c r="F568" s="195"/>
      <c r="G568" s="195"/>
      <c r="H568" s="195"/>
      <c r="I568" s="195"/>
    </row>
    <row r="569" spans="2:9" x14ac:dyDescent="0.15">
      <c r="B569" s="195"/>
      <c r="C569" s="195"/>
      <c r="D569" s="195"/>
      <c r="E569" s="195"/>
      <c r="F569" s="195"/>
      <c r="G569" s="195"/>
      <c r="H569" s="195"/>
      <c r="I569" s="195"/>
    </row>
    <row r="570" spans="2:9" x14ac:dyDescent="0.15">
      <c r="B570" s="195"/>
      <c r="C570" s="195"/>
      <c r="D570" s="195"/>
      <c r="E570" s="195"/>
      <c r="F570" s="195"/>
      <c r="G570" s="195"/>
      <c r="H570" s="195"/>
      <c r="I570" s="195"/>
    </row>
    <row r="571" spans="2:9" x14ac:dyDescent="0.15">
      <c r="B571" s="195"/>
      <c r="C571" s="195"/>
      <c r="D571" s="195"/>
      <c r="E571" s="195"/>
      <c r="F571" s="195"/>
      <c r="G571" s="195"/>
      <c r="H571" s="195"/>
      <c r="I571" s="195"/>
    </row>
    <row r="572" spans="2:9" x14ac:dyDescent="0.15">
      <c r="B572" s="195"/>
      <c r="C572" s="195"/>
      <c r="D572" s="195"/>
      <c r="E572" s="195"/>
      <c r="F572" s="195"/>
      <c r="G572" s="195"/>
      <c r="H572" s="195"/>
      <c r="I572" s="195"/>
    </row>
    <row r="573" spans="2:9" x14ac:dyDescent="0.15">
      <c r="B573" s="195"/>
      <c r="C573" s="195"/>
      <c r="D573" s="195"/>
      <c r="E573" s="195"/>
      <c r="F573" s="195"/>
      <c r="G573" s="195"/>
      <c r="H573" s="195"/>
      <c r="I573" s="195"/>
    </row>
    <row r="574" spans="2:9" x14ac:dyDescent="0.15">
      <c r="B574" s="195"/>
      <c r="C574" s="195"/>
      <c r="D574" s="195"/>
      <c r="E574" s="195"/>
      <c r="F574" s="195"/>
      <c r="G574" s="195"/>
      <c r="H574" s="195"/>
      <c r="I574" s="195"/>
    </row>
    <row r="575" spans="2:9" x14ac:dyDescent="0.15">
      <c r="B575" s="195"/>
      <c r="C575" s="195"/>
      <c r="D575" s="195"/>
      <c r="E575" s="195"/>
      <c r="F575" s="195"/>
      <c r="G575" s="195"/>
      <c r="H575" s="195"/>
      <c r="I575" s="195"/>
    </row>
    <row r="576" spans="2:9" x14ac:dyDescent="0.15">
      <c r="B576" s="195"/>
      <c r="C576" s="195"/>
      <c r="D576" s="195"/>
      <c r="E576" s="195"/>
      <c r="F576" s="195"/>
      <c r="G576" s="195"/>
      <c r="H576" s="195"/>
      <c r="I576" s="195"/>
    </row>
    <row r="577" spans="2:9" x14ac:dyDescent="0.15">
      <c r="B577" s="195"/>
      <c r="C577" s="195"/>
      <c r="D577" s="195"/>
      <c r="E577" s="195"/>
      <c r="F577" s="195"/>
      <c r="G577" s="195"/>
      <c r="H577" s="195"/>
      <c r="I577" s="195"/>
    </row>
    <row r="578" spans="2:9" x14ac:dyDescent="0.15">
      <c r="B578" s="195"/>
      <c r="C578" s="195"/>
      <c r="D578" s="195"/>
      <c r="E578" s="195"/>
      <c r="F578" s="195"/>
      <c r="G578" s="195"/>
      <c r="H578" s="195"/>
      <c r="I578" s="195"/>
    </row>
    <row r="579" spans="2:9" x14ac:dyDescent="0.15">
      <c r="B579" s="195"/>
      <c r="C579" s="195"/>
      <c r="D579" s="195"/>
      <c r="E579" s="195"/>
      <c r="F579" s="195"/>
      <c r="G579" s="195"/>
      <c r="H579" s="195"/>
      <c r="I579" s="195"/>
    </row>
    <row r="580" spans="2:9" x14ac:dyDescent="0.15">
      <c r="B580" s="195"/>
      <c r="C580" s="195"/>
      <c r="D580" s="195"/>
      <c r="E580" s="195"/>
      <c r="F580" s="195"/>
      <c r="G580" s="195"/>
      <c r="H580" s="195"/>
      <c r="I580" s="195"/>
    </row>
    <row r="581" spans="2:9" x14ac:dyDescent="0.15">
      <c r="B581" s="195"/>
      <c r="C581" s="195"/>
      <c r="D581" s="195"/>
      <c r="E581" s="195"/>
      <c r="F581" s="195"/>
      <c r="G581" s="195"/>
      <c r="H581" s="195"/>
      <c r="I581" s="195"/>
    </row>
    <row r="582" spans="2:9" x14ac:dyDescent="0.15">
      <c r="B582" s="195"/>
      <c r="C582" s="195"/>
      <c r="D582" s="195"/>
      <c r="E582" s="195"/>
      <c r="F582" s="195"/>
      <c r="G582" s="195"/>
      <c r="H582" s="195"/>
      <c r="I582" s="195"/>
    </row>
    <row r="583" spans="2:9" x14ac:dyDescent="0.15">
      <c r="B583" s="195"/>
      <c r="C583" s="195"/>
      <c r="D583" s="195"/>
      <c r="E583" s="195"/>
      <c r="F583" s="195"/>
      <c r="G583" s="195"/>
      <c r="H583" s="195"/>
      <c r="I583" s="195"/>
    </row>
    <row r="584" spans="2:9" x14ac:dyDescent="0.15">
      <c r="B584" s="195"/>
      <c r="C584" s="195"/>
      <c r="D584" s="195"/>
      <c r="E584" s="195"/>
      <c r="F584" s="195"/>
      <c r="G584" s="195"/>
      <c r="H584" s="195"/>
      <c r="I584" s="195"/>
    </row>
    <row r="585" spans="2:9" x14ac:dyDescent="0.15">
      <c r="B585" s="195"/>
      <c r="C585" s="195"/>
      <c r="D585" s="195"/>
      <c r="E585" s="195"/>
      <c r="F585" s="195"/>
      <c r="G585" s="195"/>
      <c r="H585" s="195"/>
      <c r="I585" s="195"/>
    </row>
    <row r="586" spans="2:9" x14ac:dyDescent="0.15">
      <c r="B586" s="195"/>
      <c r="C586" s="195"/>
      <c r="D586" s="195"/>
      <c r="E586" s="195"/>
      <c r="F586" s="195"/>
      <c r="G586" s="195"/>
      <c r="H586" s="195"/>
      <c r="I586" s="195"/>
    </row>
    <row r="587" spans="2:9" x14ac:dyDescent="0.15">
      <c r="B587" s="195"/>
      <c r="C587" s="195"/>
      <c r="D587" s="195"/>
      <c r="E587" s="195"/>
      <c r="F587" s="195"/>
      <c r="G587" s="195"/>
      <c r="H587" s="195"/>
      <c r="I587" s="195"/>
    </row>
    <row r="588" spans="2:9" x14ac:dyDescent="0.15">
      <c r="B588" s="195"/>
      <c r="C588" s="195"/>
      <c r="D588" s="195"/>
      <c r="E588" s="195"/>
      <c r="F588" s="195"/>
      <c r="G588" s="195"/>
      <c r="H588" s="195"/>
      <c r="I588" s="195"/>
    </row>
    <row r="589" spans="2:9" x14ac:dyDescent="0.15">
      <c r="B589" s="195"/>
      <c r="C589" s="195"/>
      <c r="D589" s="195"/>
      <c r="E589" s="195"/>
      <c r="F589" s="195"/>
      <c r="G589" s="195"/>
      <c r="H589" s="195"/>
      <c r="I589" s="195"/>
    </row>
    <row r="590" spans="2:9" x14ac:dyDescent="0.15">
      <c r="B590" s="195"/>
      <c r="C590" s="195"/>
      <c r="D590" s="195"/>
      <c r="E590" s="195"/>
      <c r="F590" s="195"/>
      <c r="G590" s="195"/>
      <c r="H590" s="195"/>
      <c r="I590" s="195"/>
    </row>
    <row r="591" spans="2:9" x14ac:dyDescent="0.15">
      <c r="B591" s="195"/>
      <c r="C591" s="195"/>
      <c r="D591" s="195"/>
      <c r="E591" s="195"/>
      <c r="F591" s="195"/>
      <c r="G591" s="195"/>
      <c r="H591" s="195"/>
      <c r="I591" s="195"/>
    </row>
    <row r="592" spans="2:9" x14ac:dyDescent="0.15">
      <c r="B592" s="195"/>
      <c r="C592" s="195"/>
      <c r="D592" s="195"/>
      <c r="E592" s="195"/>
      <c r="F592" s="195"/>
      <c r="G592" s="195"/>
      <c r="H592" s="195"/>
      <c r="I592" s="195"/>
    </row>
    <row r="593" spans="2:9" x14ac:dyDescent="0.15">
      <c r="B593" s="195"/>
      <c r="C593" s="195"/>
      <c r="D593" s="195"/>
      <c r="E593" s="195"/>
      <c r="F593" s="195"/>
      <c r="G593" s="195"/>
      <c r="H593" s="195"/>
      <c r="I593" s="195"/>
    </row>
    <row r="594" spans="2:9" x14ac:dyDescent="0.15">
      <c r="B594" s="195"/>
      <c r="C594" s="195"/>
      <c r="D594" s="195"/>
      <c r="E594" s="195"/>
      <c r="F594" s="195"/>
      <c r="G594" s="195"/>
      <c r="H594" s="195"/>
      <c r="I594" s="195"/>
    </row>
    <row r="595" spans="2:9" x14ac:dyDescent="0.15">
      <c r="B595" s="195"/>
      <c r="C595" s="195"/>
      <c r="D595" s="195"/>
      <c r="E595" s="195"/>
      <c r="F595" s="195"/>
      <c r="G595" s="195"/>
      <c r="H595" s="195"/>
      <c r="I595" s="195"/>
    </row>
    <row r="596" spans="2:9" x14ac:dyDescent="0.15">
      <c r="B596" s="195"/>
      <c r="C596" s="195"/>
      <c r="D596" s="195"/>
      <c r="E596" s="195"/>
      <c r="F596" s="195"/>
      <c r="G596" s="195"/>
      <c r="H596" s="195"/>
      <c r="I596" s="195"/>
    </row>
    <row r="597" spans="2:9" x14ac:dyDescent="0.15">
      <c r="B597" s="195"/>
      <c r="C597" s="195"/>
      <c r="D597" s="195"/>
      <c r="E597" s="195"/>
      <c r="F597" s="195"/>
      <c r="G597" s="195"/>
      <c r="H597" s="195"/>
      <c r="I597" s="195"/>
    </row>
    <row r="598" spans="2:9" x14ac:dyDescent="0.15">
      <c r="B598" s="195"/>
      <c r="C598" s="195"/>
      <c r="D598" s="195"/>
      <c r="E598" s="195"/>
      <c r="F598" s="195"/>
      <c r="G598" s="195"/>
      <c r="H598" s="195"/>
      <c r="I598" s="195"/>
    </row>
    <row r="599" spans="2:9" x14ac:dyDescent="0.15">
      <c r="B599" s="195"/>
      <c r="C599" s="195"/>
      <c r="D599" s="195"/>
      <c r="E599" s="195"/>
      <c r="F599" s="195"/>
      <c r="G599" s="195"/>
      <c r="H599" s="195"/>
      <c r="I599" s="195"/>
    </row>
    <row r="600" spans="2:9" x14ac:dyDescent="0.15">
      <c r="B600" s="195"/>
      <c r="C600" s="195"/>
      <c r="D600" s="195"/>
      <c r="E600" s="195"/>
      <c r="F600" s="195"/>
      <c r="G600" s="195"/>
      <c r="H600" s="195"/>
      <c r="I600" s="195"/>
    </row>
    <row r="601" spans="2:9" x14ac:dyDescent="0.15">
      <c r="B601" s="195"/>
      <c r="C601" s="195"/>
      <c r="D601" s="195"/>
      <c r="E601" s="195"/>
      <c r="F601" s="195"/>
      <c r="G601" s="195"/>
      <c r="H601" s="195"/>
      <c r="I601" s="195"/>
    </row>
    <row r="602" spans="2:9" x14ac:dyDescent="0.15">
      <c r="B602" s="195"/>
      <c r="C602" s="195"/>
      <c r="D602" s="195"/>
      <c r="E602" s="195"/>
      <c r="F602" s="195"/>
      <c r="G602" s="195"/>
      <c r="H602" s="195"/>
      <c r="I602" s="195"/>
    </row>
    <row r="603" spans="2:9" x14ac:dyDescent="0.15">
      <c r="B603" s="195"/>
      <c r="C603" s="195"/>
      <c r="D603" s="195"/>
      <c r="E603" s="195"/>
      <c r="F603" s="195"/>
      <c r="G603" s="195"/>
      <c r="H603" s="195"/>
      <c r="I603" s="195"/>
    </row>
    <row r="604" spans="2:9" x14ac:dyDescent="0.15">
      <c r="B604" s="195"/>
      <c r="C604" s="195"/>
      <c r="D604" s="195"/>
      <c r="E604" s="195"/>
      <c r="F604" s="195"/>
      <c r="G604" s="195"/>
      <c r="H604" s="195"/>
      <c r="I604" s="195"/>
    </row>
    <row r="605" spans="2:9" x14ac:dyDescent="0.15">
      <c r="B605" s="195"/>
      <c r="C605" s="195"/>
      <c r="D605" s="195"/>
      <c r="E605" s="195"/>
      <c r="F605" s="195"/>
      <c r="G605" s="195"/>
      <c r="H605" s="195"/>
      <c r="I605" s="195"/>
    </row>
    <row r="606" spans="2:9" x14ac:dyDescent="0.15">
      <c r="B606" s="195"/>
      <c r="C606" s="195"/>
      <c r="D606" s="195"/>
      <c r="E606" s="195"/>
      <c r="F606" s="195"/>
      <c r="G606" s="195"/>
      <c r="H606" s="195"/>
      <c r="I606" s="195"/>
    </row>
    <row r="607" spans="2:9" x14ac:dyDescent="0.15">
      <c r="B607" s="195"/>
      <c r="C607" s="195"/>
      <c r="D607" s="195"/>
      <c r="E607" s="195"/>
      <c r="F607" s="195"/>
      <c r="G607" s="195"/>
      <c r="H607" s="195"/>
      <c r="I607" s="195"/>
    </row>
    <row r="608" spans="2:9" x14ac:dyDescent="0.15">
      <c r="B608" s="195"/>
      <c r="C608" s="195"/>
      <c r="D608" s="195"/>
      <c r="E608" s="195"/>
      <c r="F608" s="195"/>
      <c r="G608" s="195"/>
      <c r="H608" s="195"/>
      <c r="I608" s="195"/>
    </row>
    <row r="609" spans="2:9" x14ac:dyDescent="0.15">
      <c r="B609" s="195"/>
      <c r="C609" s="195"/>
      <c r="D609" s="195"/>
      <c r="E609" s="195"/>
      <c r="F609" s="195"/>
      <c r="G609" s="195"/>
      <c r="H609" s="195"/>
      <c r="I609" s="195"/>
    </row>
    <row r="610" spans="2:9" x14ac:dyDescent="0.15">
      <c r="B610" s="195"/>
      <c r="C610" s="195"/>
      <c r="D610" s="195"/>
      <c r="E610" s="195"/>
      <c r="F610" s="195"/>
      <c r="G610" s="195"/>
      <c r="H610" s="195"/>
      <c r="I610" s="195"/>
    </row>
    <row r="611" spans="2:9" x14ac:dyDescent="0.15">
      <c r="B611" s="195"/>
      <c r="C611" s="195"/>
      <c r="D611" s="195"/>
      <c r="E611" s="195"/>
      <c r="F611" s="195"/>
      <c r="G611" s="195"/>
      <c r="H611" s="195"/>
      <c r="I611" s="195"/>
    </row>
    <row r="612" spans="2:9" x14ac:dyDescent="0.15">
      <c r="B612" s="195"/>
      <c r="C612" s="195"/>
      <c r="D612" s="195"/>
      <c r="E612" s="195"/>
      <c r="F612" s="195"/>
      <c r="G612" s="195"/>
      <c r="H612" s="195"/>
      <c r="I612" s="195"/>
    </row>
    <row r="613" spans="2:9" x14ac:dyDescent="0.15">
      <c r="B613" s="195"/>
      <c r="C613" s="195"/>
      <c r="D613" s="195"/>
      <c r="E613" s="195"/>
      <c r="F613" s="195"/>
      <c r="G613" s="195"/>
      <c r="H613" s="195"/>
      <c r="I613" s="195"/>
    </row>
    <row r="614" spans="2:9" x14ac:dyDescent="0.15">
      <c r="B614" s="195"/>
      <c r="C614" s="195"/>
      <c r="D614" s="195"/>
      <c r="E614" s="195"/>
      <c r="F614" s="195"/>
      <c r="G614" s="195"/>
      <c r="H614" s="195"/>
      <c r="I614" s="195"/>
    </row>
    <row r="615" spans="2:9" x14ac:dyDescent="0.15">
      <c r="B615" s="195"/>
      <c r="C615" s="195"/>
      <c r="D615" s="195"/>
      <c r="E615" s="195"/>
      <c r="F615" s="195"/>
      <c r="G615" s="195"/>
      <c r="H615" s="195"/>
      <c r="I615" s="195"/>
    </row>
    <row r="616" spans="2:9" x14ac:dyDescent="0.15">
      <c r="B616" s="195"/>
      <c r="C616" s="195"/>
      <c r="D616" s="195"/>
      <c r="E616" s="195"/>
      <c r="F616" s="195"/>
      <c r="G616" s="195"/>
      <c r="H616" s="195"/>
      <c r="I616" s="195"/>
    </row>
    <row r="617" spans="2:9" x14ac:dyDescent="0.15">
      <c r="B617" s="195"/>
      <c r="C617" s="195"/>
      <c r="D617" s="195"/>
      <c r="E617" s="195"/>
      <c r="F617" s="195"/>
      <c r="G617" s="195"/>
      <c r="H617" s="195"/>
      <c r="I617" s="195"/>
    </row>
    <row r="618" spans="2:9" x14ac:dyDescent="0.15">
      <c r="B618" s="195"/>
      <c r="C618" s="195"/>
      <c r="D618" s="195"/>
      <c r="E618" s="195"/>
      <c r="F618" s="195"/>
      <c r="G618" s="195"/>
      <c r="H618" s="195"/>
      <c r="I618" s="195"/>
    </row>
    <row r="619" spans="2:9" x14ac:dyDescent="0.15">
      <c r="B619" s="195"/>
      <c r="C619" s="195"/>
      <c r="D619" s="195"/>
      <c r="E619" s="195"/>
      <c r="F619" s="195"/>
      <c r="G619" s="195"/>
      <c r="H619" s="195"/>
      <c r="I619" s="195"/>
    </row>
    <row r="620" spans="2:9" x14ac:dyDescent="0.15">
      <c r="B620" s="195"/>
      <c r="C620" s="195"/>
      <c r="D620" s="195"/>
      <c r="E620" s="195"/>
      <c r="F620" s="195"/>
      <c r="G620" s="195"/>
      <c r="H620" s="195"/>
      <c r="I620" s="195"/>
    </row>
    <row r="621" spans="2:9" x14ac:dyDescent="0.15">
      <c r="B621" s="195"/>
      <c r="C621" s="195"/>
      <c r="D621" s="195"/>
      <c r="E621" s="195"/>
      <c r="F621" s="195"/>
      <c r="G621" s="195"/>
      <c r="H621" s="195"/>
      <c r="I621" s="195"/>
    </row>
    <row r="622" spans="2:9" x14ac:dyDescent="0.15">
      <c r="B622" s="195"/>
      <c r="C622" s="195"/>
      <c r="D622" s="195"/>
      <c r="E622" s="195"/>
      <c r="F622" s="195"/>
      <c r="G622" s="195"/>
      <c r="H622" s="195"/>
      <c r="I622" s="195"/>
    </row>
    <row r="623" spans="2:9" x14ac:dyDescent="0.15">
      <c r="B623" s="195"/>
      <c r="C623" s="195"/>
      <c r="D623" s="195"/>
      <c r="E623" s="195"/>
      <c r="F623" s="195"/>
      <c r="G623" s="195"/>
      <c r="H623" s="195"/>
      <c r="I623" s="195"/>
    </row>
    <row r="624" spans="2:9" x14ac:dyDescent="0.15">
      <c r="B624" s="195"/>
      <c r="C624" s="195"/>
      <c r="D624" s="195"/>
      <c r="E624" s="195"/>
      <c r="F624" s="195"/>
      <c r="G624" s="195"/>
      <c r="H624" s="195"/>
      <c r="I624" s="195"/>
    </row>
    <row r="625" spans="2:9" x14ac:dyDescent="0.15">
      <c r="B625" s="195"/>
      <c r="C625" s="195"/>
      <c r="D625" s="195"/>
      <c r="E625" s="195"/>
      <c r="F625" s="195"/>
      <c r="G625" s="195"/>
      <c r="H625" s="195"/>
      <c r="I625" s="195"/>
    </row>
    <row r="626" spans="2:9" x14ac:dyDescent="0.15">
      <c r="B626" s="195"/>
      <c r="C626" s="195"/>
      <c r="D626" s="195"/>
      <c r="E626" s="195"/>
      <c r="F626" s="195"/>
      <c r="G626" s="195"/>
      <c r="H626" s="195"/>
      <c r="I626" s="195"/>
    </row>
    <row r="627" spans="2:9" x14ac:dyDescent="0.15">
      <c r="B627" s="195"/>
      <c r="C627" s="195"/>
      <c r="D627" s="195"/>
      <c r="E627" s="195"/>
      <c r="F627" s="195"/>
      <c r="G627" s="195"/>
      <c r="H627" s="195"/>
      <c r="I627" s="195"/>
    </row>
    <row r="628" spans="2:9" x14ac:dyDescent="0.15">
      <c r="B628" s="195"/>
      <c r="C628" s="195"/>
      <c r="D628" s="195"/>
      <c r="E628" s="195"/>
      <c r="F628" s="195"/>
      <c r="G628" s="195"/>
      <c r="H628" s="195"/>
      <c r="I628" s="195"/>
    </row>
    <row r="629" spans="2:9" x14ac:dyDescent="0.15">
      <c r="B629" s="195"/>
      <c r="C629" s="195"/>
      <c r="D629" s="195"/>
      <c r="E629" s="195"/>
      <c r="F629" s="195"/>
      <c r="G629" s="195"/>
      <c r="H629" s="195"/>
      <c r="I629" s="195"/>
    </row>
    <row r="630" spans="2:9" x14ac:dyDescent="0.15">
      <c r="B630" s="195"/>
      <c r="C630" s="195"/>
      <c r="D630" s="195"/>
      <c r="E630" s="195"/>
      <c r="F630" s="195"/>
      <c r="G630" s="195"/>
      <c r="H630" s="195"/>
      <c r="I630" s="195"/>
    </row>
    <row r="631" spans="2:9" x14ac:dyDescent="0.15">
      <c r="B631" s="195"/>
      <c r="C631" s="195"/>
      <c r="D631" s="195"/>
      <c r="E631" s="195"/>
      <c r="F631" s="195"/>
      <c r="G631" s="195"/>
      <c r="H631" s="195"/>
      <c r="I631" s="195"/>
    </row>
    <row r="632" spans="2:9" x14ac:dyDescent="0.15">
      <c r="B632" s="195"/>
      <c r="C632" s="195"/>
      <c r="D632" s="195"/>
      <c r="E632" s="195"/>
      <c r="F632" s="195"/>
      <c r="G632" s="195"/>
      <c r="H632" s="195"/>
      <c r="I632" s="195"/>
    </row>
    <row r="633" spans="2:9" x14ac:dyDescent="0.15">
      <c r="B633" s="195"/>
      <c r="C633" s="195"/>
      <c r="D633" s="195"/>
      <c r="E633" s="195"/>
      <c r="F633" s="195"/>
      <c r="G633" s="195"/>
      <c r="H633" s="195"/>
      <c r="I633" s="195"/>
    </row>
    <row r="634" spans="2:9" x14ac:dyDescent="0.15">
      <c r="B634" s="195"/>
      <c r="C634" s="195"/>
      <c r="D634" s="195"/>
      <c r="E634" s="195"/>
      <c r="F634" s="195"/>
      <c r="G634" s="195"/>
      <c r="H634" s="195"/>
      <c r="I634" s="195"/>
    </row>
    <row r="635" spans="2:9" x14ac:dyDescent="0.15">
      <c r="B635" s="195"/>
      <c r="C635" s="195"/>
      <c r="D635" s="195"/>
      <c r="E635" s="195"/>
      <c r="F635" s="195"/>
      <c r="G635" s="195"/>
      <c r="H635" s="195"/>
      <c r="I635" s="195"/>
    </row>
    <row r="636" spans="2:9" x14ac:dyDescent="0.15">
      <c r="B636" s="195"/>
      <c r="C636" s="195"/>
      <c r="D636" s="195"/>
      <c r="E636" s="195"/>
      <c r="F636" s="195"/>
      <c r="G636" s="195"/>
      <c r="H636" s="195"/>
      <c r="I636" s="195"/>
    </row>
    <row r="637" spans="2:9" x14ac:dyDescent="0.15">
      <c r="B637" s="195"/>
      <c r="C637" s="195"/>
      <c r="D637" s="195"/>
      <c r="E637" s="195"/>
      <c r="F637" s="195"/>
      <c r="G637" s="195"/>
      <c r="H637" s="195"/>
      <c r="I637" s="195"/>
    </row>
    <row r="638" spans="2:9" x14ac:dyDescent="0.15">
      <c r="B638" s="195"/>
      <c r="C638" s="195"/>
      <c r="D638" s="195"/>
      <c r="E638" s="195"/>
      <c r="F638" s="195"/>
      <c r="G638" s="195"/>
      <c r="H638" s="195"/>
      <c r="I638" s="195"/>
    </row>
    <row r="639" spans="2:9" x14ac:dyDescent="0.15">
      <c r="B639" s="195"/>
      <c r="C639" s="195"/>
      <c r="D639" s="195"/>
      <c r="E639" s="195"/>
      <c r="F639" s="195"/>
      <c r="G639" s="195"/>
      <c r="H639" s="195"/>
      <c r="I639" s="195"/>
    </row>
    <row r="640" spans="2:9" x14ac:dyDescent="0.15">
      <c r="B640" s="195"/>
      <c r="C640" s="195"/>
      <c r="D640" s="195"/>
      <c r="E640" s="195"/>
      <c r="F640" s="195"/>
      <c r="G640" s="195"/>
      <c r="H640" s="195"/>
      <c r="I640" s="195"/>
    </row>
    <row r="641" spans="2:9" x14ac:dyDescent="0.15">
      <c r="B641" s="195"/>
      <c r="C641" s="195"/>
      <c r="D641" s="195"/>
      <c r="E641" s="195"/>
      <c r="F641" s="195"/>
      <c r="G641" s="195"/>
      <c r="H641" s="195"/>
      <c r="I641" s="195"/>
    </row>
    <row r="642" spans="2:9" x14ac:dyDescent="0.15">
      <c r="B642" s="195"/>
      <c r="C642" s="195"/>
      <c r="D642" s="195"/>
      <c r="E642" s="195"/>
      <c r="F642" s="195"/>
      <c r="G642" s="195"/>
      <c r="H642" s="195"/>
      <c r="I642" s="195"/>
    </row>
    <row r="643" spans="2:9" x14ac:dyDescent="0.15">
      <c r="B643" s="195"/>
      <c r="C643" s="195"/>
      <c r="D643" s="195"/>
      <c r="E643" s="195"/>
      <c r="F643" s="195"/>
      <c r="G643" s="195"/>
      <c r="H643" s="195"/>
      <c r="I643" s="195"/>
    </row>
    <row r="644" spans="2:9" x14ac:dyDescent="0.15">
      <c r="B644" s="195"/>
      <c r="C644" s="195"/>
      <c r="D644" s="195"/>
      <c r="E644" s="195"/>
      <c r="F644" s="195"/>
      <c r="G644" s="195"/>
      <c r="H644" s="195"/>
      <c r="I644" s="195"/>
    </row>
    <row r="645" spans="2:9" x14ac:dyDescent="0.15">
      <c r="B645" s="195"/>
      <c r="C645" s="195"/>
      <c r="D645" s="195"/>
      <c r="E645" s="195"/>
      <c r="F645" s="195"/>
      <c r="G645" s="195"/>
      <c r="H645" s="195"/>
      <c r="I645" s="195"/>
    </row>
    <row r="2594" spans="20:20" x14ac:dyDescent="0.15">
      <c r="T2594" s="36"/>
    </row>
    <row r="2595" spans="20:20" x14ac:dyDescent="0.15">
      <c r="T2595" s="36"/>
    </row>
    <row r="2596" spans="20:20" x14ac:dyDescent="0.15">
      <c r="T2596" s="36"/>
    </row>
    <row r="2597" spans="20:20" x14ac:dyDescent="0.15">
      <c r="T2597" s="36"/>
    </row>
    <row r="2598" spans="20:20" x14ac:dyDescent="0.15">
      <c r="T2598" s="36"/>
    </row>
    <row r="2599" spans="20:20" x14ac:dyDescent="0.15">
      <c r="T2599" s="36"/>
    </row>
    <row r="2600" spans="20:20" x14ac:dyDescent="0.15">
      <c r="T2600" s="36"/>
    </row>
    <row r="2601" spans="20:20" x14ac:dyDescent="0.15">
      <c r="T2601" s="36"/>
    </row>
    <row r="2602" spans="20:20" x14ac:dyDescent="0.15">
      <c r="T2602" s="36"/>
    </row>
    <row r="2603" spans="20:20" x14ac:dyDescent="0.15">
      <c r="T2603" s="36"/>
    </row>
    <row r="2604" spans="20:20" x14ac:dyDescent="0.15">
      <c r="T2604" s="36"/>
    </row>
    <row r="2605" spans="20:20" x14ac:dyDescent="0.15">
      <c r="T2605" s="36"/>
    </row>
    <row r="2606" spans="20:20" x14ac:dyDescent="0.15">
      <c r="T2606" s="36"/>
    </row>
    <row r="2607" spans="20:20" x14ac:dyDescent="0.15">
      <c r="T2607" s="36"/>
    </row>
    <row r="2608" spans="20:20" x14ac:dyDescent="0.15">
      <c r="T2608" s="36"/>
    </row>
    <row r="2609" spans="20:20" x14ac:dyDescent="0.15">
      <c r="T2609" s="36"/>
    </row>
    <row r="2610" spans="20:20" x14ac:dyDescent="0.15">
      <c r="T2610" s="36"/>
    </row>
    <row r="2611" spans="20:20" x14ac:dyDescent="0.15">
      <c r="T2611" s="36"/>
    </row>
    <row r="2612" spans="20:20" x14ac:dyDescent="0.15">
      <c r="T2612" s="36"/>
    </row>
    <row r="2613" spans="20:20" x14ac:dyDescent="0.15">
      <c r="T2613" s="36"/>
    </row>
    <row r="2614" spans="20:20" x14ac:dyDescent="0.15">
      <c r="T2614" s="36"/>
    </row>
    <row r="2615" spans="20:20" x14ac:dyDescent="0.15">
      <c r="T2615" s="36"/>
    </row>
    <row r="2616" spans="20:20" x14ac:dyDescent="0.15">
      <c r="T2616" s="36"/>
    </row>
    <row r="2617" spans="20:20" x14ac:dyDescent="0.15">
      <c r="T2617" s="36"/>
    </row>
    <row r="2618" spans="20:20" x14ac:dyDescent="0.15">
      <c r="T2618" s="36"/>
    </row>
    <row r="2619" spans="20:20" x14ac:dyDescent="0.15">
      <c r="T2619" s="36"/>
    </row>
    <row r="2620" spans="20:20" x14ac:dyDescent="0.15">
      <c r="T2620" s="36"/>
    </row>
    <row r="2621" spans="20:20" x14ac:dyDescent="0.15">
      <c r="T2621" s="36"/>
    </row>
    <row r="2622" spans="20:20" x14ac:dyDescent="0.15">
      <c r="T2622" s="36"/>
    </row>
    <row r="2623" spans="20:20" x14ac:dyDescent="0.15">
      <c r="T2623" s="36"/>
    </row>
    <row r="2624" spans="20:20" x14ac:dyDescent="0.15">
      <c r="T2624" s="36"/>
    </row>
    <row r="2625" spans="20:20" x14ac:dyDescent="0.15">
      <c r="T2625" s="36"/>
    </row>
    <row r="2626" spans="20:20" x14ac:dyDescent="0.15">
      <c r="T2626" s="36"/>
    </row>
    <row r="2627" spans="20:20" x14ac:dyDescent="0.15">
      <c r="T2627" s="36"/>
    </row>
    <row r="2628" spans="20:20" x14ac:dyDescent="0.15">
      <c r="T2628" s="36"/>
    </row>
    <row r="2629" spans="20:20" x14ac:dyDescent="0.15">
      <c r="T2629" s="36"/>
    </row>
    <row r="2630" spans="20:20" x14ac:dyDescent="0.15">
      <c r="T2630" s="36"/>
    </row>
    <row r="2631" spans="20:20" x14ac:dyDescent="0.15">
      <c r="T2631" s="36"/>
    </row>
    <row r="2632" spans="20:20" x14ac:dyDescent="0.15">
      <c r="T2632" s="36"/>
    </row>
    <row r="2633" spans="20:20" x14ac:dyDescent="0.15">
      <c r="T2633" s="36"/>
    </row>
    <row r="2634" spans="20:20" x14ac:dyDescent="0.15">
      <c r="T2634" s="36"/>
    </row>
    <row r="2635" spans="20:20" x14ac:dyDescent="0.15">
      <c r="T2635" s="36"/>
    </row>
    <row r="2636" spans="20:20" x14ac:dyDescent="0.15">
      <c r="T2636" s="36"/>
    </row>
    <row r="2637" spans="20:20" x14ac:dyDescent="0.15">
      <c r="T2637" s="36"/>
    </row>
    <row r="2638" spans="20:20" x14ac:dyDescent="0.15">
      <c r="T2638" s="36"/>
    </row>
    <row r="2639" spans="20:20" x14ac:dyDescent="0.15">
      <c r="T2639" s="36"/>
    </row>
    <row r="2640" spans="20:20" x14ac:dyDescent="0.15">
      <c r="T2640" s="36"/>
    </row>
    <row r="2641" spans="20:20" x14ac:dyDescent="0.15">
      <c r="T2641" s="36"/>
    </row>
    <row r="2642" spans="20:20" x14ac:dyDescent="0.15">
      <c r="T2642" s="36"/>
    </row>
    <row r="2643" spans="20:20" x14ac:dyDescent="0.15">
      <c r="T2643" s="36"/>
    </row>
    <row r="2644" spans="20:20" x14ac:dyDescent="0.15">
      <c r="T2644" s="36"/>
    </row>
    <row r="2645" spans="20:20" x14ac:dyDescent="0.15">
      <c r="T2645" s="36"/>
    </row>
    <row r="2646" spans="20:20" x14ac:dyDescent="0.15">
      <c r="T2646" s="36"/>
    </row>
    <row r="2647" spans="20:20" x14ac:dyDescent="0.15">
      <c r="T2647" s="36"/>
    </row>
    <row r="2648" spans="20:20" x14ac:dyDescent="0.15">
      <c r="T2648" s="36"/>
    </row>
    <row r="2649" spans="20:20" x14ac:dyDescent="0.15">
      <c r="T2649" s="36"/>
    </row>
    <row r="2650" spans="20:20" x14ac:dyDescent="0.15">
      <c r="T2650" s="36"/>
    </row>
    <row r="2651" spans="20:20" x14ac:dyDescent="0.15">
      <c r="T2651" s="36"/>
    </row>
    <row r="2652" spans="20:20" x14ac:dyDescent="0.15">
      <c r="T2652" s="36"/>
    </row>
    <row r="2653" spans="20:20" x14ac:dyDescent="0.15">
      <c r="T2653" s="36"/>
    </row>
    <row r="2654" spans="20:20" x14ac:dyDescent="0.15">
      <c r="T2654" s="36"/>
    </row>
    <row r="2655" spans="20:20" x14ac:dyDescent="0.15">
      <c r="T2655" s="36"/>
    </row>
    <row r="2656" spans="20:20" x14ac:dyDescent="0.15">
      <c r="T2656" s="36"/>
    </row>
    <row r="2657" spans="20:20" x14ac:dyDescent="0.15">
      <c r="T2657" s="36"/>
    </row>
    <row r="2658" spans="20:20" x14ac:dyDescent="0.15">
      <c r="T2658" s="36"/>
    </row>
    <row r="2659" spans="20:20" x14ac:dyDescent="0.15">
      <c r="T2659" s="36"/>
    </row>
    <row r="2660" spans="20:20" x14ac:dyDescent="0.15">
      <c r="T2660" s="36"/>
    </row>
    <row r="2661" spans="20:20" x14ac:dyDescent="0.15">
      <c r="T2661" s="36"/>
    </row>
    <row r="2662" spans="20:20" x14ac:dyDescent="0.15">
      <c r="T2662" s="36"/>
    </row>
    <row r="2663" spans="20:20" x14ac:dyDescent="0.15">
      <c r="T2663" s="36"/>
    </row>
    <row r="2664" spans="20:20" x14ac:dyDescent="0.15">
      <c r="T2664" s="36"/>
    </row>
    <row r="2665" spans="20:20" x14ac:dyDescent="0.15">
      <c r="T2665" s="36"/>
    </row>
    <row r="2666" spans="20:20" x14ac:dyDescent="0.15">
      <c r="T2666" s="36"/>
    </row>
    <row r="2667" spans="20:20" x14ac:dyDescent="0.15">
      <c r="T2667" s="36"/>
    </row>
    <row r="2668" spans="20:20" x14ac:dyDescent="0.15">
      <c r="T2668" s="36"/>
    </row>
    <row r="2669" spans="20:20" x14ac:dyDescent="0.15">
      <c r="T2669" s="36"/>
    </row>
    <row r="2670" spans="20:20" x14ac:dyDescent="0.15">
      <c r="T2670" s="36"/>
    </row>
    <row r="2671" spans="20:20" x14ac:dyDescent="0.15">
      <c r="T2671" s="36"/>
    </row>
    <row r="2672" spans="20:20" x14ac:dyDescent="0.15">
      <c r="T2672" s="36"/>
    </row>
    <row r="2673" spans="20:20" x14ac:dyDescent="0.15">
      <c r="T2673" s="36"/>
    </row>
    <row r="2674" spans="20:20" x14ac:dyDescent="0.15">
      <c r="T2674" s="36"/>
    </row>
    <row r="2675" spans="20:20" x14ac:dyDescent="0.15">
      <c r="T2675" s="36"/>
    </row>
    <row r="2676" spans="20:20" x14ac:dyDescent="0.15">
      <c r="T2676" s="36"/>
    </row>
    <row r="2677" spans="20:20" x14ac:dyDescent="0.15">
      <c r="T2677" s="36"/>
    </row>
    <row r="2678" spans="20:20" x14ac:dyDescent="0.15">
      <c r="T2678" s="36"/>
    </row>
    <row r="2679" spans="20:20" x14ac:dyDescent="0.15">
      <c r="T2679" s="36"/>
    </row>
    <row r="2680" spans="20:20" x14ac:dyDescent="0.15">
      <c r="T2680" s="36"/>
    </row>
    <row r="2681" spans="20:20" x14ac:dyDescent="0.15">
      <c r="T2681" s="36"/>
    </row>
    <row r="2682" spans="20:20" x14ac:dyDescent="0.15">
      <c r="T2682" s="36"/>
    </row>
    <row r="2683" spans="20:20" x14ac:dyDescent="0.15">
      <c r="T2683" s="36"/>
    </row>
    <row r="2684" spans="20:20" x14ac:dyDescent="0.15">
      <c r="T2684" s="36"/>
    </row>
    <row r="2685" spans="20:20" x14ac:dyDescent="0.15">
      <c r="T2685" s="36"/>
    </row>
    <row r="2686" spans="20:20" x14ac:dyDescent="0.15">
      <c r="T2686" s="36"/>
    </row>
    <row r="2687" spans="20:20" x14ac:dyDescent="0.15">
      <c r="T2687" s="36"/>
    </row>
    <row r="2688" spans="20:20" x14ac:dyDescent="0.15">
      <c r="T2688" s="36"/>
    </row>
    <row r="2689" spans="20:20" x14ac:dyDescent="0.15">
      <c r="T2689" s="36"/>
    </row>
    <row r="2690" spans="20:20" x14ac:dyDescent="0.15">
      <c r="T2690" s="36"/>
    </row>
    <row r="2691" spans="20:20" x14ac:dyDescent="0.15">
      <c r="T2691" s="36"/>
    </row>
    <row r="2692" spans="20:20" x14ac:dyDescent="0.15">
      <c r="T2692" s="36"/>
    </row>
    <row r="2693" spans="20:20" x14ac:dyDescent="0.15">
      <c r="T2693" s="36"/>
    </row>
    <row r="2694" spans="20:20" x14ac:dyDescent="0.15">
      <c r="T2694" s="36"/>
    </row>
    <row r="2695" spans="20:20" x14ac:dyDescent="0.15">
      <c r="T2695" s="36"/>
    </row>
    <row r="2696" spans="20:20" x14ac:dyDescent="0.15">
      <c r="T2696" s="36"/>
    </row>
    <row r="2697" spans="20:20" x14ac:dyDescent="0.15">
      <c r="T2697" s="36"/>
    </row>
    <row r="2698" spans="20:20" x14ac:dyDescent="0.15">
      <c r="T2698" s="36"/>
    </row>
    <row r="2699" spans="20:20" x14ac:dyDescent="0.15">
      <c r="T2699" s="36"/>
    </row>
    <row r="2700" spans="20:20" x14ac:dyDescent="0.15">
      <c r="T2700" s="36"/>
    </row>
    <row r="2701" spans="20:20" x14ac:dyDescent="0.15">
      <c r="T2701" s="36"/>
    </row>
    <row r="2702" spans="20:20" x14ac:dyDescent="0.15">
      <c r="T2702" s="36"/>
    </row>
    <row r="2703" spans="20:20" x14ac:dyDescent="0.15">
      <c r="T2703" s="36"/>
    </row>
    <row r="2704" spans="20:20" x14ac:dyDescent="0.15">
      <c r="T2704" s="36"/>
    </row>
    <row r="2705" spans="20:20" x14ac:dyDescent="0.15">
      <c r="T2705" s="36"/>
    </row>
    <row r="2706" spans="20:20" x14ac:dyDescent="0.15">
      <c r="T2706" s="36"/>
    </row>
    <row r="2707" spans="20:20" x14ac:dyDescent="0.15">
      <c r="T2707" s="36"/>
    </row>
    <row r="2708" spans="20:20" x14ac:dyDescent="0.15">
      <c r="T2708" s="36"/>
    </row>
    <row r="2709" spans="20:20" x14ac:dyDescent="0.15">
      <c r="T2709" s="36"/>
    </row>
    <row r="2710" spans="20:20" x14ac:dyDescent="0.15">
      <c r="T2710" s="36"/>
    </row>
    <row r="2711" spans="20:20" x14ac:dyDescent="0.15">
      <c r="T2711" s="36"/>
    </row>
    <row r="2712" spans="20:20" x14ac:dyDescent="0.15">
      <c r="T2712" s="36"/>
    </row>
    <row r="2713" spans="20:20" x14ac:dyDescent="0.15">
      <c r="T2713" s="36"/>
    </row>
    <row r="2714" spans="20:20" x14ac:dyDescent="0.15">
      <c r="T2714" s="36"/>
    </row>
    <row r="2715" spans="20:20" x14ac:dyDescent="0.15">
      <c r="T2715" s="36"/>
    </row>
    <row r="2716" spans="20:20" x14ac:dyDescent="0.15">
      <c r="T2716" s="36"/>
    </row>
    <row r="2717" spans="20:20" x14ac:dyDescent="0.15">
      <c r="T2717" s="36"/>
    </row>
    <row r="2718" spans="20:20" x14ac:dyDescent="0.15">
      <c r="T2718" s="36"/>
    </row>
    <row r="2719" spans="20:20" x14ac:dyDescent="0.15">
      <c r="T2719" s="36"/>
    </row>
    <row r="2720" spans="20:20" x14ac:dyDescent="0.15">
      <c r="T2720" s="36"/>
    </row>
    <row r="2721" spans="20:20" x14ac:dyDescent="0.15">
      <c r="T2721" s="36"/>
    </row>
    <row r="2722" spans="20:20" x14ac:dyDescent="0.15">
      <c r="T2722" s="36"/>
    </row>
    <row r="2723" spans="20:20" x14ac:dyDescent="0.15">
      <c r="T2723" s="36"/>
    </row>
    <row r="2724" spans="20:20" x14ac:dyDescent="0.15">
      <c r="T2724" s="36"/>
    </row>
    <row r="2725" spans="20:20" x14ac:dyDescent="0.15">
      <c r="T2725" s="36"/>
    </row>
    <row r="2726" spans="20:20" x14ac:dyDescent="0.15">
      <c r="T2726" s="36"/>
    </row>
    <row r="2727" spans="20:20" x14ac:dyDescent="0.15">
      <c r="T2727" s="36"/>
    </row>
    <row r="2728" spans="20:20" x14ac:dyDescent="0.15">
      <c r="T2728" s="36"/>
    </row>
    <row r="2729" spans="20:20" x14ac:dyDescent="0.15">
      <c r="T2729" s="36"/>
    </row>
    <row r="2730" spans="20:20" x14ac:dyDescent="0.15">
      <c r="T2730" s="36"/>
    </row>
    <row r="2731" spans="20:20" x14ac:dyDescent="0.15">
      <c r="T2731" s="36"/>
    </row>
    <row r="2732" spans="20:20" x14ac:dyDescent="0.15">
      <c r="T2732" s="36"/>
    </row>
    <row r="2733" spans="20:20" x14ac:dyDescent="0.15">
      <c r="T2733" s="36"/>
    </row>
    <row r="2734" spans="20:20" x14ac:dyDescent="0.15">
      <c r="T2734" s="36"/>
    </row>
    <row r="2735" spans="20:20" x14ac:dyDescent="0.15">
      <c r="T2735" s="36"/>
    </row>
    <row r="2736" spans="20:20" x14ac:dyDescent="0.15">
      <c r="T2736" s="36"/>
    </row>
    <row r="2737" spans="20:20" x14ac:dyDescent="0.15">
      <c r="T2737" s="36"/>
    </row>
    <row r="2738" spans="20:20" x14ac:dyDescent="0.15">
      <c r="T2738" s="36"/>
    </row>
    <row r="2739" spans="20:20" x14ac:dyDescent="0.15">
      <c r="T2739" s="36"/>
    </row>
    <row r="2740" spans="20:20" x14ac:dyDescent="0.15">
      <c r="T2740" s="36"/>
    </row>
    <row r="2741" spans="20:20" x14ac:dyDescent="0.15">
      <c r="T2741" s="36"/>
    </row>
    <row r="2742" spans="20:20" x14ac:dyDescent="0.15">
      <c r="T2742" s="36"/>
    </row>
    <row r="2743" spans="20:20" x14ac:dyDescent="0.15">
      <c r="T2743" s="36"/>
    </row>
    <row r="2744" spans="20:20" x14ac:dyDescent="0.15">
      <c r="T2744" s="36"/>
    </row>
    <row r="2745" spans="20:20" x14ac:dyDescent="0.15">
      <c r="T2745" s="36"/>
    </row>
    <row r="2746" spans="20:20" x14ac:dyDescent="0.15">
      <c r="T2746" s="36"/>
    </row>
    <row r="2747" spans="20:20" x14ac:dyDescent="0.15">
      <c r="T2747" s="36"/>
    </row>
    <row r="2748" spans="20:20" x14ac:dyDescent="0.15">
      <c r="T2748" s="36"/>
    </row>
    <row r="2749" spans="20:20" x14ac:dyDescent="0.15">
      <c r="T2749" s="36"/>
    </row>
    <row r="2750" spans="20:20" x14ac:dyDescent="0.15">
      <c r="T2750" s="36"/>
    </row>
    <row r="2751" spans="20:20" x14ac:dyDescent="0.15">
      <c r="T2751" s="36"/>
    </row>
    <row r="2752" spans="20:20" x14ac:dyDescent="0.15">
      <c r="T2752" s="36"/>
    </row>
    <row r="2753" spans="20:20" x14ac:dyDescent="0.15">
      <c r="T2753" s="36"/>
    </row>
    <row r="2754" spans="20:20" x14ac:dyDescent="0.15">
      <c r="T2754" s="36"/>
    </row>
    <row r="2755" spans="20:20" x14ac:dyDescent="0.15">
      <c r="T2755" s="36"/>
    </row>
    <row r="2756" spans="20:20" x14ac:dyDescent="0.15">
      <c r="T2756" s="36"/>
    </row>
    <row r="2757" spans="20:20" x14ac:dyDescent="0.15">
      <c r="T2757" s="36"/>
    </row>
    <row r="2758" spans="20:20" x14ac:dyDescent="0.15">
      <c r="T2758" s="36"/>
    </row>
    <row r="2759" spans="20:20" x14ac:dyDescent="0.15">
      <c r="T2759" s="36"/>
    </row>
    <row r="2760" spans="20:20" x14ac:dyDescent="0.15">
      <c r="T2760" s="36"/>
    </row>
    <row r="2761" spans="20:20" x14ac:dyDescent="0.15">
      <c r="T2761" s="36"/>
    </row>
    <row r="2762" spans="20:20" x14ac:dyDescent="0.15">
      <c r="T2762" s="36"/>
    </row>
    <row r="2763" spans="20:20" x14ac:dyDescent="0.15">
      <c r="T2763" s="36"/>
    </row>
    <row r="2764" spans="20:20" x14ac:dyDescent="0.15">
      <c r="T2764" s="36"/>
    </row>
    <row r="2765" spans="20:20" x14ac:dyDescent="0.15">
      <c r="T2765" s="36"/>
    </row>
    <row r="2766" spans="20:20" x14ac:dyDescent="0.15">
      <c r="T2766" s="36"/>
    </row>
    <row r="2767" spans="20:20" x14ac:dyDescent="0.15">
      <c r="T2767" s="36"/>
    </row>
    <row r="2768" spans="20:20" x14ac:dyDescent="0.15">
      <c r="T2768" s="36"/>
    </row>
    <row r="2769" spans="20:20" x14ac:dyDescent="0.15">
      <c r="T2769" s="36"/>
    </row>
    <row r="2770" spans="20:20" x14ac:dyDescent="0.15">
      <c r="T2770" s="36"/>
    </row>
    <row r="2771" spans="20:20" x14ac:dyDescent="0.15">
      <c r="T2771" s="36"/>
    </row>
    <row r="2772" spans="20:20" x14ac:dyDescent="0.15">
      <c r="T2772" s="36"/>
    </row>
    <row r="2773" spans="20:20" x14ac:dyDescent="0.15">
      <c r="T2773" s="36"/>
    </row>
    <row r="2774" spans="20:20" x14ac:dyDescent="0.15">
      <c r="T2774" s="36"/>
    </row>
    <row r="2775" spans="20:20" x14ac:dyDescent="0.15">
      <c r="T2775" s="36"/>
    </row>
    <row r="2776" spans="20:20" x14ac:dyDescent="0.15">
      <c r="T2776" s="36"/>
    </row>
    <row r="2777" spans="20:20" x14ac:dyDescent="0.15">
      <c r="T2777" s="36"/>
    </row>
    <row r="2778" spans="20:20" x14ac:dyDescent="0.15">
      <c r="T2778" s="36"/>
    </row>
    <row r="2779" spans="20:20" x14ac:dyDescent="0.15">
      <c r="T2779" s="36"/>
    </row>
    <row r="2780" spans="20:20" x14ac:dyDescent="0.15">
      <c r="T2780" s="36"/>
    </row>
    <row r="2781" spans="20:20" x14ac:dyDescent="0.15">
      <c r="T2781" s="36"/>
    </row>
    <row r="2782" spans="20:20" x14ac:dyDescent="0.15">
      <c r="T2782" s="36"/>
    </row>
    <row r="2783" spans="20:20" x14ac:dyDescent="0.15">
      <c r="T2783" s="36"/>
    </row>
    <row r="2784" spans="20:20" x14ac:dyDescent="0.15">
      <c r="T2784" s="36"/>
    </row>
    <row r="2785" spans="20:20" x14ac:dyDescent="0.15">
      <c r="T2785" s="36"/>
    </row>
    <row r="2786" spans="20:20" x14ac:dyDescent="0.15">
      <c r="T2786" s="36"/>
    </row>
    <row r="2787" spans="20:20" x14ac:dyDescent="0.15">
      <c r="T2787" s="36"/>
    </row>
    <row r="2788" spans="20:20" x14ac:dyDescent="0.15">
      <c r="T2788" s="36"/>
    </row>
    <row r="2789" spans="20:20" x14ac:dyDescent="0.15">
      <c r="T2789" s="36"/>
    </row>
    <row r="2790" spans="20:20" x14ac:dyDescent="0.15">
      <c r="T2790" s="36"/>
    </row>
    <row r="2791" spans="20:20" x14ac:dyDescent="0.15">
      <c r="T2791" s="36"/>
    </row>
    <row r="2792" spans="20:20" x14ac:dyDescent="0.15">
      <c r="T2792" s="36"/>
    </row>
    <row r="2793" spans="20:20" x14ac:dyDescent="0.15">
      <c r="T2793" s="36"/>
    </row>
    <row r="2794" spans="20:20" x14ac:dyDescent="0.15">
      <c r="T2794" s="36"/>
    </row>
    <row r="2795" spans="20:20" x14ac:dyDescent="0.15">
      <c r="T2795" s="36"/>
    </row>
    <row r="2796" spans="20:20" x14ac:dyDescent="0.15">
      <c r="T2796" s="36"/>
    </row>
    <row r="2797" spans="20:20" x14ac:dyDescent="0.15">
      <c r="T2797" s="36"/>
    </row>
    <row r="2798" spans="20:20" x14ac:dyDescent="0.15">
      <c r="T2798" s="36"/>
    </row>
    <row r="2799" spans="20:20" x14ac:dyDescent="0.15">
      <c r="T2799" s="36"/>
    </row>
    <row r="2800" spans="20:20" x14ac:dyDescent="0.15">
      <c r="T2800" s="36"/>
    </row>
    <row r="2801" spans="20:20" x14ac:dyDescent="0.15">
      <c r="T2801" s="36"/>
    </row>
    <row r="2802" spans="20:20" x14ac:dyDescent="0.15">
      <c r="T2802" s="36"/>
    </row>
    <row r="2803" spans="20:20" x14ac:dyDescent="0.15">
      <c r="T2803" s="36"/>
    </row>
    <row r="2804" spans="20:20" x14ac:dyDescent="0.15">
      <c r="T2804" s="36"/>
    </row>
    <row r="2805" spans="20:20" x14ac:dyDescent="0.15">
      <c r="T2805" s="36"/>
    </row>
    <row r="2806" spans="20:20" x14ac:dyDescent="0.15">
      <c r="T2806" s="36"/>
    </row>
    <row r="2807" spans="20:20" x14ac:dyDescent="0.15">
      <c r="T2807" s="36"/>
    </row>
    <row r="2808" spans="20:20" x14ac:dyDescent="0.15">
      <c r="T2808" s="36"/>
    </row>
    <row r="2809" spans="20:20" x14ac:dyDescent="0.15">
      <c r="T2809" s="36"/>
    </row>
    <row r="2810" spans="20:20" x14ac:dyDescent="0.15">
      <c r="T2810" s="36"/>
    </row>
    <row r="2811" spans="20:20" x14ac:dyDescent="0.15">
      <c r="T2811" s="36"/>
    </row>
    <row r="2812" spans="20:20" x14ac:dyDescent="0.15">
      <c r="T2812" s="36"/>
    </row>
    <row r="2813" spans="20:20" x14ac:dyDescent="0.15">
      <c r="T2813" s="36"/>
    </row>
    <row r="2814" spans="20:20" x14ac:dyDescent="0.15">
      <c r="T2814" s="36"/>
    </row>
    <row r="2815" spans="20:20" x14ac:dyDescent="0.15">
      <c r="T2815" s="36"/>
    </row>
    <row r="2816" spans="20:20" x14ac:dyDescent="0.15">
      <c r="T2816" s="36"/>
    </row>
    <row r="2817" spans="20:20" x14ac:dyDescent="0.15">
      <c r="T2817" s="36"/>
    </row>
    <row r="2818" spans="20:20" x14ac:dyDescent="0.15">
      <c r="T2818" s="36"/>
    </row>
    <row r="2819" spans="20:20" x14ac:dyDescent="0.15">
      <c r="T2819" s="36"/>
    </row>
    <row r="2820" spans="20:20" x14ac:dyDescent="0.15">
      <c r="T2820" s="36"/>
    </row>
    <row r="2821" spans="20:20" x14ac:dyDescent="0.15">
      <c r="T2821" s="36"/>
    </row>
    <row r="2822" spans="20:20" x14ac:dyDescent="0.15">
      <c r="T2822" s="36"/>
    </row>
    <row r="2823" spans="20:20" x14ac:dyDescent="0.15">
      <c r="T2823" s="36"/>
    </row>
    <row r="2824" spans="20:20" x14ac:dyDescent="0.15">
      <c r="T2824" s="36"/>
    </row>
    <row r="2825" spans="20:20" x14ac:dyDescent="0.15">
      <c r="T2825" s="36"/>
    </row>
    <row r="2826" spans="20:20" x14ac:dyDescent="0.15">
      <c r="T2826" s="36"/>
    </row>
    <row r="2827" spans="20:20" x14ac:dyDescent="0.15">
      <c r="T2827" s="36"/>
    </row>
    <row r="2828" spans="20:20" x14ac:dyDescent="0.15">
      <c r="T2828" s="36"/>
    </row>
    <row r="2829" spans="20:20" x14ac:dyDescent="0.15">
      <c r="T2829" s="36"/>
    </row>
    <row r="2830" spans="20:20" x14ac:dyDescent="0.15">
      <c r="T2830" s="36"/>
    </row>
    <row r="2831" spans="20:20" x14ac:dyDescent="0.15">
      <c r="T2831" s="36"/>
    </row>
    <row r="2832" spans="20:20" x14ac:dyDescent="0.15">
      <c r="T2832" s="36"/>
    </row>
    <row r="2833" spans="20:20" x14ac:dyDescent="0.15">
      <c r="T2833" s="36"/>
    </row>
    <row r="2834" spans="20:20" x14ac:dyDescent="0.15">
      <c r="T2834" s="36"/>
    </row>
    <row r="2835" spans="20:20" x14ac:dyDescent="0.15">
      <c r="T2835" s="36"/>
    </row>
    <row r="2836" spans="20:20" x14ac:dyDescent="0.15">
      <c r="T2836" s="36"/>
    </row>
    <row r="2837" spans="20:20" x14ac:dyDescent="0.15">
      <c r="T2837" s="36"/>
    </row>
    <row r="2838" spans="20:20" x14ac:dyDescent="0.15">
      <c r="T2838" s="36"/>
    </row>
    <row r="2839" spans="20:20" x14ac:dyDescent="0.15">
      <c r="T2839" s="36"/>
    </row>
    <row r="2840" spans="20:20" x14ac:dyDescent="0.15">
      <c r="T2840" s="36"/>
    </row>
    <row r="2841" spans="20:20" x14ac:dyDescent="0.15">
      <c r="T2841" s="36"/>
    </row>
    <row r="2842" spans="20:20" x14ac:dyDescent="0.15">
      <c r="T2842" s="36"/>
    </row>
    <row r="2843" spans="20:20" x14ac:dyDescent="0.15">
      <c r="T2843" s="36"/>
    </row>
    <row r="2844" spans="20:20" x14ac:dyDescent="0.15">
      <c r="T2844" s="36"/>
    </row>
    <row r="2845" spans="20:20" x14ac:dyDescent="0.15">
      <c r="T2845" s="36"/>
    </row>
    <row r="2846" spans="20:20" x14ac:dyDescent="0.15">
      <c r="T2846" s="36"/>
    </row>
    <row r="2847" spans="20:20" x14ac:dyDescent="0.15">
      <c r="T2847" s="36"/>
    </row>
    <row r="2848" spans="20:20" x14ac:dyDescent="0.15">
      <c r="T2848" s="36"/>
    </row>
    <row r="2849" spans="20:20" x14ac:dyDescent="0.15">
      <c r="T2849" s="36"/>
    </row>
    <row r="2850" spans="20:20" x14ac:dyDescent="0.15">
      <c r="T2850" s="36"/>
    </row>
    <row r="2851" spans="20:20" x14ac:dyDescent="0.15">
      <c r="T2851" s="36"/>
    </row>
    <row r="2852" spans="20:20" x14ac:dyDescent="0.15">
      <c r="T2852" s="36"/>
    </row>
    <row r="2853" spans="20:20" x14ac:dyDescent="0.15">
      <c r="T2853" s="36"/>
    </row>
    <row r="2854" spans="20:20" x14ac:dyDescent="0.15">
      <c r="T2854" s="36"/>
    </row>
    <row r="2855" spans="20:20" x14ac:dyDescent="0.15">
      <c r="T2855" s="36"/>
    </row>
    <row r="2856" spans="20:20" x14ac:dyDescent="0.15">
      <c r="T2856" s="36"/>
    </row>
    <row r="2857" spans="20:20" x14ac:dyDescent="0.15">
      <c r="T2857" s="36"/>
    </row>
    <row r="2858" spans="20:20" x14ac:dyDescent="0.15">
      <c r="T2858" s="36"/>
    </row>
    <row r="2859" spans="20:20" x14ac:dyDescent="0.15">
      <c r="T2859" s="36"/>
    </row>
    <row r="2860" spans="20:20" x14ac:dyDescent="0.15">
      <c r="T2860" s="36"/>
    </row>
    <row r="2861" spans="20:20" x14ac:dyDescent="0.15">
      <c r="T2861" s="36"/>
    </row>
    <row r="2862" spans="20:20" x14ac:dyDescent="0.15">
      <c r="T2862" s="36"/>
    </row>
    <row r="2863" spans="20:20" x14ac:dyDescent="0.15">
      <c r="T2863" s="36"/>
    </row>
    <row r="2864" spans="20:20" x14ac:dyDescent="0.15">
      <c r="T2864" s="36"/>
    </row>
    <row r="2865" spans="20:20" x14ac:dyDescent="0.15">
      <c r="T2865" s="36"/>
    </row>
    <row r="2866" spans="20:20" x14ac:dyDescent="0.15">
      <c r="T2866" s="36"/>
    </row>
    <row r="2867" spans="20:20" x14ac:dyDescent="0.15">
      <c r="T2867" s="36"/>
    </row>
    <row r="2868" spans="20:20" x14ac:dyDescent="0.15">
      <c r="T2868" s="36"/>
    </row>
    <row r="2869" spans="20:20" x14ac:dyDescent="0.15">
      <c r="T2869" s="36"/>
    </row>
    <row r="2870" spans="20:20" x14ac:dyDescent="0.15">
      <c r="T2870" s="36"/>
    </row>
    <row r="2871" spans="20:20" x14ac:dyDescent="0.15">
      <c r="T2871" s="36"/>
    </row>
    <row r="2872" spans="20:20" x14ac:dyDescent="0.15">
      <c r="T2872" s="36"/>
    </row>
    <row r="2873" spans="20:20" x14ac:dyDescent="0.15">
      <c r="T2873" s="36"/>
    </row>
    <row r="2874" spans="20:20" x14ac:dyDescent="0.15">
      <c r="T2874" s="36"/>
    </row>
    <row r="2875" spans="20:20" x14ac:dyDescent="0.15">
      <c r="T2875" s="36"/>
    </row>
    <row r="2876" spans="20:20" x14ac:dyDescent="0.15">
      <c r="T2876" s="36"/>
    </row>
    <row r="2877" spans="20:20" x14ac:dyDescent="0.15">
      <c r="T2877" s="36"/>
    </row>
    <row r="2878" spans="20:20" x14ac:dyDescent="0.15">
      <c r="T2878" s="36"/>
    </row>
    <row r="2879" spans="20:20" x14ac:dyDescent="0.15">
      <c r="T2879" s="36"/>
    </row>
    <row r="2880" spans="20:20" x14ac:dyDescent="0.15">
      <c r="T2880" s="36"/>
    </row>
    <row r="2881" spans="20:20" x14ac:dyDescent="0.15">
      <c r="T2881" s="36"/>
    </row>
    <row r="2882" spans="20:20" x14ac:dyDescent="0.15">
      <c r="T2882" s="36"/>
    </row>
    <row r="2883" spans="20:20" x14ac:dyDescent="0.15">
      <c r="T2883" s="36"/>
    </row>
    <row r="2884" spans="20:20" x14ac:dyDescent="0.15">
      <c r="T2884" s="36"/>
    </row>
    <row r="2885" spans="20:20" x14ac:dyDescent="0.15">
      <c r="T2885" s="36"/>
    </row>
    <row r="2886" spans="20:20" x14ac:dyDescent="0.15">
      <c r="T2886" s="36"/>
    </row>
    <row r="2887" spans="20:20" x14ac:dyDescent="0.15">
      <c r="T2887" s="36"/>
    </row>
    <row r="2888" spans="20:20" x14ac:dyDescent="0.15">
      <c r="T2888" s="36"/>
    </row>
    <row r="2889" spans="20:20" x14ac:dyDescent="0.15">
      <c r="T2889" s="36"/>
    </row>
    <row r="2890" spans="20:20" x14ac:dyDescent="0.15">
      <c r="T2890" s="36"/>
    </row>
    <row r="2891" spans="20:20" x14ac:dyDescent="0.15">
      <c r="T2891" s="36"/>
    </row>
    <row r="2892" spans="20:20" x14ac:dyDescent="0.15">
      <c r="T2892" s="36"/>
    </row>
    <row r="2893" spans="20:20" x14ac:dyDescent="0.15">
      <c r="T2893" s="36"/>
    </row>
    <row r="2894" spans="20:20" x14ac:dyDescent="0.15">
      <c r="T2894" s="36"/>
    </row>
    <row r="2895" spans="20:20" x14ac:dyDescent="0.15">
      <c r="T2895" s="36"/>
    </row>
    <row r="2896" spans="20:20" x14ac:dyDescent="0.15">
      <c r="T2896" s="36"/>
    </row>
    <row r="2897" spans="20:20" x14ac:dyDescent="0.15">
      <c r="T2897" s="36"/>
    </row>
    <row r="2898" spans="20:20" x14ac:dyDescent="0.15">
      <c r="T2898" s="36"/>
    </row>
    <row r="2899" spans="20:20" x14ac:dyDescent="0.15">
      <c r="T2899" s="36"/>
    </row>
    <row r="2900" spans="20:20" x14ac:dyDescent="0.15">
      <c r="T2900" s="36"/>
    </row>
    <row r="2901" spans="20:20" x14ac:dyDescent="0.15">
      <c r="T2901" s="36"/>
    </row>
    <row r="2902" spans="20:20" x14ac:dyDescent="0.15">
      <c r="T2902" s="36"/>
    </row>
    <row r="2903" spans="20:20" x14ac:dyDescent="0.15">
      <c r="T2903" s="36"/>
    </row>
    <row r="2904" spans="20:20" x14ac:dyDescent="0.15">
      <c r="T2904" s="36"/>
    </row>
    <row r="2905" spans="20:20" x14ac:dyDescent="0.15">
      <c r="T2905" s="36"/>
    </row>
    <row r="2906" spans="20:20" x14ac:dyDescent="0.15">
      <c r="T2906" s="36"/>
    </row>
    <row r="2907" spans="20:20" x14ac:dyDescent="0.15">
      <c r="T2907" s="36"/>
    </row>
    <row r="2908" spans="20:20" x14ac:dyDescent="0.15">
      <c r="T2908" s="36"/>
    </row>
    <row r="2909" spans="20:20" x14ac:dyDescent="0.15">
      <c r="T2909" s="36"/>
    </row>
    <row r="2910" spans="20:20" x14ac:dyDescent="0.15">
      <c r="T2910" s="36"/>
    </row>
    <row r="2911" spans="20:20" x14ac:dyDescent="0.15">
      <c r="T2911" s="36"/>
    </row>
    <row r="2912" spans="20:20" x14ac:dyDescent="0.15">
      <c r="T2912" s="36"/>
    </row>
    <row r="2913" spans="20:20" x14ac:dyDescent="0.15">
      <c r="T2913" s="36"/>
    </row>
    <row r="2914" spans="20:20" x14ac:dyDescent="0.15">
      <c r="T2914" s="36"/>
    </row>
    <row r="2915" spans="20:20" x14ac:dyDescent="0.15">
      <c r="T2915" s="36"/>
    </row>
    <row r="2916" spans="20:20" x14ac:dyDescent="0.15">
      <c r="T2916" s="36"/>
    </row>
    <row r="2917" spans="20:20" x14ac:dyDescent="0.15">
      <c r="T2917" s="36"/>
    </row>
    <row r="2918" spans="20:20" x14ac:dyDescent="0.15">
      <c r="T2918" s="36"/>
    </row>
    <row r="2919" spans="20:20" x14ac:dyDescent="0.15">
      <c r="T2919" s="36"/>
    </row>
    <row r="2920" spans="20:20" x14ac:dyDescent="0.15">
      <c r="T2920" s="36"/>
    </row>
    <row r="2921" spans="20:20" x14ac:dyDescent="0.15">
      <c r="T2921" s="36"/>
    </row>
    <row r="2922" spans="20:20" x14ac:dyDescent="0.15">
      <c r="T2922" s="36"/>
    </row>
    <row r="2923" spans="20:20" x14ac:dyDescent="0.15">
      <c r="T2923" s="36"/>
    </row>
    <row r="2924" spans="20:20" x14ac:dyDescent="0.15">
      <c r="T2924" s="36"/>
    </row>
    <row r="2925" spans="20:20" x14ac:dyDescent="0.15">
      <c r="T2925" s="36"/>
    </row>
    <row r="2926" spans="20:20" x14ac:dyDescent="0.15">
      <c r="T2926" s="36"/>
    </row>
    <row r="2927" spans="20:20" x14ac:dyDescent="0.15">
      <c r="T2927" s="36"/>
    </row>
    <row r="2928" spans="20:20" x14ac:dyDescent="0.15">
      <c r="T2928" s="36"/>
    </row>
    <row r="2929" spans="20:20" x14ac:dyDescent="0.15">
      <c r="T2929" s="36"/>
    </row>
    <row r="2930" spans="20:20" x14ac:dyDescent="0.15">
      <c r="T2930" s="36"/>
    </row>
    <row r="2931" spans="20:20" x14ac:dyDescent="0.15">
      <c r="T2931" s="36"/>
    </row>
    <row r="2932" spans="20:20" x14ac:dyDescent="0.15">
      <c r="T2932" s="36"/>
    </row>
    <row r="2933" spans="20:20" x14ac:dyDescent="0.15">
      <c r="T2933" s="36"/>
    </row>
    <row r="2934" spans="20:20" x14ac:dyDescent="0.15">
      <c r="T2934" s="36"/>
    </row>
    <row r="2935" spans="20:20" x14ac:dyDescent="0.15">
      <c r="T2935" s="36"/>
    </row>
    <row r="2936" spans="20:20" x14ac:dyDescent="0.15">
      <c r="T2936" s="36"/>
    </row>
    <row r="2937" spans="20:20" x14ac:dyDescent="0.15">
      <c r="T2937" s="36"/>
    </row>
    <row r="2938" spans="20:20" x14ac:dyDescent="0.15">
      <c r="T2938" s="36"/>
    </row>
    <row r="2939" spans="20:20" x14ac:dyDescent="0.15">
      <c r="T2939" s="36"/>
    </row>
    <row r="2940" spans="20:20" x14ac:dyDescent="0.15">
      <c r="T2940" s="36"/>
    </row>
    <row r="2941" spans="20:20" x14ac:dyDescent="0.15">
      <c r="T2941" s="36"/>
    </row>
    <row r="2942" spans="20:20" x14ac:dyDescent="0.15">
      <c r="T2942" s="36"/>
    </row>
    <row r="2943" spans="20:20" x14ac:dyDescent="0.15">
      <c r="T2943" s="36"/>
    </row>
    <row r="2944" spans="20:20" x14ac:dyDescent="0.15">
      <c r="T2944" s="36"/>
    </row>
    <row r="2945" spans="20:20" x14ac:dyDescent="0.15">
      <c r="T2945" s="36"/>
    </row>
    <row r="2946" spans="20:20" x14ac:dyDescent="0.15">
      <c r="T2946" s="36"/>
    </row>
    <row r="2947" spans="20:20" x14ac:dyDescent="0.15">
      <c r="T2947" s="36"/>
    </row>
    <row r="2948" spans="20:20" x14ac:dyDescent="0.15">
      <c r="T2948" s="36"/>
    </row>
    <row r="2949" spans="20:20" x14ac:dyDescent="0.15">
      <c r="T2949" s="36"/>
    </row>
    <row r="2950" spans="20:20" x14ac:dyDescent="0.15">
      <c r="T2950" s="36"/>
    </row>
    <row r="2951" spans="20:20" x14ac:dyDescent="0.15">
      <c r="T2951" s="36"/>
    </row>
    <row r="2952" spans="20:20" x14ac:dyDescent="0.15">
      <c r="T2952" s="36"/>
    </row>
    <row r="2953" spans="20:20" x14ac:dyDescent="0.15">
      <c r="T2953" s="36"/>
    </row>
    <row r="2954" spans="20:20" x14ac:dyDescent="0.15">
      <c r="T2954" s="36"/>
    </row>
    <row r="2955" spans="20:20" x14ac:dyDescent="0.15">
      <c r="T2955" s="36"/>
    </row>
    <row r="2956" spans="20:20" x14ac:dyDescent="0.15">
      <c r="T2956" s="36"/>
    </row>
    <row r="2957" spans="20:20" x14ac:dyDescent="0.15">
      <c r="T2957" s="36"/>
    </row>
    <row r="2958" spans="20:20" x14ac:dyDescent="0.15">
      <c r="T2958" s="36"/>
    </row>
    <row r="2959" spans="20:20" x14ac:dyDescent="0.15">
      <c r="T2959" s="36"/>
    </row>
    <row r="2960" spans="20:20" x14ac:dyDescent="0.15">
      <c r="T2960" s="36"/>
    </row>
    <row r="2961" spans="20:20" x14ac:dyDescent="0.15">
      <c r="T2961" s="36"/>
    </row>
    <row r="2962" spans="20:20" x14ac:dyDescent="0.15">
      <c r="T2962" s="36"/>
    </row>
    <row r="2963" spans="20:20" x14ac:dyDescent="0.15">
      <c r="T2963" s="36"/>
    </row>
    <row r="2964" spans="20:20" x14ac:dyDescent="0.15">
      <c r="T2964" s="36"/>
    </row>
    <row r="2965" spans="20:20" x14ac:dyDescent="0.15">
      <c r="T2965" s="36"/>
    </row>
    <row r="2966" spans="20:20" x14ac:dyDescent="0.15">
      <c r="T2966" s="36"/>
    </row>
    <row r="2967" spans="20:20" x14ac:dyDescent="0.15">
      <c r="T2967" s="36"/>
    </row>
    <row r="2968" spans="20:20" x14ac:dyDescent="0.15">
      <c r="T2968" s="36"/>
    </row>
    <row r="2969" spans="20:20" x14ac:dyDescent="0.15">
      <c r="T2969" s="36"/>
    </row>
    <row r="2970" spans="20:20" x14ac:dyDescent="0.15">
      <c r="T2970" s="36"/>
    </row>
    <row r="2971" spans="20:20" x14ac:dyDescent="0.15">
      <c r="T2971" s="36"/>
    </row>
    <row r="2972" spans="20:20" x14ac:dyDescent="0.15">
      <c r="T2972" s="36"/>
    </row>
    <row r="2973" spans="20:20" x14ac:dyDescent="0.15">
      <c r="T2973" s="36"/>
    </row>
    <row r="2974" spans="20:20" x14ac:dyDescent="0.15">
      <c r="T2974" s="36"/>
    </row>
    <row r="2975" spans="20:20" x14ac:dyDescent="0.15">
      <c r="T2975" s="36"/>
    </row>
    <row r="2976" spans="20:20" x14ac:dyDescent="0.15">
      <c r="T2976" s="36"/>
    </row>
    <row r="2977" spans="20:20" x14ac:dyDescent="0.15">
      <c r="T2977" s="36"/>
    </row>
    <row r="2978" spans="20:20" x14ac:dyDescent="0.15">
      <c r="T2978" s="36"/>
    </row>
    <row r="2979" spans="20:20" x14ac:dyDescent="0.15">
      <c r="T2979" s="36"/>
    </row>
    <row r="2980" spans="20:20" x14ac:dyDescent="0.15">
      <c r="T2980" s="36"/>
    </row>
    <row r="2981" spans="20:20" x14ac:dyDescent="0.15">
      <c r="T2981" s="36"/>
    </row>
    <row r="2982" spans="20:20" x14ac:dyDescent="0.15">
      <c r="T2982" s="36"/>
    </row>
    <row r="2983" spans="20:20" x14ac:dyDescent="0.15">
      <c r="T2983" s="36"/>
    </row>
    <row r="2984" spans="20:20" x14ac:dyDescent="0.15">
      <c r="T2984" s="36"/>
    </row>
    <row r="2985" spans="20:20" x14ac:dyDescent="0.15">
      <c r="T2985" s="36"/>
    </row>
    <row r="2986" spans="20:20" x14ac:dyDescent="0.15">
      <c r="T2986" s="36"/>
    </row>
    <row r="2987" spans="20:20" x14ac:dyDescent="0.15">
      <c r="T2987" s="36"/>
    </row>
    <row r="2988" spans="20:20" x14ac:dyDescent="0.15">
      <c r="T2988" s="36"/>
    </row>
    <row r="2989" spans="20:20" x14ac:dyDescent="0.15">
      <c r="T2989" s="36"/>
    </row>
    <row r="2990" spans="20:20" x14ac:dyDescent="0.15">
      <c r="T2990" s="36"/>
    </row>
    <row r="2991" spans="20:20" x14ac:dyDescent="0.15">
      <c r="T2991" s="36"/>
    </row>
    <row r="2992" spans="20:20" x14ac:dyDescent="0.15">
      <c r="T2992" s="36"/>
    </row>
    <row r="2993" spans="20:20" x14ac:dyDescent="0.15">
      <c r="T2993" s="36"/>
    </row>
    <row r="2994" spans="20:20" x14ac:dyDescent="0.15">
      <c r="T2994" s="36"/>
    </row>
    <row r="2995" spans="20:20" x14ac:dyDescent="0.15">
      <c r="T2995" s="36"/>
    </row>
    <row r="2996" spans="20:20" x14ac:dyDescent="0.15">
      <c r="T2996" s="36"/>
    </row>
    <row r="2997" spans="20:20" x14ac:dyDescent="0.15">
      <c r="T2997" s="36"/>
    </row>
    <row r="2998" spans="20:20" x14ac:dyDescent="0.15">
      <c r="T2998" s="36"/>
    </row>
    <row r="2999" spans="20:20" x14ac:dyDescent="0.15">
      <c r="T2999" s="36"/>
    </row>
    <row r="3000" spans="20:20" x14ac:dyDescent="0.15">
      <c r="T3000" s="36"/>
    </row>
    <row r="3001" spans="20:20" x14ac:dyDescent="0.15">
      <c r="T3001" s="36"/>
    </row>
    <row r="3002" spans="20:20" x14ac:dyDescent="0.15">
      <c r="T3002" s="36"/>
    </row>
    <row r="3003" spans="20:20" x14ac:dyDescent="0.15">
      <c r="T3003" s="36"/>
    </row>
    <row r="3004" spans="20:20" x14ac:dyDescent="0.15">
      <c r="T3004" s="36"/>
    </row>
    <row r="3005" spans="20:20" x14ac:dyDescent="0.15">
      <c r="T3005" s="36"/>
    </row>
    <row r="3006" spans="20:20" x14ac:dyDescent="0.15">
      <c r="T3006" s="36"/>
    </row>
    <row r="3007" spans="20:20" x14ac:dyDescent="0.15">
      <c r="T3007" s="36"/>
    </row>
    <row r="3008" spans="20:20" x14ac:dyDescent="0.15">
      <c r="T3008" s="36"/>
    </row>
    <row r="3009" spans="20:20" x14ac:dyDescent="0.15">
      <c r="T3009" s="36"/>
    </row>
    <row r="3010" spans="20:20" x14ac:dyDescent="0.15">
      <c r="T3010" s="36"/>
    </row>
    <row r="3011" spans="20:20" x14ac:dyDescent="0.15">
      <c r="T3011" s="36"/>
    </row>
    <row r="3012" spans="20:20" x14ac:dyDescent="0.15">
      <c r="T3012" s="36"/>
    </row>
    <row r="3013" spans="20:20" x14ac:dyDescent="0.15">
      <c r="T3013" s="36"/>
    </row>
    <row r="3014" spans="20:20" x14ac:dyDescent="0.15">
      <c r="T3014" s="36"/>
    </row>
    <row r="3015" spans="20:20" x14ac:dyDescent="0.15">
      <c r="T3015" s="36"/>
    </row>
    <row r="3016" spans="20:20" x14ac:dyDescent="0.15">
      <c r="T3016" s="36"/>
    </row>
    <row r="3017" spans="20:20" x14ac:dyDescent="0.15">
      <c r="T3017" s="36"/>
    </row>
    <row r="3018" spans="20:20" x14ac:dyDescent="0.15">
      <c r="T3018" s="36"/>
    </row>
    <row r="3019" spans="20:20" x14ac:dyDescent="0.15">
      <c r="T3019" s="36"/>
    </row>
    <row r="3020" spans="20:20" x14ac:dyDescent="0.15">
      <c r="T3020" s="36"/>
    </row>
    <row r="3021" spans="20:20" x14ac:dyDescent="0.15">
      <c r="T3021" s="36"/>
    </row>
    <row r="3022" spans="20:20" x14ac:dyDescent="0.15">
      <c r="T3022" s="36"/>
    </row>
    <row r="3023" spans="20:20" x14ac:dyDescent="0.15">
      <c r="T3023" s="36"/>
    </row>
    <row r="3024" spans="20:20" x14ac:dyDescent="0.15">
      <c r="T3024" s="36"/>
    </row>
    <row r="3025" spans="20:20" x14ac:dyDescent="0.15">
      <c r="T3025" s="36"/>
    </row>
    <row r="3026" spans="20:20" x14ac:dyDescent="0.15">
      <c r="T3026" s="36"/>
    </row>
    <row r="3027" spans="20:20" x14ac:dyDescent="0.15">
      <c r="T3027" s="36"/>
    </row>
    <row r="3028" spans="20:20" x14ac:dyDescent="0.15">
      <c r="T3028" s="36"/>
    </row>
    <row r="3029" spans="20:20" x14ac:dyDescent="0.15">
      <c r="T3029" s="36"/>
    </row>
    <row r="3030" spans="20:20" x14ac:dyDescent="0.15">
      <c r="T3030" s="36"/>
    </row>
    <row r="3031" spans="20:20" x14ac:dyDescent="0.15">
      <c r="T3031" s="36"/>
    </row>
    <row r="3032" spans="20:20" x14ac:dyDescent="0.15">
      <c r="T3032" s="36"/>
    </row>
    <row r="3033" spans="20:20" x14ac:dyDescent="0.15">
      <c r="T3033" s="36"/>
    </row>
    <row r="3034" spans="20:20" x14ac:dyDescent="0.15">
      <c r="T3034" s="36"/>
    </row>
    <row r="3035" spans="20:20" x14ac:dyDescent="0.15">
      <c r="T3035" s="36"/>
    </row>
    <row r="3036" spans="20:20" x14ac:dyDescent="0.15">
      <c r="T3036" s="36"/>
    </row>
    <row r="3037" spans="20:20" x14ac:dyDescent="0.15">
      <c r="T3037" s="36"/>
    </row>
    <row r="3038" spans="20:20" x14ac:dyDescent="0.15">
      <c r="T3038" s="36"/>
    </row>
    <row r="3039" spans="20:20" x14ac:dyDescent="0.15">
      <c r="T3039" s="36"/>
    </row>
    <row r="3040" spans="20:20" x14ac:dyDescent="0.15">
      <c r="T3040" s="36"/>
    </row>
    <row r="3041" spans="20:20" x14ac:dyDescent="0.15">
      <c r="T3041" s="36"/>
    </row>
    <row r="3042" spans="20:20" x14ac:dyDescent="0.15">
      <c r="T3042" s="36"/>
    </row>
    <row r="3043" spans="20:20" x14ac:dyDescent="0.15">
      <c r="T3043" s="36"/>
    </row>
    <row r="3044" spans="20:20" x14ac:dyDescent="0.15">
      <c r="T3044" s="36"/>
    </row>
    <row r="3045" spans="20:20" x14ac:dyDescent="0.15">
      <c r="T3045" s="36"/>
    </row>
    <row r="3046" spans="20:20" x14ac:dyDescent="0.15">
      <c r="T3046" s="36"/>
    </row>
    <row r="3047" spans="20:20" x14ac:dyDescent="0.15">
      <c r="T3047" s="36"/>
    </row>
    <row r="3048" spans="20:20" x14ac:dyDescent="0.15">
      <c r="T3048" s="36"/>
    </row>
    <row r="3049" spans="20:20" x14ac:dyDescent="0.15">
      <c r="T3049" s="36"/>
    </row>
    <row r="3050" spans="20:20" x14ac:dyDescent="0.15">
      <c r="T3050" s="36"/>
    </row>
    <row r="3051" spans="20:20" x14ac:dyDescent="0.15">
      <c r="T3051" s="36"/>
    </row>
    <row r="3052" spans="20:20" x14ac:dyDescent="0.15">
      <c r="T3052" s="36"/>
    </row>
    <row r="3053" spans="20:20" x14ac:dyDescent="0.15">
      <c r="T3053" s="36"/>
    </row>
    <row r="3054" spans="20:20" x14ac:dyDescent="0.15">
      <c r="T3054" s="36"/>
    </row>
    <row r="3055" spans="20:20" x14ac:dyDescent="0.15">
      <c r="T3055" s="36"/>
    </row>
    <row r="3056" spans="20:20" x14ac:dyDescent="0.15">
      <c r="T3056" s="36"/>
    </row>
    <row r="3057" spans="20:20" x14ac:dyDescent="0.15">
      <c r="T3057" s="36"/>
    </row>
    <row r="3058" spans="20:20" x14ac:dyDescent="0.15">
      <c r="T3058" s="36"/>
    </row>
    <row r="3059" spans="20:20" x14ac:dyDescent="0.15">
      <c r="T3059" s="36"/>
    </row>
    <row r="3060" spans="20:20" x14ac:dyDescent="0.15">
      <c r="T3060" s="36"/>
    </row>
    <row r="3061" spans="20:20" x14ac:dyDescent="0.15">
      <c r="T3061" s="36"/>
    </row>
    <row r="3062" spans="20:20" x14ac:dyDescent="0.15">
      <c r="T3062" s="36"/>
    </row>
    <row r="3063" spans="20:20" x14ac:dyDescent="0.15">
      <c r="T3063" s="36"/>
    </row>
    <row r="3064" spans="20:20" x14ac:dyDescent="0.15">
      <c r="T3064" s="36"/>
    </row>
    <row r="3065" spans="20:20" x14ac:dyDescent="0.15">
      <c r="T3065" s="36"/>
    </row>
    <row r="3066" spans="20:20" x14ac:dyDescent="0.15">
      <c r="T3066" s="36"/>
    </row>
    <row r="3067" spans="20:20" x14ac:dyDescent="0.15">
      <c r="T3067" s="36"/>
    </row>
    <row r="3068" spans="20:20" x14ac:dyDescent="0.15">
      <c r="T3068" s="36"/>
    </row>
    <row r="3069" spans="20:20" x14ac:dyDescent="0.15">
      <c r="T3069" s="36"/>
    </row>
    <row r="3070" spans="20:20" x14ac:dyDescent="0.15">
      <c r="T3070" s="36"/>
    </row>
    <row r="3071" spans="20:20" x14ac:dyDescent="0.15">
      <c r="T3071" s="36"/>
    </row>
    <row r="3072" spans="20:20" x14ac:dyDescent="0.15">
      <c r="T3072" s="36"/>
    </row>
    <row r="3073" spans="20:20" x14ac:dyDescent="0.15">
      <c r="T3073" s="36"/>
    </row>
    <row r="3074" spans="20:20" x14ac:dyDescent="0.15">
      <c r="T3074" s="36"/>
    </row>
    <row r="3075" spans="20:20" x14ac:dyDescent="0.15">
      <c r="T3075" s="36"/>
    </row>
    <row r="3076" spans="20:20" x14ac:dyDescent="0.15">
      <c r="T3076" s="36"/>
    </row>
    <row r="3077" spans="20:20" x14ac:dyDescent="0.15">
      <c r="T3077" s="36"/>
    </row>
    <row r="3078" spans="20:20" x14ac:dyDescent="0.15">
      <c r="T3078" s="36"/>
    </row>
    <row r="3079" spans="20:20" x14ac:dyDescent="0.15">
      <c r="T3079" s="36"/>
    </row>
    <row r="3080" spans="20:20" x14ac:dyDescent="0.15">
      <c r="T3080" s="36"/>
    </row>
    <row r="3081" spans="20:20" x14ac:dyDescent="0.15">
      <c r="T3081" s="36"/>
    </row>
    <row r="3082" spans="20:20" x14ac:dyDescent="0.15">
      <c r="T3082" s="36"/>
    </row>
    <row r="3083" spans="20:20" x14ac:dyDescent="0.15">
      <c r="T3083" s="36"/>
    </row>
    <row r="3084" spans="20:20" x14ac:dyDescent="0.15">
      <c r="T3084" s="36"/>
    </row>
    <row r="3085" spans="20:20" x14ac:dyDescent="0.15">
      <c r="T3085" s="36"/>
    </row>
    <row r="3086" spans="20:20" x14ac:dyDescent="0.15">
      <c r="T3086" s="36"/>
    </row>
    <row r="3087" spans="20:20" x14ac:dyDescent="0.15">
      <c r="T3087" s="36"/>
    </row>
    <row r="3088" spans="20:20" x14ac:dyDescent="0.15">
      <c r="T3088" s="36"/>
    </row>
    <row r="3089" spans="20:20" x14ac:dyDescent="0.15">
      <c r="T3089" s="36"/>
    </row>
    <row r="3090" spans="20:20" x14ac:dyDescent="0.15">
      <c r="T3090" s="36"/>
    </row>
    <row r="3091" spans="20:20" x14ac:dyDescent="0.15">
      <c r="T3091" s="36"/>
    </row>
    <row r="3092" spans="20:20" x14ac:dyDescent="0.15">
      <c r="T3092" s="36"/>
    </row>
    <row r="3093" spans="20:20" x14ac:dyDescent="0.15">
      <c r="T3093" s="36"/>
    </row>
    <row r="3094" spans="20:20" x14ac:dyDescent="0.15">
      <c r="T3094" s="36"/>
    </row>
    <row r="3095" spans="20:20" x14ac:dyDescent="0.15">
      <c r="T3095" s="36"/>
    </row>
    <row r="3096" spans="20:20" x14ac:dyDescent="0.15">
      <c r="T3096" s="36"/>
    </row>
    <row r="3097" spans="20:20" x14ac:dyDescent="0.15">
      <c r="T3097" s="36"/>
    </row>
    <row r="3098" spans="20:20" x14ac:dyDescent="0.15">
      <c r="T3098" s="36"/>
    </row>
    <row r="3099" spans="20:20" x14ac:dyDescent="0.15">
      <c r="T3099" s="36"/>
    </row>
    <row r="3100" spans="20:20" x14ac:dyDescent="0.15">
      <c r="T3100" s="36"/>
    </row>
    <row r="3101" spans="20:20" x14ac:dyDescent="0.15">
      <c r="T3101" s="36"/>
    </row>
    <row r="3102" spans="20:20" x14ac:dyDescent="0.15">
      <c r="T3102" s="36"/>
    </row>
    <row r="3103" spans="20:20" x14ac:dyDescent="0.15">
      <c r="T3103" s="36"/>
    </row>
    <row r="3104" spans="20:20" x14ac:dyDescent="0.15">
      <c r="T3104" s="36"/>
    </row>
    <row r="3105" spans="20:20" x14ac:dyDescent="0.15">
      <c r="T3105" s="36"/>
    </row>
    <row r="3106" spans="20:20" x14ac:dyDescent="0.15">
      <c r="T3106" s="36"/>
    </row>
    <row r="3107" spans="20:20" x14ac:dyDescent="0.15">
      <c r="T3107" s="36"/>
    </row>
    <row r="3108" spans="20:20" x14ac:dyDescent="0.15">
      <c r="T3108" s="36"/>
    </row>
    <row r="3109" spans="20:20" x14ac:dyDescent="0.15">
      <c r="T3109" s="36"/>
    </row>
    <row r="3110" spans="20:20" x14ac:dyDescent="0.15">
      <c r="T3110" s="36"/>
    </row>
    <row r="3111" spans="20:20" x14ac:dyDescent="0.15">
      <c r="T3111" s="36"/>
    </row>
    <row r="3112" spans="20:20" x14ac:dyDescent="0.15">
      <c r="T3112" s="36"/>
    </row>
    <row r="3113" spans="20:20" x14ac:dyDescent="0.15">
      <c r="T3113" s="36"/>
    </row>
    <row r="3114" spans="20:20" x14ac:dyDescent="0.15">
      <c r="T3114" s="36"/>
    </row>
    <row r="3115" spans="20:20" x14ac:dyDescent="0.15">
      <c r="T3115" s="36"/>
    </row>
    <row r="3116" spans="20:20" x14ac:dyDescent="0.15">
      <c r="T3116" s="36"/>
    </row>
    <row r="3117" spans="20:20" x14ac:dyDescent="0.15">
      <c r="T3117" s="36"/>
    </row>
    <row r="3118" spans="20:20" x14ac:dyDescent="0.15">
      <c r="T3118" s="36"/>
    </row>
    <row r="3119" spans="20:20" x14ac:dyDescent="0.15">
      <c r="T3119" s="36"/>
    </row>
    <row r="3120" spans="20:20" x14ac:dyDescent="0.15">
      <c r="T3120" s="36"/>
    </row>
    <row r="3121" spans="20:20" x14ac:dyDescent="0.15">
      <c r="T3121" s="36"/>
    </row>
    <row r="3122" spans="20:20" x14ac:dyDescent="0.15">
      <c r="T3122" s="36"/>
    </row>
    <row r="3123" spans="20:20" x14ac:dyDescent="0.15">
      <c r="T3123" s="36"/>
    </row>
    <row r="3124" spans="20:20" x14ac:dyDescent="0.15">
      <c r="T3124" s="36"/>
    </row>
    <row r="3125" spans="20:20" x14ac:dyDescent="0.15">
      <c r="T3125" s="36"/>
    </row>
    <row r="3126" spans="20:20" x14ac:dyDescent="0.15">
      <c r="T3126" s="36"/>
    </row>
    <row r="3127" spans="20:20" x14ac:dyDescent="0.15">
      <c r="T3127" s="36"/>
    </row>
    <row r="3128" spans="20:20" x14ac:dyDescent="0.15">
      <c r="T3128" s="36"/>
    </row>
    <row r="3129" spans="20:20" x14ac:dyDescent="0.15">
      <c r="T3129" s="36"/>
    </row>
    <row r="3130" spans="20:20" x14ac:dyDescent="0.15">
      <c r="T3130" s="36"/>
    </row>
    <row r="3131" spans="20:20" x14ac:dyDescent="0.15">
      <c r="T3131" s="36"/>
    </row>
    <row r="3132" spans="20:20" x14ac:dyDescent="0.15">
      <c r="T3132" s="36"/>
    </row>
    <row r="3133" spans="20:20" x14ac:dyDescent="0.15">
      <c r="T3133" s="36"/>
    </row>
    <row r="3134" spans="20:20" x14ac:dyDescent="0.15">
      <c r="T3134" s="36"/>
    </row>
    <row r="3135" spans="20:20" x14ac:dyDescent="0.15">
      <c r="T3135" s="36"/>
    </row>
    <row r="3136" spans="20:20" x14ac:dyDescent="0.15">
      <c r="T3136" s="36"/>
    </row>
    <row r="3137" spans="20:20" x14ac:dyDescent="0.15">
      <c r="T3137" s="36"/>
    </row>
    <row r="3138" spans="20:20" x14ac:dyDescent="0.15">
      <c r="T3138" s="36"/>
    </row>
    <row r="3139" spans="20:20" x14ac:dyDescent="0.15">
      <c r="T3139" s="36"/>
    </row>
    <row r="3140" spans="20:20" x14ac:dyDescent="0.15">
      <c r="T3140" s="36"/>
    </row>
    <row r="3141" spans="20:20" x14ac:dyDescent="0.15">
      <c r="T3141" s="36"/>
    </row>
    <row r="3142" spans="20:20" x14ac:dyDescent="0.15">
      <c r="T3142" s="36"/>
    </row>
    <row r="3143" spans="20:20" x14ac:dyDescent="0.15">
      <c r="T3143" s="36"/>
    </row>
    <row r="3144" spans="20:20" x14ac:dyDescent="0.15">
      <c r="T3144" s="36"/>
    </row>
    <row r="3145" spans="20:20" x14ac:dyDescent="0.15">
      <c r="T3145" s="36"/>
    </row>
    <row r="3146" spans="20:20" x14ac:dyDescent="0.15">
      <c r="T3146" s="36"/>
    </row>
    <row r="3147" spans="20:20" x14ac:dyDescent="0.15">
      <c r="T3147" s="36"/>
    </row>
    <row r="3148" spans="20:20" x14ac:dyDescent="0.15">
      <c r="T3148" s="36"/>
    </row>
    <row r="3149" spans="20:20" x14ac:dyDescent="0.15">
      <c r="T3149" s="36"/>
    </row>
    <row r="3150" spans="20:20" x14ac:dyDescent="0.15">
      <c r="T3150" s="36"/>
    </row>
    <row r="3151" spans="20:20" x14ac:dyDescent="0.15">
      <c r="T3151" s="36"/>
    </row>
    <row r="3152" spans="20:20" x14ac:dyDescent="0.15">
      <c r="T3152" s="36"/>
    </row>
    <row r="3153" spans="20:20" x14ac:dyDescent="0.15">
      <c r="T3153" s="36"/>
    </row>
    <row r="3154" spans="20:20" x14ac:dyDescent="0.15">
      <c r="T3154" s="36"/>
    </row>
    <row r="3155" spans="20:20" x14ac:dyDescent="0.15">
      <c r="T3155" s="36"/>
    </row>
    <row r="3156" spans="20:20" x14ac:dyDescent="0.15">
      <c r="T3156" s="36"/>
    </row>
    <row r="3157" spans="20:20" x14ac:dyDescent="0.15">
      <c r="T3157" s="36"/>
    </row>
    <row r="3158" spans="20:20" x14ac:dyDescent="0.15">
      <c r="T3158" s="36"/>
    </row>
    <row r="3159" spans="20:20" x14ac:dyDescent="0.15">
      <c r="T3159" s="36"/>
    </row>
    <row r="3160" spans="20:20" x14ac:dyDescent="0.15">
      <c r="T3160" s="36"/>
    </row>
    <row r="3161" spans="20:20" x14ac:dyDescent="0.15">
      <c r="T3161" s="36"/>
    </row>
    <row r="3162" spans="20:20" x14ac:dyDescent="0.15">
      <c r="T3162" s="36"/>
    </row>
  </sheetData>
  <sortState xmlns:xlrd2="http://schemas.microsoft.com/office/spreadsheetml/2017/richdata2" ref="A14:I130">
    <sortCondition ref="D14:D130"/>
  </sortState>
  <dataConsolid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tabColor theme="3" tint="0.79998168889431442"/>
    <pageSetUpPr fitToPage="1"/>
  </sheetPr>
  <dimension ref="A1:U1547"/>
  <sheetViews>
    <sheetView showGridLines="0" tabSelected="1" showWhiteSpace="0" topLeftCell="A64" zoomScaleNormal="100" zoomScalePageLayoutView="80" workbookViewId="0">
      <pane xSplit="3" topLeftCell="D1" activePane="topRight" state="frozen"/>
      <selection activeCell="A13" sqref="A13"/>
      <selection pane="topRight" activeCell="J87" sqref="J87"/>
    </sheetView>
  </sheetViews>
  <sheetFormatPr baseColWidth="10" defaultColWidth="11.5" defaultRowHeight="13" x14ac:dyDescent="0.15"/>
  <cols>
    <col min="1" max="1" width="5.1640625" style="14" customWidth="1"/>
    <col min="2" max="2" width="23.5" style="14" customWidth="1"/>
    <col min="3" max="3" width="20.6640625" style="14" customWidth="1"/>
    <col min="4" max="4" width="8.5" style="14" customWidth="1"/>
    <col min="5" max="5" width="19.83203125" style="14" customWidth="1"/>
    <col min="6" max="6" width="18.33203125" style="14" customWidth="1"/>
    <col min="7" max="7" width="16.6640625" style="14" customWidth="1"/>
    <col min="8" max="8" width="18.5" style="14" customWidth="1"/>
    <col min="9" max="9" width="19.5" style="14" customWidth="1"/>
    <col min="10" max="11" width="16.6640625" style="14" customWidth="1"/>
    <col min="12" max="12" width="19" style="14" customWidth="1"/>
    <col min="13" max="14" width="20.33203125" style="14" customWidth="1"/>
    <col min="15" max="15" width="9.6640625" style="14" customWidth="1"/>
    <col min="16" max="16" width="13.6640625" style="20" customWidth="1"/>
    <col min="17" max="17" width="20.6640625" style="20" customWidth="1"/>
    <col min="18" max="18" width="13.6640625" style="14" customWidth="1"/>
    <col min="19" max="19" width="14.5" style="14" customWidth="1"/>
    <col min="20" max="20" width="13.6640625" style="14" customWidth="1"/>
    <col min="21" max="16384" width="11.5" style="14"/>
  </cols>
  <sheetData>
    <row r="1" spans="2:17" s="9" customFormat="1" ht="21.75" customHeight="1" x14ac:dyDescent="0.15">
      <c r="B1" s="8"/>
      <c r="C1" s="8"/>
      <c r="D1" s="8"/>
      <c r="E1" s="8"/>
      <c r="F1" s="8"/>
      <c r="G1" s="8"/>
      <c r="H1" s="8"/>
      <c r="I1" s="8"/>
      <c r="J1" s="8"/>
      <c r="K1" s="8"/>
      <c r="L1" s="8"/>
      <c r="M1" s="8"/>
      <c r="N1" s="8"/>
      <c r="O1" s="8"/>
      <c r="P1" s="8"/>
      <c r="Q1" s="8"/>
    </row>
    <row r="2" spans="2:17" s="9" customFormat="1" ht="21.75" customHeight="1" x14ac:dyDescent="0.15">
      <c r="B2" s="8"/>
      <c r="C2" s="8"/>
      <c r="D2" s="8"/>
      <c r="E2" s="8"/>
      <c r="F2" s="8"/>
      <c r="G2" s="8"/>
      <c r="H2" s="8"/>
      <c r="I2" s="8"/>
      <c r="J2" s="8"/>
      <c r="K2" s="8"/>
      <c r="L2" s="8"/>
      <c r="M2" s="8"/>
      <c r="N2" s="8"/>
      <c r="O2" s="8"/>
      <c r="P2" s="8"/>
      <c r="Q2" s="8"/>
    </row>
    <row r="3" spans="2:17" s="9" customFormat="1" ht="21.75" customHeight="1" x14ac:dyDescent="0.15">
      <c r="B3" s="8"/>
      <c r="C3" s="8"/>
      <c r="D3" s="8"/>
      <c r="E3" s="8"/>
      <c r="F3" s="8"/>
      <c r="G3" s="8"/>
      <c r="H3" s="8"/>
      <c r="I3" s="8"/>
      <c r="J3" s="8"/>
      <c r="K3" s="8"/>
      <c r="L3" s="8"/>
      <c r="M3" s="8"/>
      <c r="N3" s="8"/>
      <c r="O3" s="8"/>
      <c r="P3" s="15"/>
      <c r="Q3" s="15"/>
    </row>
    <row r="4" spans="2:17" s="9" customFormat="1" ht="21.75" customHeight="1" x14ac:dyDescent="0.15">
      <c r="B4" s="8"/>
      <c r="C4" s="8"/>
      <c r="D4" s="8"/>
      <c r="E4" s="8"/>
      <c r="F4" s="8"/>
      <c r="G4" s="8"/>
      <c r="H4" s="8"/>
      <c r="I4" s="8"/>
      <c r="J4" s="8"/>
      <c r="K4" s="8"/>
      <c r="L4" s="8"/>
      <c r="M4" s="8"/>
      <c r="N4" s="8"/>
      <c r="O4" s="8"/>
      <c r="P4" s="8"/>
      <c r="Q4" s="8"/>
    </row>
    <row r="5" spans="2:17" s="9" customFormat="1" ht="21.75" customHeight="1" x14ac:dyDescent="0.15">
      <c r="B5" s="8"/>
      <c r="C5" s="8"/>
      <c r="D5" s="8"/>
      <c r="E5" s="8"/>
      <c r="F5" s="8"/>
      <c r="G5" s="8"/>
      <c r="H5" s="8"/>
      <c r="I5" s="8"/>
      <c r="J5" s="8"/>
      <c r="K5" s="8"/>
      <c r="L5" s="8"/>
      <c r="M5" s="8"/>
      <c r="N5" s="8"/>
      <c r="O5" s="8"/>
      <c r="P5" s="8"/>
      <c r="Q5" s="8"/>
    </row>
    <row r="6" spans="2:17" s="9" customFormat="1" ht="21.75" customHeight="1" x14ac:dyDescent="0.15">
      <c r="B6" s="8"/>
      <c r="C6" s="8"/>
      <c r="D6" s="8"/>
      <c r="E6" s="8"/>
      <c r="F6" s="8"/>
      <c r="G6" s="8"/>
      <c r="H6" s="8"/>
      <c r="I6" s="8"/>
      <c r="J6" s="8"/>
      <c r="K6" s="8"/>
      <c r="L6" s="8"/>
      <c r="M6" s="8"/>
      <c r="N6" s="8"/>
      <c r="O6" s="8"/>
      <c r="P6" s="8"/>
      <c r="Q6" s="8"/>
    </row>
    <row r="7" spans="2:17" s="9" customFormat="1" ht="21.75" customHeight="1" x14ac:dyDescent="0.15">
      <c r="B7" s="8"/>
      <c r="C7" s="8"/>
      <c r="D7" s="8"/>
      <c r="E7" s="8"/>
      <c r="F7" s="8"/>
      <c r="G7" s="8"/>
      <c r="H7" s="8"/>
      <c r="I7" s="8"/>
      <c r="J7" s="8"/>
      <c r="K7" s="8"/>
      <c r="L7" s="8"/>
      <c r="M7" s="8"/>
      <c r="N7" s="8"/>
      <c r="O7" s="8"/>
      <c r="P7" s="8"/>
      <c r="Q7" s="8"/>
    </row>
    <row r="8" spans="2:17" s="9" customFormat="1" ht="18" customHeight="1" x14ac:dyDescent="0.15">
      <c r="B8" s="8"/>
      <c r="C8" s="8"/>
      <c r="D8" s="8"/>
      <c r="E8" s="8"/>
      <c r="F8" s="8"/>
      <c r="G8" s="8"/>
      <c r="H8" s="8"/>
      <c r="I8" s="8"/>
      <c r="J8" s="8"/>
      <c r="K8" s="8"/>
      <c r="L8" s="8"/>
      <c r="M8" s="8"/>
      <c r="N8" s="8"/>
      <c r="O8" s="8"/>
      <c r="P8" s="8"/>
      <c r="Q8" s="8"/>
    </row>
    <row r="9" spans="2:17" s="18" customFormat="1" ht="30" customHeight="1" x14ac:dyDescent="0.15">
      <c r="B9" s="66" t="s">
        <v>51</v>
      </c>
      <c r="O9" s="16"/>
      <c r="P9" s="17"/>
      <c r="Q9" s="17"/>
    </row>
    <row r="10" spans="2:17" s="18" customFormat="1" ht="14.25" customHeight="1" x14ac:dyDescent="0.15">
      <c r="B10" s="11"/>
      <c r="C10" s="16"/>
      <c r="D10" s="16"/>
      <c r="E10" s="16"/>
      <c r="F10" s="16"/>
      <c r="G10" s="16"/>
      <c r="H10" s="16"/>
      <c r="I10" s="16"/>
      <c r="J10" s="16"/>
      <c r="K10" s="16"/>
      <c r="L10" s="16"/>
      <c r="M10" s="16"/>
      <c r="N10" s="16"/>
      <c r="O10" s="16"/>
      <c r="P10" s="17"/>
      <c r="Q10" s="17"/>
    </row>
    <row r="11" spans="2:17" ht="18" customHeight="1" x14ac:dyDescent="0.15">
      <c r="B11" s="181" t="s">
        <v>46</v>
      </c>
      <c r="C11" s="19"/>
      <c r="D11" s="19"/>
      <c r="E11" s="19"/>
      <c r="F11" s="19"/>
      <c r="G11" s="19"/>
      <c r="H11" s="19"/>
      <c r="I11" s="19"/>
      <c r="J11" s="19"/>
      <c r="K11" s="19"/>
      <c r="L11" s="19"/>
      <c r="M11" s="19"/>
      <c r="N11" s="19"/>
      <c r="O11" s="19"/>
      <c r="P11" s="22"/>
      <c r="Q11" s="22"/>
    </row>
    <row r="12" spans="2:17" s="25" customFormat="1" ht="15" customHeight="1" x14ac:dyDescent="0.15">
      <c r="B12" s="182" t="s">
        <v>64</v>
      </c>
      <c r="C12" s="23"/>
      <c r="D12" s="23"/>
      <c r="E12" s="23"/>
      <c r="F12" s="23"/>
      <c r="G12" s="23"/>
      <c r="H12" s="23"/>
      <c r="I12" s="23"/>
      <c r="J12" s="23"/>
      <c r="K12" s="23"/>
      <c r="L12" s="23"/>
      <c r="M12" s="23"/>
      <c r="N12" s="23"/>
      <c r="O12" s="24"/>
      <c r="P12" s="23"/>
      <c r="Q12" s="23"/>
    </row>
    <row r="13" spans="2:17" s="25" customFormat="1" ht="15" customHeight="1" x14ac:dyDescent="0.15">
      <c r="B13" s="182" t="s">
        <v>65</v>
      </c>
      <c r="C13" s="23"/>
      <c r="D13" s="23"/>
      <c r="E13" s="23"/>
      <c r="F13" s="23"/>
      <c r="G13" s="23"/>
      <c r="H13" s="23"/>
      <c r="I13" s="23"/>
      <c r="J13" s="23"/>
      <c r="K13" s="23"/>
      <c r="L13" s="23"/>
      <c r="M13" s="23"/>
      <c r="N13" s="23"/>
      <c r="O13" s="24"/>
      <c r="P13" s="23"/>
      <c r="Q13" s="23"/>
    </row>
    <row r="14" spans="2:17" s="25" customFormat="1" ht="15" customHeight="1" x14ac:dyDescent="0.15">
      <c r="E14" s="23"/>
      <c r="F14" s="23"/>
      <c r="G14" s="23"/>
      <c r="H14" s="23"/>
      <c r="I14" s="23"/>
      <c r="J14" s="23"/>
      <c r="K14" s="23"/>
      <c r="L14" s="23"/>
      <c r="M14" s="23"/>
      <c r="N14" s="23"/>
      <c r="O14" s="24"/>
      <c r="P14" s="23"/>
      <c r="Q14" s="23"/>
    </row>
    <row r="15" spans="2:17" ht="18" customHeight="1" x14ac:dyDescent="0.15">
      <c r="B15" s="19" t="s">
        <v>7422</v>
      </c>
      <c r="C15" s="34"/>
      <c r="D15" s="19"/>
      <c r="E15" s="19"/>
      <c r="F15" s="19"/>
      <c r="G15" s="19"/>
      <c r="H15" s="19"/>
      <c r="I15" s="19"/>
      <c r="J15" s="19"/>
      <c r="K15" s="19"/>
      <c r="L15" s="19"/>
      <c r="M15" s="19"/>
      <c r="N15" s="19"/>
      <c r="O15" s="231"/>
      <c r="P15" s="232"/>
      <c r="Q15" s="232"/>
    </row>
    <row r="16" spans="2:17" ht="18" customHeight="1" x14ac:dyDescent="0.15">
      <c r="B16" s="19" t="s">
        <v>5893</v>
      </c>
      <c r="C16" s="34"/>
      <c r="D16" s="19"/>
      <c r="E16" s="19"/>
      <c r="F16" s="19"/>
      <c r="G16" s="19"/>
      <c r="H16" s="19"/>
      <c r="I16" s="19"/>
      <c r="J16" s="19"/>
      <c r="K16" s="19"/>
      <c r="L16" s="19"/>
      <c r="M16" s="19"/>
      <c r="N16" s="19"/>
      <c r="O16" s="231"/>
      <c r="P16" s="232"/>
      <c r="Q16" s="232"/>
    </row>
    <row r="17" spans="1:21" ht="18" customHeight="1" x14ac:dyDescent="0.15">
      <c r="B17" s="19" t="s">
        <v>5892</v>
      </c>
      <c r="C17" s="34"/>
      <c r="D17" s="19"/>
      <c r="E17" s="19"/>
      <c r="F17" s="19"/>
      <c r="G17" s="19"/>
      <c r="H17" s="19"/>
      <c r="I17" s="19"/>
      <c r="J17" s="19"/>
      <c r="K17" s="19"/>
      <c r="L17" s="19"/>
      <c r="M17" s="19"/>
      <c r="N17" s="19"/>
      <c r="O17" s="231"/>
      <c r="P17" s="232"/>
      <c r="Q17" s="332" t="s">
        <v>8936</v>
      </c>
      <c r="R17" s="333"/>
      <c r="S17" s="334"/>
    </row>
    <row r="18" spans="1:21" ht="18" customHeight="1" x14ac:dyDescent="0.15">
      <c r="B18" s="19" t="s">
        <v>2278</v>
      </c>
      <c r="C18" s="19"/>
      <c r="D18" s="19"/>
      <c r="E18" s="19"/>
      <c r="F18" s="19"/>
      <c r="G18" s="19"/>
      <c r="H18" s="19"/>
      <c r="I18" s="19"/>
      <c r="J18" s="19"/>
      <c r="K18" s="19"/>
      <c r="L18" s="19"/>
      <c r="M18" s="19"/>
      <c r="N18" s="19"/>
      <c r="O18" s="231"/>
      <c r="P18" s="232"/>
      <c r="Q18" s="335"/>
      <c r="R18" s="336"/>
      <c r="S18" s="337"/>
    </row>
    <row r="19" spans="1:21" s="25" customFormat="1" x14ac:dyDescent="0.15">
      <c r="B19" s="23"/>
      <c r="C19" s="23"/>
      <c r="D19" s="23"/>
      <c r="E19" s="23"/>
      <c r="F19" s="23"/>
      <c r="G19" s="23"/>
      <c r="H19" s="23"/>
      <c r="I19" s="23"/>
      <c r="J19" s="23"/>
      <c r="K19" s="23"/>
      <c r="L19" s="23"/>
      <c r="M19" s="23"/>
      <c r="N19" s="23"/>
      <c r="O19" s="24"/>
      <c r="P19" s="23"/>
      <c r="Q19" s="338"/>
      <c r="R19" s="339"/>
      <c r="S19" s="340"/>
    </row>
    <row r="20" spans="1:21" ht="83" customHeight="1" x14ac:dyDescent="0.15">
      <c r="A20" s="274" t="s">
        <v>5916</v>
      </c>
      <c r="B20" s="72" t="s">
        <v>0</v>
      </c>
      <c r="C20" s="73" t="s">
        <v>1</v>
      </c>
      <c r="D20" s="73" t="s">
        <v>26</v>
      </c>
      <c r="E20" s="73" t="s">
        <v>8933</v>
      </c>
      <c r="F20" s="73" t="s">
        <v>25</v>
      </c>
      <c r="G20" s="73" t="s">
        <v>10</v>
      </c>
      <c r="H20" s="73" t="s">
        <v>60</v>
      </c>
      <c r="I20" s="73" t="s">
        <v>2273</v>
      </c>
      <c r="J20" s="73" t="s">
        <v>61</v>
      </c>
      <c r="K20" s="73" t="s">
        <v>7423</v>
      </c>
      <c r="L20" s="73" t="s">
        <v>2279</v>
      </c>
      <c r="M20" s="73" t="s">
        <v>9016</v>
      </c>
      <c r="N20" s="73" t="s">
        <v>2276</v>
      </c>
      <c r="O20" s="73" t="s">
        <v>27</v>
      </c>
      <c r="P20" s="73" t="s">
        <v>8935</v>
      </c>
      <c r="Q20" s="298" t="s">
        <v>24</v>
      </c>
      <c r="R20" s="298" t="s">
        <v>7417</v>
      </c>
      <c r="S20" s="298" t="s">
        <v>52</v>
      </c>
      <c r="T20" s="73" t="s">
        <v>8937</v>
      </c>
      <c r="U20" s="73" t="s">
        <v>2277</v>
      </c>
    </row>
    <row r="21" spans="1:21" ht="20" customHeight="1" x14ac:dyDescent="0.15">
      <c r="A21" s="284" t="s">
        <v>5917</v>
      </c>
      <c r="B21" s="315" t="s">
        <v>9031</v>
      </c>
      <c r="C21" s="315" t="s">
        <v>9032</v>
      </c>
      <c r="D21" s="315" t="s">
        <v>2260</v>
      </c>
      <c r="E21" s="315"/>
      <c r="F21" s="315"/>
      <c r="G21" s="317">
        <v>30901</v>
      </c>
      <c r="H21" s="318" t="s">
        <v>164</v>
      </c>
      <c r="I21" s="318"/>
      <c r="J21" s="318" t="s">
        <v>1644</v>
      </c>
      <c r="K21" s="319" t="s">
        <v>1738</v>
      </c>
      <c r="L21" s="319" t="s">
        <v>2602</v>
      </c>
      <c r="M21" s="320"/>
      <c r="N21" s="321"/>
      <c r="O21" s="320"/>
      <c r="P21" s="322">
        <v>42644</v>
      </c>
      <c r="Q21" s="322"/>
      <c r="R21" s="322"/>
      <c r="S21" s="322"/>
      <c r="T21" s="323"/>
      <c r="U21" s="324"/>
    </row>
    <row r="22" spans="1:21" ht="20" customHeight="1" x14ac:dyDescent="0.15">
      <c r="A22" s="284" t="s">
        <v>5918</v>
      </c>
      <c r="B22" s="315" t="s">
        <v>9033</v>
      </c>
      <c r="C22" s="315" t="s">
        <v>9034</v>
      </c>
      <c r="D22" s="315" t="s">
        <v>2260</v>
      </c>
      <c r="E22" s="315"/>
      <c r="F22" s="315"/>
      <c r="G22" s="317">
        <v>31510</v>
      </c>
      <c r="H22" s="318" t="s">
        <v>164</v>
      </c>
      <c r="I22" s="318"/>
      <c r="J22" s="318" t="s">
        <v>1643</v>
      </c>
      <c r="K22" s="319" t="s">
        <v>1704</v>
      </c>
      <c r="L22" s="319"/>
      <c r="M22" s="320"/>
      <c r="N22" s="321" t="s">
        <v>1883</v>
      </c>
      <c r="O22" s="320"/>
      <c r="P22" s="322">
        <v>42248</v>
      </c>
      <c r="Q22" s="322"/>
      <c r="R22" s="322"/>
      <c r="S22" s="322"/>
      <c r="T22" s="323"/>
      <c r="U22" s="324"/>
    </row>
    <row r="23" spans="1:21" ht="20" customHeight="1" x14ac:dyDescent="0.15">
      <c r="A23" s="284" t="s">
        <v>5919</v>
      </c>
      <c r="B23" s="315" t="s">
        <v>9035</v>
      </c>
      <c r="C23" s="315" t="s">
        <v>9036</v>
      </c>
      <c r="D23" s="315" t="s">
        <v>2260</v>
      </c>
      <c r="E23" s="315"/>
      <c r="F23" s="315"/>
      <c r="G23" s="317">
        <v>32998</v>
      </c>
      <c r="H23" s="318" t="s">
        <v>164</v>
      </c>
      <c r="I23" s="318"/>
      <c r="J23" s="318" t="s">
        <v>1643</v>
      </c>
      <c r="K23" s="319" t="s">
        <v>1705</v>
      </c>
      <c r="L23" s="319"/>
      <c r="M23" s="320"/>
      <c r="N23" s="321" t="s">
        <v>1882</v>
      </c>
      <c r="O23" s="320"/>
      <c r="P23" s="322">
        <v>43344</v>
      </c>
      <c r="Q23" s="322"/>
      <c r="R23" s="322"/>
      <c r="S23" s="322"/>
      <c r="T23" s="325">
        <v>43982</v>
      </c>
      <c r="U23" s="324"/>
    </row>
    <row r="24" spans="1:21" ht="20" customHeight="1" x14ac:dyDescent="0.15">
      <c r="A24" s="284" t="s">
        <v>5920</v>
      </c>
      <c r="B24" s="315" t="s">
        <v>9037</v>
      </c>
      <c r="C24" s="315" t="s">
        <v>9038</v>
      </c>
      <c r="D24" s="315" t="s">
        <v>2261</v>
      </c>
      <c r="E24" s="315"/>
      <c r="F24" s="315"/>
      <c r="G24" s="317">
        <v>32987</v>
      </c>
      <c r="H24" s="318" t="s">
        <v>164</v>
      </c>
      <c r="I24" s="318"/>
      <c r="J24" s="318" t="s">
        <v>1643</v>
      </c>
      <c r="K24" s="319"/>
      <c r="L24" s="319"/>
      <c r="M24" s="320"/>
      <c r="N24" s="321" t="s">
        <v>1883</v>
      </c>
      <c r="O24" s="320"/>
      <c r="P24" s="322">
        <v>43344</v>
      </c>
      <c r="Q24" s="322"/>
      <c r="R24" s="322"/>
      <c r="S24" s="322"/>
      <c r="T24" s="325">
        <v>43678</v>
      </c>
      <c r="U24" s="324"/>
    </row>
    <row r="25" spans="1:21" ht="20" customHeight="1" x14ac:dyDescent="0.15">
      <c r="A25" s="284" t="s">
        <v>5921</v>
      </c>
      <c r="B25" s="315" t="s">
        <v>9039</v>
      </c>
      <c r="C25" s="315" t="s">
        <v>9040</v>
      </c>
      <c r="D25" s="315" t="s">
        <v>2261</v>
      </c>
      <c r="E25" s="315"/>
      <c r="F25" s="315"/>
      <c r="G25" s="317">
        <v>23011</v>
      </c>
      <c r="H25" s="318" t="s">
        <v>164</v>
      </c>
      <c r="I25" s="318"/>
      <c r="J25" s="318" t="s">
        <v>1640</v>
      </c>
      <c r="K25" s="319" t="s">
        <v>1660</v>
      </c>
      <c r="L25" s="319"/>
      <c r="M25" s="320"/>
      <c r="N25" s="321" t="s">
        <v>1885</v>
      </c>
      <c r="O25" s="320"/>
      <c r="P25" s="325">
        <v>43101</v>
      </c>
      <c r="Q25" s="322"/>
      <c r="R25" s="322"/>
      <c r="S25" s="322"/>
      <c r="T25" s="323"/>
      <c r="U25" s="324"/>
    </row>
    <row r="26" spans="1:21" ht="20" customHeight="1" x14ac:dyDescent="0.15">
      <c r="A26" s="284" t="s">
        <v>5922</v>
      </c>
      <c r="B26" s="315" t="s">
        <v>9041</v>
      </c>
      <c r="C26" s="315" t="s">
        <v>9042</v>
      </c>
      <c r="D26" s="315" t="s">
        <v>2261</v>
      </c>
      <c r="E26" s="315"/>
      <c r="F26" s="315"/>
      <c r="G26" s="317">
        <v>30719</v>
      </c>
      <c r="H26" s="318" t="s">
        <v>164</v>
      </c>
      <c r="I26" s="318"/>
      <c r="J26" s="318" t="s">
        <v>1645</v>
      </c>
      <c r="K26" s="319" t="s">
        <v>1790</v>
      </c>
      <c r="L26" s="319" t="s">
        <v>2605</v>
      </c>
      <c r="M26" s="320"/>
      <c r="N26" s="321"/>
      <c r="O26" s="320"/>
      <c r="P26" s="322">
        <v>42248</v>
      </c>
      <c r="Q26" s="322"/>
      <c r="R26" s="322"/>
      <c r="S26" s="322"/>
      <c r="T26" s="325">
        <v>42948</v>
      </c>
      <c r="U26" s="324"/>
    </row>
    <row r="27" spans="1:21" ht="20" customHeight="1" x14ac:dyDescent="0.15">
      <c r="A27" s="284" t="s">
        <v>5923</v>
      </c>
      <c r="B27" s="315" t="s">
        <v>9043</v>
      </c>
      <c r="C27" s="315" t="s">
        <v>9044</v>
      </c>
      <c r="D27" s="315" t="s">
        <v>2260</v>
      </c>
      <c r="E27" s="315"/>
      <c r="F27" s="315"/>
      <c r="G27" s="317">
        <v>26957</v>
      </c>
      <c r="H27" s="318" t="s">
        <v>164</v>
      </c>
      <c r="I27" s="318"/>
      <c r="J27" s="318" t="s">
        <v>1640</v>
      </c>
      <c r="K27" s="319" t="s">
        <v>1660</v>
      </c>
      <c r="L27" s="319"/>
      <c r="M27" s="320"/>
      <c r="N27" s="321" t="s">
        <v>1874</v>
      </c>
      <c r="O27" s="320"/>
      <c r="P27" s="322">
        <v>38231</v>
      </c>
      <c r="Q27" s="322"/>
      <c r="R27" s="322"/>
      <c r="S27" s="322"/>
      <c r="T27" s="323"/>
      <c r="U27" s="324"/>
    </row>
    <row r="28" spans="1:21" ht="20" customHeight="1" x14ac:dyDescent="0.15">
      <c r="A28" s="284" t="s">
        <v>5924</v>
      </c>
      <c r="B28" s="315" t="s">
        <v>9175</v>
      </c>
      <c r="C28" s="315" t="s">
        <v>9176</v>
      </c>
      <c r="D28" s="315" t="s">
        <v>2261</v>
      </c>
      <c r="E28" s="315"/>
      <c r="F28" s="315"/>
      <c r="G28" s="317">
        <v>28538</v>
      </c>
      <c r="H28" s="318" t="s">
        <v>211</v>
      </c>
      <c r="I28" s="318"/>
      <c r="J28" s="318" t="s">
        <v>1643</v>
      </c>
      <c r="K28" s="319" t="s">
        <v>1706</v>
      </c>
      <c r="L28" s="319"/>
      <c r="M28" s="320"/>
      <c r="N28" s="321"/>
      <c r="O28" s="320"/>
      <c r="P28" s="326"/>
      <c r="Q28" s="322"/>
      <c r="R28" s="322"/>
      <c r="S28" s="322"/>
      <c r="T28" s="323"/>
      <c r="U28" s="324"/>
    </row>
    <row r="29" spans="1:21" ht="20" customHeight="1" x14ac:dyDescent="0.15">
      <c r="A29" s="284" t="s">
        <v>5925</v>
      </c>
      <c r="B29" s="315" t="s">
        <v>9045</v>
      </c>
      <c r="C29" s="315" t="s">
        <v>9046</v>
      </c>
      <c r="D29" s="315" t="s">
        <v>2260</v>
      </c>
      <c r="E29" s="315"/>
      <c r="F29" s="315"/>
      <c r="G29" s="317">
        <v>30170</v>
      </c>
      <c r="H29" s="318" t="s">
        <v>164</v>
      </c>
      <c r="I29" s="318"/>
      <c r="J29" s="318" t="s">
        <v>1645</v>
      </c>
      <c r="K29" s="319" t="s">
        <v>1788</v>
      </c>
      <c r="L29" s="319" t="s">
        <v>2600</v>
      </c>
      <c r="M29" s="320"/>
      <c r="N29" s="321"/>
      <c r="O29" s="320"/>
      <c r="P29" s="322">
        <v>41791</v>
      </c>
      <c r="Q29" s="322"/>
      <c r="R29" s="322"/>
      <c r="S29" s="322"/>
      <c r="T29" s="323"/>
      <c r="U29" s="324"/>
    </row>
    <row r="30" spans="1:21" ht="20" customHeight="1" x14ac:dyDescent="0.15">
      <c r="A30" s="284" t="s">
        <v>5926</v>
      </c>
      <c r="B30" s="315" t="s">
        <v>9047</v>
      </c>
      <c r="C30" s="315" t="s">
        <v>3762</v>
      </c>
      <c r="D30" s="315" t="s">
        <v>2260</v>
      </c>
      <c r="E30" s="315"/>
      <c r="F30" s="315"/>
      <c r="G30" s="317">
        <v>22221</v>
      </c>
      <c r="H30" s="318" t="s">
        <v>164</v>
      </c>
      <c r="I30" s="318"/>
      <c r="J30" s="318" t="s">
        <v>1640</v>
      </c>
      <c r="K30" s="319" t="s">
        <v>1647</v>
      </c>
      <c r="L30" s="319"/>
      <c r="M30" s="320"/>
      <c r="N30" s="321" t="s">
        <v>1882</v>
      </c>
      <c r="O30" s="320" t="s">
        <v>55</v>
      </c>
      <c r="P30" s="322">
        <v>33848</v>
      </c>
      <c r="Q30" s="322"/>
      <c r="R30" s="322"/>
      <c r="S30" s="322"/>
      <c r="T30" s="323"/>
      <c r="U30" s="324"/>
    </row>
    <row r="31" spans="1:21" ht="20" customHeight="1" x14ac:dyDescent="0.15">
      <c r="A31" s="284" t="s">
        <v>5927</v>
      </c>
      <c r="B31" s="315" t="s">
        <v>9048</v>
      </c>
      <c r="C31" s="315" t="s">
        <v>9049</v>
      </c>
      <c r="D31" s="315" t="s">
        <v>2260</v>
      </c>
      <c r="E31" s="315"/>
      <c r="F31" s="315"/>
      <c r="G31" s="317">
        <v>25827</v>
      </c>
      <c r="H31" s="318" t="s">
        <v>164</v>
      </c>
      <c r="I31" s="318"/>
      <c r="J31" s="318" t="s">
        <v>1640</v>
      </c>
      <c r="K31" s="319" t="s">
        <v>1647</v>
      </c>
      <c r="L31" s="319"/>
      <c r="M31" s="320"/>
      <c r="N31" s="321" t="s">
        <v>1883</v>
      </c>
      <c r="O31" s="320" t="s">
        <v>55</v>
      </c>
      <c r="P31" s="322">
        <v>40817</v>
      </c>
      <c r="Q31" s="322"/>
      <c r="R31" s="322"/>
      <c r="S31" s="322"/>
      <c r="T31" s="323"/>
      <c r="U31" s="324"/>
    </row>
    <row r="32" spans="1:21" ht="20" customHeight="1" x14ac:dyDescent="0.15">
      <c r="A32" s="284" t="s">
        <v>5928</v>
      </c>
      <c r="B32" s="315" t="s">
        <v>9050</v>
      </c>
      <c r="C32" s="315" t="s">
        <v>9051</v>
      </c>
      <c r="D32" s="315" t="s">
        <v>2260</v>
      </c>
      <c r="E32" s="315"/>
      <c r="F32" s="315"/>
      <c r="G32" s="317">
        <v>27961</v>
      </c>
      <c r="H32" s="318" t="s">
        <v>164</v>
      </c>
      <c r="I32" s="318"/>
      <c r="J32" s="318" t="s">
        <v>1640</v>
      </c>
      <c r="K32" s="319" t="s">
        <v>1660</v>
      </c>
      <c r="L32" s="319"/>
      <c r="M32" s="320"/>
      <c r="N32" s="321" t="s">
        <v>1882</v>
      </c>
      <c r="O32" s="320" t="s">
        <v>55</v>
      </c>
      <c r="P32" s="322">
        <v>40057</v>
      </c>
      <c r="Q32" s="322"/>
      <c r="R32" s="322"/>
      <c r="S32" s="322"/>
      <c r="T32" s="323"/>
      <c r="U32" s="324"/>
    </row>
    <row r="33" spans="1:21" ht="20" customHeight="1" x14ac:dyDescent="0.15">
      <c r="A33" s="284" t="s">
        <v>5929</v>
      </c>
      <c r="B33" s="315" t="s">
        <v>9052</v>
      </c>
      <c r="C33" s="315" t="s">
        <v>9053</v>
      </c>
      <c r="D33" s="315" t="s">
        <v>2261</v>
      </c>
      <c r="E33" s="315"/>
      <c r="F33" s="315"/>
      <c r="G33" s="317">
        <v>20241</v>
      </c>
      <c r="H33" s="318" t="s">
        <v>164</v>
      </c>
      <c r="I33" s="318"/>
      <c r="J33" s="318" t="s">
        <v>1640</v>
      </c>
      <c r="K33" s="319" t="s">
        <v>1647</v>
      </c>
      <c r="L33" s="319"/>
      <c r="M33" s="320"/>
      <c r="N33" s="321" t="s">
        <v>1874</v>
      </c>
      <c r="O33" s="320" t="s">
        <v>55</v>
      </c>
      <c r="P33" s="322">
        <v>41518</v>
      </c>
      <c r="Q33" s="322"/>
      <c r="R33" s="322"/>
      <c r="S33" s="322"/>
      <c r="T33" s="325">
        <v>43738</v>
      </c>
      <c r="U33" s="324"/>
    </row>
    <row r="34" spans="1:21" ht="20" customHeight="1" x14ac:dyDescent="0.15">
      <c r="A34" s="284" t="s">
        <v>5930</v>
      </c>
      <c r="B34" s="315" t="s">
        <v>9054</v>
      </c>
      <c r="C34" s="315" t="s">
        <v>9055</v>
      </c>
      <c r="D34" s="315" t="s">
        <v>2260</v>
      </c>
      <c r="E34" s="315" t="s">
        <v>1856</v>
      </c>
      <c r="F34" s="315"/>
      <c r="G34" s="317">
        <v>25527</v>
      </c>
      <c r="H34" s="318" t="s">
        <v>164</v>
      </c>
      <c r="I34" s="318"/>
      <c r="J34" s="318" t="s">
        <v>1640</v>
      </c>
      <c r="K34" s="319" t="s">
        <v>1647</v>
      </c>
      <c r="L34" s="319"/>
      <c r="M34" s="320"/>
      <c r="N34" s="321" t="s">
        <v>1882</v>
      </c>
      <c r="O34" s="320" t="s">
        <v>55</v>
      </c>
      <c r="P34" s="322">
        <v>38626</v>
      </c>
      <c r="Q34" s="322"/>
      <c r="R34" s="322"/>
      <c r="S34" s="322"/>
      <c r="T34" s="323"/>
      <c r="U34" s="324"/>
    </row>
    <row r="35" spans="1:21" ht="20" customHeight="1" x14ac:dyDescent="0.15">
      <c r="A35" s="284" t="s">
        <v>5931</v>
      </c>
      <c r="B35" s="315" t="s">
        <v>9056</v>
      </c>
      <c r="C35" s="315" t="s">
        <v>9057</v>
      </c>
      <c r="D35" s="315" t="s">
        <v>2260</v>
      </c>
      <c r="E35" s="315"/>
      <c r="F35" s="315"/>
      <c r="G35" s="317">
        <v>35267</v>
      </c>
      <c r="H35" s="318" t="s">
        <v>164</v>
      </c>
      <c r="I35" s="318"/>
      <c r="J35" s="318" t="s">
        <v>1645</v>
      </c>
      <c r="K35" s="319" t="s">
        <v>2254</v>
      </c>
      <c r="L35" s="319"/>
      <c r="M35" s="320"/>
      <c r="N35" s="321"/>
      <c r="O35" s="320"/>
      <c r="P35" s="326"/>
      <c r="Q35" s="322"/>
      <c r="R35" s="322"/>
      <c r="S35" s="322"/>
      <c r="T35" s="323"/>
      <c r="U35" s="324"/>
    </row>
    <row r="36" spans="1:21" ht="20" customHeight="1" x14ac:dyDescent="0.15">
      <c r="A36" s="284" t="s">
        <v>5932</v>
      </c>
      <c r="B36" s="315" t="s">
        <v>9058</v>
      </c>
      <c r="C36" s="315" t="s">
        <v>3823</v>
      </c>
      <c r="D36" s="315" t="s">
        <v>2260</v>
      </c>
      <c r="E36" s="315"/>
      <c r="F36" s="315"/>
      <c r="G36" s="317">
        <v>23851</v>
      </c>
      <c r="H36" s="318" t="s">
        <v>164</v>
      </c>
      <c r="I36" s="318"/>
      <c r="J36" s="318" t="s">
        <v>1640</v>
      </c>
      <c r="K36" s="319" t="s">
        <v>1660</v>
      </c>
      <c r="L36" s="319"/>
      <c r="M36" s="320"/>
      <c r="N36" s="321" t="s">
        <v>1882</v>
      </c>
      <c r="O36" s="320"/>
      <c r="P36" s="322">
        <v>34973</v>
      </c>
      <c r="Q36" s="322"/>
      <c r="R36" s="322"/>
      <c r="S36" s="322"/>
      <c r="T36" s="323"/>
      <c r="U36" s="324"/>
    </row>
    <row r="37" spans="1:21" ht="20" customHeight="1" x14ac:dyDescent="0.15">
      <c r="A37" s="284" t="s">
        <v>5933</v>
      </c>
      <c r="B37" s="315" t="s">
        <v>9059</v>
      </c>
      <c r="C37" s="315" t="s">
        <v>9060</v>
      </c>
      <c r="D37" s="315" t="s">
        <v>2261</v>
      </c>
      <c r="E37" s="315"/>
      <c r="F37" s="315"/>
      <c r="G37" s="317">
        <v>32490</v>
      </c>
      <c r="H37" s="318" t="s">
        <v>164</v>
      </c>
      <c r="I37" s="318"/>
      <c r="J37" s="318" t="s">
        <v>1643</v>
      </c>
      <c r="K37" s="319"/>
      <c r="L37" s="319"/>
      <c r="M37" s="320"/>
      <c r="N37" s="321" t="s">
        <v>1882</v>
      </c>
      <c r="O37" s="320"/>
      <c r="P37" s="322">
        <v>43009</v>
      </c>
      <c r="Q37" s="322"/>
      <c r="R37" s="322"/>
      <c r="S37" s="322"/>
      <c r="T37" s="325">
        <v>43070</v>
      </c>
      <c r="U37" s="324"/>
    </row>
    <row r="38" spans="1:21" ht="20" customHeight="1" x14ac:dyDescent="0.15">
      <c r="A38" s="284" t="s">
        <v>5934</v>
      </c>
      <c r="B38" s="315" t="s">
        <v>9061</v>
      </c>
      <c r="C38" s="315" t="s">
        <v>9062</v>
      </c>
      <c r="D38" s="315" t="s">
        <v>2260</v>
      </c>
      <c r="E38" s="315"/>
      <c r="F38" s="315"/>
      <c r="G38" s="317">
        <v>32099</v>
      </c>
      <c r="H38" s="318"/>
      <c r="I38" s="318"/>
      <c r="J38" s="318" t="s">
        <v>1645</v>
      </c>
      <c r="K38" s="319"/>
      <c r="L38" s="319"/>
      <c r="M38" s="320"/>
      <c r="N38" s="321"/>
      <c r="O38" s="320"/>
      <c r="P38" s="322">
        <v>42095</v>
      </c>
      <c r="Q38" s="322"/>
      <c r="R38" s="322"/>
      <c r="S38" s="322"/>
      <c r="T38" s="325">
        <v>42705</v>
      </c>
      <c r="U38" s="324"/>
    </row>
    <row r="39" spans="1:21" ht="20" customHeight="1" x14ac:dyDescent="0.15">
      <c r="A39" s="284" t="s">
        <v>5935</v>
      </c>
      <c r="B39" s="315" t="s">
        <v>9063</v>
      </c>
      <c r="C39" s="315" t="s">
        <v>9064</v>
      </c>
      <c r="D39" s="315" t="s">
        <v>2260</v>
      </c>
      <c r="E39" s="315"/>
      <c r="F39" s="315"/>
      <c r="G39" s="317">
        <v>32269</v>
      </c>
      <c r="H39" s="318" t="s">
        <v>164</v>
      </c>
      <c r="I39" s="318"/>
      <c r="J39" s="318" t="s">
        <v>1643</v>
      </c>
      <c r="K39" s="319" t="s">
        <v>1704</v>
      </c>
      <c r="L39" s="319"/>
      <c r="M39" s="320"/>
      <c r="N39" s="321" t="s">
        <v>1882</v>
      </c>
      <c r="O39" s="320"/>
      <c r="P39" s="322">
        <v>42736</v>
      </c>
      <c r="Q39" s="322"/>
      <c r="R39" s="322"/>
      <c r="S39" s="322"/>
      <c r="T39" s="325"/>
      <c r="U39" s="324"/>
    </row>
    <row r="40" spans="1:21" ht="20" customHeight="1" x14ac:dyDescent="0.15">
      <c r="A40" s="284" t="s">
        <v>5936</v>
      </c>
      <c r="B40" s="315" t="s">
        <v>9268</v>
      </c>
      <c r="C40" s="315" t="s">
        <v>9269</v>
      </c>
      <c r="D40" s="315" t="s">
        <v>2260</v>
      </c>
      <c r="E40" s="315"/>
      <c r="F40" s="315"/>
      <c r="G40" s="317">
        <v>35649</v>
      </c>
      <c r="H40" s="318" t="s">
        <v>164</v>
      </c>
      <c r="I40" s="318"/>
      <c r="J40" s="318" t="s">
        <v>1645</v>
      </c>
      <c r="K40" s="319" t="s">
        <v>2254</v>
      </c>
      <c r="L40" s="319"/>
      <c r="M40" s="320"/>
      <c r="N40" s="321"/>
      <c r="O40" s="320"/>
      <c r="P40" s="322">
        <v>44516</v>
      </c>
      <c r="Q40" s="322"/>
      <c r="R40" s="322"/>
      <c r="S40" s="322"/>
      <c r="T40" s="325"/>
      <c r="U40" s="324"/>
    </row>
    <row r="41" spans="1:21" ht="20" customHeight="1" x14ac:dyDescent="0.15">
      <c r="A41" s="284" t="s">
        <v>5937</v>
      </c>
      <c r="B41" s="315" t="s">
        <v>9065</v>
      </c>
      <c r="C41" s="315" t="s">
        <v>9066</v>
      </c>
      <c r="D41" s="315" t="s">
        <v>2260</v>
      </c>
      <c r="E41" s="315"/>
      <c r="F41" s="315"/>
      <c r="G41" s="317">
        <v>21303</v>
      </c>
      <c r="H41" s="318"/>
      <c r="I41" s="318"/>
      <c r="J41" s="318" t="s">
        <v>1643</v>
      </c>
      <c r="K41" s="319" t="s">
        <v>1705</v>
      </c>
      <c r="L41" s="319"/>
      <c r="M41" s="320"/>
      <c r="N41" s="321" t="s">
        <v>1874</v>
      </c>
      <c r="O41" s="320"/>
      <c r="P41" s="322">
        <v>42278</v>
      </c>
      <c r="Q41" s="322"/>
      <c r="R41" s="322"/>
      <c r="S41" s="322"/>
      <c r="T41" s="325">
        <v>42644</v>
      </c>
      <c r="U41" s="324"/>
    </row>
    <row r="42" spans="1:21" ht="20" customHeight="1" x14ac:dyDescent="0.15">
      <c r="A42" s="284" t="s">
        <v>5938</v>
      </c>
      <c r="B42" s="315" t="s">
        <v>9177</v>
      </c>
      <c r="C42" s="315" t="s">
        <v>9178</v>
      </c>
      <c r="D42" s="315" t="s">
        <v>2261</v>
      </c>
      <c r="E42" s="315"/>
      <c r="F42" s="315"/>
      <c r="G42" s="317">
        <v>29437</v>
      </c>
      <c r="H42" s="318" t="s">
        <v>210</v>
      </c>
      <c r="I42" s="318"/>
      <c r="J42" s="318" t="s">
        <v>1643</v>
      </c>
      <c r="K42" s="319" t="s">
        <v>1706</v>
      </c>
      <c r="L42" s="319"/>
      <c r="M42" s="320"/>
      <c r="N42" s="321"/>
      <c r="O42" s="320"/>
      <c r="P42" s="326"/>
      <c r="Q42" s="322"/>
      <c r="R42" s="322"/>
      <c r="S42" s="322"/>
      <c r="T42" s="325"/>
      <c r="U42" s="324"/>
    </row>
    <row r="43" spans="1:21" ht="20" customHeight="1" x14ac:dyDescent="0.15">
      <c r="A43" s="284" t="s">
        <v>5939</v>
      </c>
      <c r="B43" s="315" t="s">
        <v>9067</v>
      </c>
      <c r="C43" s="315" t="s">
        <v>9068</v>
      </c>
      <c r="D43" s="315" t="s">
        <v>2260</v>
      </c>
      <c r="E43" s="315"/>
      <c r="F43" s="315"/>
      <c r="G43" s="317">
        <v>34104</v>
      </c>
      <c r="H43" s="318" t="s">
        <v>164</v>
      </c>
      <c r="I43" s="318"/>
      <c r="J43" s="318" t="s">
        <v>1645</v>
      </c>
      <c r="K43" s="319" t="s">
        <v>1792</v>
      </c>
      <c r="L43" s="319" t="s">
        <v>2605</v>
      </c>
      <c r="M43" s="320"/>
      <c r="N43" s="321"/>
      <c r="O43" s="320"/>
      <c r="P43" s="322">
        <v>43862</v>
      </c>
      <c r="Q43" s="322"/>
      <c r="R43" s="322"/>
      <c r="S43" s="322"/>
      <c r="T43" s="380"/>
      <c r="U43" s="324"/>
    </row>
    <row r="44" spans="1:21" ht="20" customHeight="1" x14ac:dyDescent="0.15">
      <c r="A44" s="284" t="s">
        <v>5940</v>
      </c>
      <c r="B44" s="315" t="s">
        <v>9069</v>
      </c>
      <c r="C44" s="315" t="s">
        <v>9070</v>
      </c>
      <c r="D44" s="315" t="s">
        <v>2260</v>
      </c>
      <c r="E44" s="315"/>
      <c r="F44" s="315"/>
      <c r="G44" s="317">
        <v>28114</v>
      </c>
      <c r="H44" s="318" t="s">
        <v>164</v>
      </c>
      <c r="I44" s="318"/>
      <c r="J44" s="318" t="s">
        <v>1645</v>
      </c>
      <c r="K44" s="319" t="s">
        <v>1788</v>
      </c>
      <c r="L44" s="319" t="s">
        <v>2600</v>
      </c>
      <c r="M44" s="320"/>
      <c r="N44" s="321"/>
      <c r="O44" s="320"/>
      <c r="P44" s="322">
        <v>42461</v>
      </c>
      <c r="Q44" s="322"/>
      <c r="R44" s="322"/>
      <c r="S44" s="322"/>
      <c r="T44" s="325">
        <v>43678</v>
      </c>
      <c r="U44" s="324"/>
    </row>
    <row r="45" spans="1:21" ht="20" customHeight="1" x14ac:dyDescent="0.15">
      <c r="A45" s="284" t="s">
        <v>5941</v>
      </c>
      <c r="B45" s="315" t="s">
        <v>9069</v>
      </c>
      <c r="C45" s="315" t="s">
        <v>4225</v>
      </c>
      <c r="D45" s="315" t="s">
        <v>2260</v>
      </c>
      <c r="E45" s="315"/>
      <c r="F45" s="315"/>
      <c r="G45" s="317">
        <v>29509</v>
      </c>
      <c r="H45" s="318" t="s">
        <v>164</v>
      </c>
      <c r="I45" s="318"/>
      <c r="J45" s="318" t="s">
        <v>1641</v>
      </c>
      <c r="K45" s="319" t="s">
        <v>1756</v>
      </c>
      <c r="L45" s="319" t="s">
        <v>2600</v>
      </c>
      <c r="M45" s="320"/>
      <c r="N45" s="321"/>
      <c r="O45" s="320"/>
      <c r="P45" s="322">
        <v>40422</v>
      </c>
      <c r="Q45" s="322"/>
      <c r="R45" s="322"/>
      <c r="S45" s="322"/>
      <c r="T45" s="313"/>
      <c r="U45" s="324"/>
    </row>
    <row r="46" spans="1:21" ht="20" customHeight="1" x14ac:dyDescent="0.15">
      <c r="A46" s="284" t="s">
        <v>5942</v>
      </c>
      <c r="B46" s="315" t="s">
        <v>9071</v>
      </c>
      <c r="C46" s="315" t="s">
        <v>9072</v>
      </c>
      <c r="D46" s="315" t="s">
        <v>2261</v>
      </c>
      <c r="E46" s="315"/>
      <c r="F46" s="315"/>
      <c r="G46" s="317">
        <v>30560</v>
      </c>
      <c r="H46" s="318" t="s">
        <v>164</v>
      </c>
      <c r="I46" s="318"/>
      <c r="J46" s="318"/>
      <c r="K46" s="319"/>
      <c r="L46" s="319"/>
      <c r="M46" s="320"/>
      <c r="N46" s="321" t="s">
        <v>1883</v>
      </c>
      <c r="O46" s="320"/>
      <c r="P46" s="322">
        <v>42979</v>
      </c>
      <c r="Q46" s="322"/>
      <c r="R46" s="322"/>
      <c r="S46" s="322"/>
      <c r="T46" s="325">
        <v>43313</v>
      </c>
      <c r="U46" s="324"/>
    </row>
    <row r="47" spans="1:21" ht="20" customHeight="1" x14ac:dyDescent="0.15">
      <c r="A47" s="284" t="s">
        <v>5943</v>
      </c>
      <c r="B47" s="315" t="s">
        <v>9073</v>
      </c>
      <c r="C47" s="315" t="s">
        <v>9074</v>
      </c>
      <c r="D47" s="315" t="s">
        <v>2261</v>
      </c>
      <c r="E47" s="315"/>
      <c r="F47" s="315"/>
      <c r="G47" s="317">
        <v>30127</v>
      </c>
      <c r="H47" s="318" t="s">
        <v>164</v>
      </c>
      <c r="I47" s="318"/>
      <c r="J47" s="318" t="s">
        <v>1640</v>
      </c>
      <c r="K47" s="319" t="s">
        <v>1660</v>
      </c>
      <c r="L47" s="319"/>
      <c r="M47" s="320"/>
      <c r="N47" s="321" t="s">
        <v>1882</v>
      </c>
      <c r="O47" s="320"/>
      <c r="P47" s="322">
        <v>43344</v>
      </c>
      <c r="Q47" s="322"/>
      <c r="R47" s="322"/>
      <c r="S47" s="322"/>
      <c r="T47" s="325"/>
      <c r="U47" s="324"/>
    </row>
    <row r="48" spans="1:21" ht="20" customHeight="1" x14ac:dyDescent="0.15">
      <c r="A48" s="284" t="s">
        <v>5944</v>
      </c>
      <c r="B48" s="315" t="s">
        <v>9075</v>
      </c>
      <c r="C48" s="315" t="s">
        <v>9076</v>
      </c>
      <c r="D48" s="315" t="s">
        <v>2260</v>
      </c>
      <c r="E48" s="315"/>
      <c r="F48" s="315"/>
      <c r="G48" s="317">
        <v>30249</v>
      </c>
      <c r="H48" s="318" t="s">
        <v>164</v>
      </c>
      <c r="I48" s="318"/>
      <c r="J48" s="318" t="s">
        <v>1645</v>
      </c>
      <c r="K48" s="319" t="s">
        <v>1790</v>
      </c>
      <c r="L48" s="319" t="s">
        <v>2600</v>
      </c>
      <c r="M48" s="320"/>
      <c r="N48" s="321"/>
      <c r="O48" s="320"/>
      <c r="P48" s="322">
        <v>43160</v>
      </c>
      <c r="Q48" s="322"/>
      <c r="R48" s="322"/>
      <c r="S48" s="322"/>
      <c r="T48" s="313"/>
      <c r="U48" s="324"/>
    </row>
    <row r="49" spans="1:21" ht="20" customHeight="1" x14ac:dyDescent="0.15">
      <c r="A49" s="284" t="s">
        <v>5945</v>
      </c>
      <c r="B49" s="315" t="s">
        <v>9077</v>
      </c>
      <c r="C49" s="315" t="s">
        <v>9078</v>
      </c>
      <c r="D49" s="315" t="s">
        <v>2261</v>
      </c>
      <c r="E49" s="315"/>
      <c r="F49" s="315"/>
      <c r="G49" s="317">
        <v>32544</v>
      </c>
      <c r="H49" s="318" t="s">
        <v>164</v>
      </c>
      <c r="I49" s="318"/>
      <c r="J49" s="318" t="s">
        <v>1643</v>
      </c>
      <c r="K49" s="319"/>
      <c r="L49" s="319"/>
      <c r="M49" s="320"/>
      <c r="N49" s="321" t="s">
        <v>1882</v>
      </c>
      <c r="O49" s="320"/>
      <c r="P49" s="322">
        <v>42248</v>
      </c>
      <c r="Q49" s="322"/>
      <c r="R49" s="322"/>
      <c r="S49" s="322"/>
      <c r="T49" s="325">
        <v>42401</v>
      </c>
      <c r="U49" s="324"/>
    </row>
    <row r="50" spans="1:21" ht="20" customHeight="1" x14ac:dyDescent="0.15">
      <c r="A50" s="284" t="s">
        <v>5946</v>
      </c>
      <c r="B50" s="315" t="s">
        <v>9079</v>
      </c>
      <c r="C50" s="315" t="s">
        <v>9080</v>
      </c>
      <c r="D50" s="315" t="s">
        <v>2260</v>
      </c>
      <c r="E50" s="315"/>
      <c r="F50" s="315"/>
      <c r="G50" s="317">
        <v>33542</v>
      </c>
      <c r="H50" s="318" t="s">
        <v>164</v>
      </c>
      <c r="I50" s="318"/>
      <c r="J50" s="318" t="s">
        <v>1643</v>
      </c>
      <c r="K50" s="319" t="s">
        <v>1705</v>
      </c>
      <c r="L50" s="319"/>
      <c r="M50" s="320"/>
      <c r="N50" s="321" t="s">
        <v>1882</v>
      </c>
      <c r="O50" s="320"/>
      <c r="P50" s="322">
        <v>44136</v>
      </c>
      <c r="Q50" s="322"/>
      <c r="R50" s="322"/>
      <c r="S50" s="322"/>
      <c r="T50" s="325">
        <v>44166</v>
      </c>
      <c r="U50" s="324"/>
    </row>
    <row r="51" spans="1:21" ht="20" customHeight="1" x14ac:dyDescent="0.15">
      <c r="A51" s="284" t="s">
        <v>5947</v>
      </c>
      <c r="B51" s="315" t="s">
        <v>5750</v>
      </c>
      <c r="C51" s="315" t="s">
        <v>9081</v>
      </c>
      <c r="D51" s="315" t="s">
        <v>2260</v>
      </c>
      <c r="E51" s="315"/>
      <c r="F51" s="315"/>
      <c r="G51" s="317">
        <v>33164</v>
      </c>
      <c r="H51" s="318" t="s">
        <v>164</v>
      </c>
      <c r="I51" s="318"/>
      <c r="J51" s="318" t="s">
        <v>1645</v>
      </c>
      <c r="K51" s="319" t="s">
        <v>1792</v>
      </c>
      <c r="L51" s="319" t="s">
        <v>2604</v>
      </c>
      <c r="M51" s="320"/>
      <c r="N51" s="321"/>
      <c r="O51" s="320"/>
      <c r="P51" s="322">
        <v>43831</v>
      </c>
      <c r="Q51" s="322"/>
      <c r="R51" s="322"/>
      <c r="S51" s="322"/>
      <c r="T51" s="323"/>
      <c r="U51" s="324"/>
    </row>
    <row r="52" spans="1:21" ht="20" customHeight="1" x14ac:dyDescent="0.15">
      <c r="A52" s="284" t="s">
        <v>5948</v>
      </c>
      <c r="B52" s="315" t="s">
        <v>9082</v>
      </c>
      <c r="C52" s="315" t="s">
        <v>4277</v>
      </c>
      <c r="D52" s="315" t="s">
        <v>2260</v>
      </c>
      <c r="E52" s="315"/>
      <c r="F52" s="315"/>
      <c r="G52" s="317">
        <v>17519</v>
      </c>
      <c r="H52" s="318" t="s">
        <v>164</v>
      </c>
      <c r="I52" s="318"/>
      <c r="J52" s="318" t="s">
        <v>1642</v>
      </c>
      <c r="K52" s="319" t="s">
        <v>1675</v>
      </c>
      <c r="L52" s="319"/>
      <c r="M52" s="320"/>
      <c r="N52" s="321" t="s">
        <v>1882</v>
      </c>
      <c r="O52" s="320"/>
      <c r="P52" s="322">
        <v>42248</v>
      </c>
      <c r="Q52" s="322"/>
      <c r="R52" s="322"/>
      <c r="S52" s="322"/>
      <c r="T52" s="323"/>
      <c r="U52" s="324"/>
    </row>
    <row r="53" spans="1:21" ht="20" customHeight="1" x14ac:dyDescent="0.15">
      <c r="A53" s="284" t="s">
        <v>5949</v>
      </c>
      <c r="B53" s="315" t="s">
        <v>4916</v>
      </c>
      <c r="C53" s="315" t="s">
        <v>9083</v>
      </c>
      <c r="D53" s="315" t="s">
        <v>2260</v>
      </c>
      <c r="E53" s="315"/>
      <c r="F53" s="315"/>
      <c r="G53" s="317">
        <v>27401</v>
      </c>
      <c r="H53" s="318" t="s">
        <v>164</v>
      </c>
      <c r="I53" s="318"/>
      <c r="J53" s="318" t="s">
        <v>1644</v>
      </c>
      <c r="K53" s="319" t="s">
        <v>1756</v>
      </c>
      <c r="L53" s="319" t="s">
        <v>2602</v>
      </c>
      <c r="M53" s="320"/>
      <c r="N53" s="321"/>
      <c r="O53" s="320"/>
      <c r="P53" s="322">
        <v>37438</v>
      </c>
      <c r="Q53" s="322"/>
      <c r="R53" s="322"/>
      <c r="S53" s="322"/>
      <c r="T53" s="323"/>
      <c r="U53" s="324"/>
    </row>
    <row r="54" spans="1:21" ht="20" customHeight="1" x14ac:dyDescent="0.15">
      <c r="A54" s="284" t="s">
        <v>5950</v>
      </c>
      <c r="B54" s="315" t="s">
        <v>9084</v>
      </c>
      <c r="C54" s="315" t="s">
        <v>9085</v>
      </c>
      <c r="D54" s="315" t="s">
        <v>2260</v>
      </c>
      <c r="E54" s="315"/>
      <c r="F54" s="315"/>
      <c r="G54" s="317">
        <v>32900</v>
      </c>
      <c r="H54" s="318" t="s">
        <v>164</v>
      </c>
      <c r="I54" s="318"/>
      <c r="J54" s="318" t="s">
        <v>1643</v>
      </c>
      <c r="K54" s="319" t="s">
        <v>1704</v>
      </c>
      <c r="L54" s="319"/>
      <c r="M54" s="320"/>
      <c r="N54" s="321" t="s">
        <v>1883</v>
      </c>
      <c r="O54" s="320"/>
      <c r="P54" s="322">
        <v>42217</v>
      </c>
      <c r="Q54" s="322"/>
      <c r="R54" s="322"/>
      <c r="S54" s="322"/>
      <c r="T54" s="323"/>
      <c r="U54" s="324"/>
    </row>
    <row r="55" spans="1:21" ht="20" customHeight="1" x14ac:dyDescent="0.15">
      <c r="A55" s="284" t="s">
        <v>5951</v>
      </c>
      <c r="B55" s="315" t="s">
        <v>9086</v>
      </c>
      <c r="C55" s="315" t="s">
        <v>9087</v>
      </c>
      <c r="D55" s="315" t="s">
        <v>2260</v>
      </c>
      <c r="E55" s="315"/>
      <c r="F55" s="315"/>
      <c r="G55" s="317">
        <v>31730</v>
      </c>
      <c r="H55" s="318" t="s">
        <v>211</v>
      </c>
      <c r="I55" s="318"/>
      <c r="J55" s="318" t="s">
        <v>1643</v>
      </c>
      <c r="K55" s="319" t="s">
        <v>1706</v>
      </c>
      <c r="L55" s="319"/>
      <c r="M55" s="320"/>
      <c r="N55" s="321" t="s">
        <v>1882</v>
      </c>
      <c r="O55" s="320"/>
      <c r="P55" s="322">
        <v>42430</v>
      </c>
      <c r="Q55" s="322"/>
      <c r="R55" s="322"/>
      <c r="S55" s="322"/>
      <c r="T55" s="323"/>
      <c r="U55" s="324"/>
    </row>
    <row r="56" spans="1:21" ht="20" customHeight="1" x14ac:dyDescent="0.15">
      <c r="A56" s="284" t="s">
        <v>5952</v>
      </c>
      <c r="B56" s="315" t="s">
        <v>9088</v>
      </c>
      <c r="C56" s="315" t="s">
        <v>9089</v>
      </c>
      <c r="D56" s="315" t="s">
        <v>2261</v>
      </c>
      <c r="E56" s="315" t="s">
        <v>1858</v>
      </c>
      <c r="F56" s="315"/>
      <c r="G56" s="317">
        <v>28775</v>
      </c>
      <c r="H56" s="318" t="s">
        <v>164</v>
      </c>
      <c r="I56" s="318"/>
      <c r="J56" s="318" t="s">
        <v>1644</v>
      </c>
      <c r="K56" s="319" t="s">
        <v>1738</v>
      </c>
      <c r="L56" s="319" t="s">
        <v>2605</v>
      </c>
      <c r="M56" s="320"/>
      <c r="N56" s="321"/>
      <c r="O56" s="320"/>
      <c r="P56" s="326">
        <v>44319</v>
      </c>
      <c r="Q56" s="322"/>
      <c r="R56" s="322"/>
      <c r="S56" s="322"/>
      <c r="T56" s="323"/>
      <c r="U56" s="324"/>
    </row>
    <row r="57" spans="1:21" ht="20" customHeight="1" x14ac:dyDescent="0.15">
      <c r="A57" s="284" t="s">
        <v>5953</v>
      </c>
      <c r="B57" s="315" t="s">
        <v>9090</v>
      </c>
      <c r="C57" s="315" t="s">
        <v>9091</v>
      </c>
      <c r="D57" s="315" t="s">
        <v>2261</v>
      </c>
      <c r="E57" s="315"/>
      <c r="F57" s="315"/>
      <c r="G57" s="317">
        <v>21072</v>
      </c>
      <c r="H57" s="318" t="s">
        <v>164</v>
      </c>
      <c r="I57" s="318"/>
      <c r="J57" s="318" t="s">
        <v>1640</v>
      </c>
      <c r="K57" s="319" t="s">
        <v>1647</v>
      </c>
      <c r="L57" s="319"/>
      <c r="M57" s="320"/>
      <c r="N57" s="321" t="s">
        <v>1882</v>
      </c>
      <c r="O57" s="320" t="s">
        <v>55</v>
      </c>
      <c r="P57" s="322">
        <v>30926</v>
      </c>
      <c r="Q57" s="322"/>
      <c r="R57" s="322"/>
      <c r="S57" s="322"/>
      <c r="T57" s="323"/>
      <c r="U57" s="324"/>
    </row>
    <row r="58" spans="1:21" ht="20" customHeight="1" x14ac:dyDescent="0.15">
      <c r="A58" s="284" t="s">
        <v>5954</v>
      </c>
      <c r="B58" s="315" t="s">
        <v>9092</v>
      </c>
      <c r="C58" s="315" t="s">
        <v>9093</v>
      </c>
      <c r="D58" s="315" t="s">
        <v>2261</v>
      </c>
      <c r="E58" s="315"/>
      <c r="F58" s="315"/>
      <c r="G58" s="317">
        <v>32842</v>
      </c>
      <c r="H58" s="318" t="s">
        <v>164</v>
      </c>
      <c r="I58" s="318"/>
      <c r="J58" s="318" t="s">
        <v>1643</v>
      </c>
      <c r="K58" s="319" t="s">
        <v>1705</v>
      </c>
      <c r="L58" s="319"/>
      <c r="M58" s="320"/>
      <c r="N58" s="321" t="s">
        <v>1883</v>
      </c>
      <c r="O58" s="320"/>
      <c r="P58" s="322">
        <v>43709</v>
      </c>
      <c r="Q58" s="322"/>
      <c r="R58" s="322"/>
      <c r="S58" s="322"/>
      <c r="T58" s="323"/>
      <c r="U58" s="324"/>
    </row>
    <row r="59" spans="1:21" ht="20" customHeight="1" x14ac:dyDescent="0.15">
      <c r="A59" s="284" t="s">
        <v>5955</v>
      </c>
      <c r="B59" s="315" t="s">
        <v>9094</v>
      </c>
      <c r="C59" s="315" t="s">
        <v>9095</v>
      </c>
      <c r="D59" s="315" t="s">
        <v>2260</v>
      </c>
      <c r="E59" s="315"/>
      <c r="F59" s="315"/>
      <c r="G59" s="317">
        <v>28516</v>
      </c>
      <c r="H59" s="318" t="s">
        <v>164</v>
      </c>
      <c r="I59" s="318"/>
      <c r="J59" s="318" t="s">
        <v>1640</v>
      </c>
      <c r="K59" s="319" t="s">
        <v>1660</v>
      </c>
      <c r="L59" s="319"/>
      <c r="M59" s="320"/>
      <c r="N59" s="321" t="s">
        <v>1882</v>
      </c>
      <c r="O59" s="320"/>
      <c r="P59" s="322">
        <v>42248</v>
      </c>
      <c r="Q59" s="322"/>
      <c r="R59" s="322"/>
      <c r="S59" s="322"/>
      <c r="T59" s="323"/>
      <c r="U59" s="324"/>
    </row>
    <row r="60" spans="1:21" ht="20" customHeight="1" x14ac:dyDescent="0.15">
      <c r="A60" s="284" t="s">
        <v>5956</v>
      </c>
      <c r="B60" s="315" t="s">
        <v>9096</v>
      </c>
      <c r="C60" s="315" t="s">
        <v>9097</v>
      </c>
      <c r="D60" s="315" t="s">
        <v>2261</v>
      </c>
      <c r="E60" s="315"/>
      <c r="F60" s="315"/>
      <c r="G60" s="317">
        <v>33002</v>
      </c>
      <c r="H60" s="318" t="s">
        <v>164</v>
      </c>
      <c r="I60" s="318"/>
      <c r="J60" s="318" t="s">
        <v>1643</v>
      </c>
      <c r="K60" s="319" t="s">
        <v>1705</v>
      </c>
      <c r="L60" s="319"/>
      <c r="M60" s="320"/>
      <c r="N60" s="321" t="s">
        <v>1871</v>
      </c>
      <c r="O60" s="320"/>
      <c r="P60" s="322">
        <v>43739</v>
      </c>
      <c r="Q60" s="322"/>
      <c r="R60" s="322"/>
      <c r="S60" s="322"/>
      <c r="T60" s="323"/>
      <c r="U60" s="324"/>
    </row>
    <row r="61" spans="1:21" ht="20" customHeight="1" x14ac:dyDescent="0.15">
      <c r="A61" s="284" t="s">
        <v>5957</v>
      </c>
      <c r="B61" s="315" t="s">
        <v>9098</v>
      </c>
      <c r="C61" s="315" t="s">
        <v>9099</v>
      </c>
      <c r="D61" s="315" t="s">
        <v>2260</v>
      </c>
      <c r="E61" s="315"/>
      <c r="F61" s="315"/>
      <c r="G61" s="317">
        <v>30264</v>
      </c>
      <c r="H61" s="318" t="s">
        <v>164</v>
      </c>
      <c r="I61" s="318"/>
      <c r="J61" s="318" t="s">
        <v>1643</v>
      </c>
      <c r="K61" s="319" t="s">
        <v>1705</v>
      </c>
      <c r="L61" s="319"/>
      <c r="M61" s="320"/>
      <c r="N61" s="321" t="s">
        <v>1882</v>
      </c>
      <c r="O61" s="320"/>
      <c r="P61" s="322">
        <v>43831</v>
      </c>
      <c r="Q61" s="322"/>
      <c r="R61" s="322"/>
      <c r="S61" s="322"/>
      <c r="T61" s="323"/>
      <c r="U61" s="324"/>
    </row>
    <row r="62" spans="1:21" ht="20" customHeight="1" x14ac:dyDescent="0.15">
      <c r="A62" s="284" t="s">
        <v>5958</v>
      </c>
      <c r="B62" s="315" t="s">
        <v>9100</v>
      </c>
      <c r="C62" s="315" t="s">
        <v>9101</v>
      </c>
      <c r="D62" s="315" t="s">
        <v>2261</v>
      </c>
      <c r="E62" s="315"/>
      <c r="F62" s="315"/>
      <c r="G62" s="317">
        <v>33516</v>
      </c>
      <c r="H62" s="318"/>
      <c r="I62" s="318"/>
      <c r="J62" s="318"/>
      <c r="K62" s="319"/>
      <c r="L62" s="319" t="s">
        <v>2600</v>
      </c>
      <c r="M62" s="320"/>
      <c r="N62" s="321"/>
      <c r="O62" s="320"/>
      <c r="P62" s="322">
        <v>42622</v>
      </c>
      <c r="Q62" s="322"/>
      <c r="R62" s="322"/>
      <c r="S62" s="322"/>
      <c r="T62" s="325">
        <v>42705</v>
      </c>
      <c r="U62" s="324"/>
    </row>
    <row r="63" spans="1:21" ht="20" customHeight="1" x14ac:dyDescent="0.15">
      <c r="A63" s="284" t="s">
        <v>5959</v>
      </c>
      <c r="B63" s="315" t="s">
        <v>9102</v>
      </c>
      <c r="C63" s="315" t="s">
        <v>9103</v>
      </c>
      <c r="D63" s="315" t="s">
        <v>2260</v>
      </c>
      <c r="E63" s="315"/>
      <c r="F63" s="315"/>
      <c r="G63" s="317">
        <v>22069</v>
      </c>
      <c r="H63" s="318" t="s">
        <v>164</v>
      </c>
      <c r="I63" s="318"/>
      <c r="J63" s="318" t="s">
        <v>1640</v>
      </c>
      <c r="K63" s="319" t="s">
        <v>1647</v>
      </c>
      <c r="L63" s="319"/>
      <c r="M63" s="320"/>
      <c r="N63" s="321" t="s">
        <v>1883</v>
      </c>
      <c r="O63" s="320" t="s">
        <v>55</v>
      </c>
      <c r="P63" s="322">
        <v>38261</v>
      </c>
      <c r="Q63" s="322"/>
      <c r="R63" s="322"/>
      <c r="S63" s="322"/>
      <c r="T63" s="323"/>
      <c r="U63" s="324"/>
    </row>
    <row r="64" spans="1:21" ht="20" customHeight="1" x14ac:dyDescent="0.15">
      <c r="A64" s="284" t="s">
        <v>5960</v>
      </c>
      <c r="B64" s="315" t="s">
        <v>9104</v>
      </c>
      <c r="C64" s="315" t="s">
        <v>9105</v>
      </c>
      <c r="D64" s="315" t="s">
        <v>2260</v>
      </c>
      <c r="E64" s="315"/>
      <c r="F64" s="315"/>
      <c r="G64" s="317">
        <v>35593</v>
      </c>
      <c r="H64" s="318" t="s">
        <v>164</v>
      </c>
      <c r="I64" s="318"/>
      <c r="J64" s="318" t="s">
        <v>1645</v>
      </c>
      <c r="K64" s="319" t="s">
        <v>2254</v>
      </c>
      <c r="L64" s="319"/>
      <c r="M64" s="320"/>
      <c r="N64" s="321"/>
      <c r="O64" s="320"/>
      <c r="P64" s="326">
        <v>44469</v>
      </c>
      <c r="Q64" s="322"/>
      <c r="R64" s="322"/>
      <c r="S64" s="322"/>
      <c r="T64" s="323"/>
      <c r="U64" s="324"/>
    </row>
    <row r="65" spans="1:21" ht="20" customHeight="1" x14ac:dyDescent="0.15">
      <c r="A65" s="284" t="s">
        <v>5961</v>
      </c>
      <c r="B65" s="315" t="s">
        <v>9106</v>
      </c>
      <c r="C65" s="315" t="s">
        <v>9107</v>
      </c>
      <c r="D65" s="315" t="s">
        <v>2261</v>
      </c>
      <c r="E65" s="315"/>
      <c r="F65" s="315"/>
      <c r="G65" s="317">
        <v>32965</v>
      </c>
      <c r="H65" s="318" t="s">
        <v>164</v>
      </c>
      <c r="I65" s="318"/>
      <c r="J65" s="318" t="s">
        <v>1643</v>
      </c>
      <c r="K65" s="319" t="s">
        <v>1705</v>
      </c>
      <c r="L65" s="319"/>
      <c r="M65" s="320"/>
      <c r="N65" s="321" t="s">
        <v>1882</v>
      </c>
      <c r="O65" s="320"/>
      <c r="P65" s="322">
        <v>44075</v>
      </c>
      <c r="Q65" s="322"/>
      <c r="R65" s="322"/>
      <c r="S65" s="322"/>
      <c r="T65" s="323"/>
      <c r="U65" s="324"/>
    </row>
    <row r="66" spans="1:21" ht="20" customHeight="1" x14ac:dyDescent="0.15">
      <c r="A66" s="284" t="s">
        <v>5962</v>
      </c>
      <c r="B66" s="315" t="s">
        <v>9108</v>
      </c>
      <c r="C66" s="315" t="s">
        <v>9109</v>
      </c>
      <c r="D66" s="315" t="s">
        <v>2261</v>
      </c>
      <c r="E66" s="315"/>
      <c r="F66" s="315"/>
      <c r="G66" s="317">
        <v>24158</v>
      </c>
      <c r="H66" s="318" t="s">
        <v>164</v>
      </c>
      <c r="I66" s="318"/>
      <c r="J66" s="318" t="s">
        <v>1640</v>
      </c>
      <c r="K66" s="319" t="s">
        <v>1660</v>
      </c>
      <c r="L66" s="319"/>
      <c r="M66" s="320"/>
      <c r="N66" s="321" t="s">
        <v>1883</v>
      </c>
      <c r="O66" s="320"/>
      <c r="P66" s="322">
        <v>36039</v>
      </c>
      <c r="Q66" s="322"/>
      <c r="R66" s="322"/>
      <c r="S66" s="322"/>
      <c r="T66" s="323"/>
      <c r="U66" s="324"/>
    </row>
    <row r="67" spans="1:21" ht="20" customHeight="1" x14ac:dyDescent="0.15">
      <c r="A67" s="284" t="s">
        <v>5963</v>
      </c>
      <c r="B67" s="315" t="s">
        <v>9181</v>
      </c>
      <c r="C67" s="315" t="s">
        <v>9182</v>
      </c>
      <c r="D67" s="315" t="s">
        <v>2260</v>
      </c>
      <c r="E67" s="315"/>
      <c r="F67" s="315"/>
      <c r="G67" s="317">
        <v>26673</v>
      </c>
      <c r="H67" s="318" t="s">
        <v>211</v>
      </c>
      <c r="I67" s="318"/>
      <c r="J67" s="318" t="s">
        <v>1643</v>
      </c>
      <c r="K67" s="319" t="s">
        <v>1706</v>
      </c>
      <c r="L67" s="319"/>
      <c r="M67" s="320"/>
      <c r="N67" s="321"/>
      <c r="O67" s="320"/>
      <c r="P67" s="326"/>
      <c r="Q67" s="322"/>
      <c r="R67" s="322"/>
      <c r="S67" s="322"/>
      <c r="T67" s="323"/>
      <c r="U67" s="324"/>
    </row>
    <row r="68" spans="1:21" ht="20" customHeight="1" x14ac:dyDescent="0.15">
      <c r="A68" s="284" t="s">
        <v>5964</v>
      </c>
      <c r="B68" s="315" t="s">
        <v>9110</v>
      </c>
      <c r="C68" s="315" t="s">
        <v>9111</v>
      </c>
      <c r="D68" s="315" t="s">
        <v>2261</v>
      </c>
      <c r="E68" s="315"/>
      <c r="F68" s="315"/>
      <c r="G68" s="317">
        <v>31556</v>
      </c>
      <c r="H68" s="318" t="s">
        <v>164</v>
      </c>
      <c r="I68" s="318"/>
      <c r="J68" s="318" t="s">
        <v>1644</v>
      </c>
      <c r="K68" s="319" t="s">
        <v>1756</v>
      </c>
      <c r="L68" s="319" t="s">
        <v>2605</v>
      </c>
      <c r="M68" s="320"/>
      <c r="N68" s="321"/>
      <c r="O68" s="320"/>
      <c r="P68" s="322">
        <v>41183</v>
      </c>
      <c r="Q68" s="322"/>
      <c r="R68" s="322"/>
      <c r="S68" s="322"/>
      <c r="T68" s="323"/>
      <c r="U68" s="324"/>
    </row>
    <row r="69" spans="1:21" ht="20" customHeight="1" x14ac:dyDescent="0.15">
      <c r="A69" s="284" t="s">
        <v>5965</v>
      </c>
      <c r="B69" s="315" t="s">
        <v>9112</v>
      </c>
      <c r="C69" s="315" t="s">
        <v>9113</v>
      </c>
      <c r="D69" s="315" t="s">
        <v>2260</v>
      </c>
      <c r="E69" s="315"/>
      <c r="F69" s="315"/>
      <c r="G69" s="317">
        <v>35248</v>
      </c>
      <c r="H69" s="318" t="s">
        <v>164</v>
      </c>
      <c r="I69" s="318"/>
      <c r="J69" s="318" t="s">
        <v>1645</v>
      </c>
      <c r="K69" s="319" t="s">
        <v>1788</v>
      </c>
      <c r="L69" s="319" t="s">
        <v>2600</v>
      </c>
      <c r="M69" s="320"/>
      <c r="N69" s="321"/>
      <c r="O69" s="320"/>
      <c r="P69" s="322">
        <v>43770</v>
      </c>
      <c r="Q69" s="322"/>
      <c r="R69" s="322"/>
      <c r="S69" s="322"/>
      <c r="T69" s="323"/>
      <c r="U69" s="324"/>
    </row>
    <row r="70" spans="1:21" ht="20" customHeight="1" x14ac:dyDescent="0.15">
      <c r="A70" s="284" t="s">
        <v>5966</v>
      </c>
      <c r="B70" s="315" t="s">
        <v>9114</v>
      </c>
      <c r="C70" s="315" t="s">
        <v>9115</v>
      </c>
      <c r="D70" s="315" t="s">
        <v>2260</v>
      </c>
      <c r="E70" s="315" t="s">
        <v>1857</v>
      </c>
      <c r="F70" s="315"/>
      <c r="G70" s="317">
        <v>27683</v>
      </c>
      <c r="H70" s="318" t="s">
        <v>164</v>
      </c>
      <c r="I70" s="318"/>
      <c r="J70" s="318" t="s">
        <v>1640</v>
      </c>
      <c r="K70" s="319" t="s">
        <v>1647</v>
      </c>
      <c r="L70" s="319"/>
      <c r="M70" s="320"/>
      <c r="N70" s="321" t="s">
        <v>1883</v>
      </c>
      <c r="O70" s="320" t="s">
        <v>55</v>
      </c>
      <c r="P70" s="322">
        <v>40422</v>
      </c>
      <c r="Q70" s="322"/>
      <c r="R70" s="322"/>
      <c r="S70" s="322"/>
      <c r="T70" s="323"/>
      <c r="U70" s="324"/>
    </row>
    <row r="71" spans="1:21" ht="20" customHeight="1" x14ac:dyDescent="0.15">
      <c r="A71" s="284" t="s">
        <v>5967</v>
      </c>
      <c r="B71" s="315" t="s">
        <v>9116</v>
      </c>
      <c r="C71" s="315" t="s">
        <v>9117</v>
      </c>
      <c r="D71" s="315" t="s">
        <v>2261</v>
      </c>
      <c r="E71" s="315"/>
      <c r="F71" s="315"/>
      <c r="G71" s="317">
        <v>25727</v>
      </c>
      <c r="H71" s="318" t="s">
        <v>164</v>
      </c>
      <c r="I71" s="318"/>
      <c r="J71" s="318" t="s">
        <v>1640</v>
      </c>
      <c r="K71" s="319" t="s">
        <v>1647</v>
      </c>
      <c r="L71" s="319"/>
      <c r="M71" s="320"/>
      <c r="N71" s="321" t="s">
        <v>1882</v>
      </c>
      <c r="O71" s="320"/>
      <c r="P71" s="322">
        <v>36404</v>
      </c>
      <c r="Q71" s="322"/>
      <c r="R71" s="322"/>
      <c r="S71" s="322"/>
      <c r="T71" s="323"/>
      <c r="U71" s="324"/>
    </row>
    <row r="72" spans="1:21" ht="20" customHeight="1" x14ac:dyDescent="0.15">
      <c r="A72" s="284" t="s">
        <v>5968</v>
      </c>
      <c r="B72" s="315" t="s">
        <v>9118</v>
      </c>
      <c r="C72" s="315" t="s">
        <v>4225</v>
      </c>
      <c r="D72" s="315" t="s">
        <v>2260</v>
      </c>
      <c r="E72" s="315"/>
      <c r="F72" s="315"/>
      <c r="G72" s="317">
        <v>25880</v>
      </c>
      <c r="H72" s="318" t="s">
        <v>164</v>
      </c>
      <c r="I72" s="318"/>
      <c r="J72" s="318" t="s">
        <v>1642</v>
      </c>
      <c r="K72" s="319" t="s">
        <v>1685</v>
      </c>
      <c r="L72" s="319"/>
      <c r="M72" s="320"/>
      <c r="N72" s="321" t="s">
        <v>1883</v>
      </c>
      <c r="O72" s="320"/>
      <c r="P72" s="322">
        <v>40909</v>
      </c>
      <c r="Q72" s="322"/>
      <c r="R72" s="322"/>
      <c r="S72" s="322"/>
      <c r="T72" s="323"/>
      <c r="U72" s="324"/>
    </row>
    <row r="73" spans="1:21" ht="20" customHeight="1" x14ac:dyDescent="0.15">
      <c r="A73" s="284" t="s">
        <v>5969</v>
      </c>
      <c r="B73" s="315" t="s">
        <v>9119</v>
      </c>
      <c r="C73" s="315" t="s">
        <v>9120</v>
      </c>
      <c r="D73" s="315" t="s">
        <v>2261</v>
      </c>
      <c r="E73" s="315"/>
      <c r="F73" s="315"/>
      <c r="G73" s="317">
        <v>28542</v>
      </c>
      <c r="H73" s="318" t="s">
        <v>164</v>
      </c>
      <c r="I73" s="318"/>
      <c r="J73" s="318" t="s">
        <v>1644</v>
      </c>
      <c r="K73" s="319" t="s">
        <v>2255</v>
      </c>
      <c r="L73" s="319" t="s">
        <v>2605</v>
      </c>
      <c r="M73" s="320"/>
      <c r="N73" s="321"/>
      <c r="O73" s="320"/>
      <c r="P73" s="322">
        <v>43101</v>
      </c>
      <c r="Q73" s="322"/>
      <c r="R73" s="322"/>
      <c r="S73" s="322"/>
      <c r="T73" s="325">
        <v>44287</v>
      </c>
      <c r="U73" s="324"/>
    </row>
    <row r="74" spans="1:21" ht="20" customHeight="1" x14ac:dyDescent="0.15">
      <c r="A74" s="284" t="s">
        <v>5970</v>
      </c>
      <c r="B74" s="315" t="s">
        <v>9121</v>
      </c>
      <c r="C74" s="315" t="s">
        <v>9122</v>
      </c>
      <c r="D74" s="315" t="s">
        <v>2260</v>
      </c>
      <c r="E74" s="315"/>
      <c r="F74" s="315"/>
      <c r="G74" s="317">
        <v>26299</v>
      </c>
      <c r="H74" s="318" t="s">
        <v>164</v>
      </c>
      <c r="I74" s="318"/>
      <c r="J74" s="318" t="s">
        <v>1640</v>
      </c>
      <c r="K74" s="319"/>
      <c r="L74" s="319"/>
      <c r="M74" s="320"/>
      <c r="N74" s="321" t="s">
        <v>1882</v>
      </c>
      <c r="O74" s="320"/>
      <c r="P74" s="322">
        <v>42887</v>
      </c>
      <c r="Q74" s="322"/>
      <c r="R74" s="322"/>
      <c r="S74" s="322"/>
      <c r="T74" s="325">
        <v>42917</v>
      </c>
      <c r="U74" s="324"/>
    </row>
    <row r="75" spans="1:21" ht="20" customHeight="1" x14ac:dyDescent="0.15">
      <c r="A75" s="284" t="s">
        <v>5971</v>
      </c>
      <c r="B75" s="314" t="s">
        <v>9160</v>
      </c>
      <c r="C75" s="315" t="s">
        <v>9174</v>
      </c>
      <c r="D75" s="315" t="s">
        <v>2260</v>
      </c>
      <c r="E75" s="315"/>
      <c r="F75" s="315"/>
      <c r="G75" s="317">
        <v>32244</v>
      </c>
      <c r="H75" s="318" t="s">
        <v>164</v>
      </c>
      <c r="I75" s="318"/>
      <c r="J75" s="318" t="s">
        <v>1643</v>
      </c>
      <c r="K75" s="319"/>
      <c r="L75" s="319"/>
      <c r="M75" s="320"/>
      <c r="N75" s="321"/>
      <c r="O75" s="320"/>
      <c r="P75" s="326"/>
      <c r="Q75" s="322"/>
      <c r="R75" s="322"/>
      <c r="S75" s="322"/>
      <c r="T75" s="323"/>
      <c r="U75" s="324"/>
    </row>
    <row r="76" spans="1:21" ht="20" customHeight="1" x14ac:dyDescent="0.15">
      <c r="A76" s="284" t="s">
        <v>5972</v>
      </c>
      <c r="B76" s="315" t="s">
        <v>9123</v>
      </c>
      <c r="C76" s="315" t="s">
        <v>9124</v>
      </c>
      <c r="D76" s="315" t="s">
        <v>2260</v>
      </c>
      <c r="E76" s="315"/>
      <c r="F76" s="315"/>
      <c r="G76" s="317">
        <v>24895</v>
      </c>
      <c r="H76" s="318" t="s">
        <v>164</v>
      </c>
      <c r="I76" s="318"/>
      <c r="J76" s="318" t="s">
        <v>1640</v>
      </c>
      <c r="K76" s="319" t="s">
        <v>1660</v>
      </c>
      <c r="L76" s="319"/>
      <c r="M76" s="320"/>
      <c r="N76" s="321" t="s">
        <v>1883</v>
      </c>
      <c r="O76" s="320"/>
      <c r="P76" s="322">
        <v>39326</v>
      </c>
      <c r="Q76" s="322"/>
      <c r="R76" s="322"/>
      <c r="S76" s="322"/>
      <c r="T76" s="323"/>
      <c r="U76" s="324"/>
    </row>
    <row r="77" spans="1:21" ht="20" customHeight="1" x14ac:dyDescent="0.15">
      <c r="A77" s="284" t="s">
        <v>5973</v>
      </c>
      <c r="B77" s="315" t="s">
        <v>9125</v>
      </c>
      <c r="C77" s="315" t="s">
        <v>9126</v>
      </c>
      <c r="D77" s="315" t="s">
        <v>2261</v>
      </c>
      <c r="E77" s="315"/>
      <c r="F77" s="315"/>
      <c r="G77" s="317">
        <v>23520</v>
      </c>
      <c r="H77" s="318" t="s">
        <v>164</v>
      </c>
      <c r="I77" s="318"/>
      <c r="J77" s="318" t="s">
        <v>1640</v>
      </c>
      <c r="K77" s="319" t="s">
        <v>1660</v>
      </c>
      <c r="L77" s="319"/>
      <c r="M77" s="320"/>
      <c r="N77" s="321" t="s">
        <v>1871</v>
      </c>
      <c r="O77" s="320"/>
      <c r="P77" s="322">
        <v>34943</v>
      </c>
      <c r="Q77" s="322"/>
      <c r="R77" s="322"/>
      <c r="S77" s="322"/>
      <c r="T77" s="323"/>
      <c r="U77" s="324"/>
    </row>
    <row r="78" spans="1:21" ht="20" customHeight="1" x14ac:dyDescent="0.15">
      <c r="A78" s="284" t="s">
        <v>5974</v>
      </c>
      <c r="B78" s="315" t="s">
        <v>9127</v>
      </c>
      <c r="C78" s="315" t="s">
        <v>9128</v>
      </c>
      <c r="D78" s="315" t="s">
        <v>2260</v>
      </c>
      <c r="E78" s="315"/>
      <c r="F78" s="315"/>
      <c r="G78" s="317">
        <v>32293</v>
      </c>
      <c r="H78" s="318" t="s">
        <v>164</v>
      </c>
      <c r="I78" s="318"/>
      <c r="J78" s="318" t="s">
        <v>1645</v>
      </c>
      <c r="K78" s="319" t="s">
        <v>1792</v>
      </c>
      <c r="L78" s="319" t="s">
        <v>2605</v>
      </c>
      <c r="M78" s="320"/>
      <c r="N78" s="321"/>
      <c r="O78" s="320"/>
      <c r="P78" s="322">
        <v>42036</v>
      </c>
      <c r="Q78" s="322"/>
      <c r="R78" s="322"/>
      <c r="S78" s="322"/>
      <c r="T78" s="325">
        <v>42979</v>
      </c>
      <c r="U78" s="324"/>
    </row>
    <row r="79" spans="1:21" ht="20" customHeight="1" x14ac:dyDescent="0.15">
      <c r="A79" s="284" t="s">
        <v>5975</v>
      </c>
      <c r="B79" s="315" t="s">
        <v>9129</v>
      </c>
      <c r="C79" s="315" t="s">
        <v>9130</v>
      </c>
      <c r="D79" s="315" t="s">
        <v>2261</v>
      </c>
      <c r="E79" s="315"/>
      <c r="F79" s="315"/>
      <c r="G79" s="317">
        <v>35502</v>
      </c>
      <c r="H79" s="318" t="s">
        <v>164</v>
      </c>
      <c r="I79" s="318"/>
      <c r="J79" s="318" t="s">
        <v>1645</v>
      </c>
      <c r="K79" s="319" t="s">
        <v>2254</v>
      </c>
      <c r="L79" s="319"/>
      <c r="M79" s="320"/>
      <c r="N79" s="321"/>
      <c r="O79" s="320"/>
      <c r="P79" s="326"/>
      <c r="Q79" s="322"/>
      <c r="R79" s="322"/>
      <c r="S79" s="322"/>
      <c r="T79" s="323"/>
      <c r="U79" s="324"/>
    </row>
    <row r="80" spans="1:21" ht="20" customHeight="1" x14ac:dyDescent="0.15">
      <c r="A80" s="284" t="s">
        <v>5976</v>
      </c>
      <c r="B80" s="315" t="s">
        <v>9131</v>
      </c>
      <c r="C80" s="315" t="s">
        <v>9132</v>
      </c>
      <c r="D80" s="315" t="s">
        <v>2261</v>
      </c>
      <c r="E80" s="315"/>
      <c r="F80" s="315"/>
      <c r="G80" s="317">
        <v>31399</v>
      </c>
      <c r="H80" s="318" t="s">
        <v>164</v>
      </c>
      <c r="I80" s="318"/>
      <c r="J80" s="318" t="s">
        <v>1643</v>
      </c>
      <c r="K80" s="319" t="s">
        <v>1704</v>
      </c>
      <c r="L80" s="319"/>
      <c r="M80" s="320"/>
      <c r="N80" s="321" t="s">
        <v>1882</v>
      </c>
      <c r="O80" s="320"/>
      <c r="P80" s="326">
        <v>43739</v>
      </c>
      <c r="Q80" s="322"/>
      <c r="R80" s="322"/>
      <c r="S80" s="322"/>
      <c r="T80" s="323"/>
      <c r="U80" s="324"/>
    </row>
    <row r="81" spans="1:21" ht="20" customHeight="1" x14ac:dyDescent="0.15">
      <c r="A81" s="284" t="s">
        <v>5977</v>
      </c>
      <c r="B81" s="315" t="s">
        <v>9179</v>
      </c>
      <c r="C81" s="315" t="s">
        <v>9180</v>
      </c>
      <c r="D81" s="315" t="s">
        <v>2260</v>
      </c>
      <c r="E81" s="315"/>
      <c r="F81" s="315"/>
      <c r="G81" s="317">
        <v>31099</v>
      </c>
      <c r="H81" s="318" t="s">
        <v>210</v>
      </c>
      <c r="I81" s="318"/>
      <c r="J81" s="318" t="s">
        <v>1643</v>
      </c>
      <c r="K81" s="319" t="s">
        <v>1706</v>
      </c>
      <c r="L81" s="319"/>
      <c r="M81" s="320"/>
      <c r="N81" s="321"/>
      <c r="O81" s="320"/>
      <c r="P81" s="326"/>
      <c r="Q81" s="322"/>
      <c r="R81" s="322"/>
      <c r="S81" s="322"/>
      <c r="T81" s="323"/>
      <c r="U81" s="324"/>
    </row>
    <row r="82" spans="1:21" ht="20" customHeight="1" x14ac:dyDescent="0.15">
      <c r="A82" s="284" t="s">
        <v>5978</v>
      </c>
      <c r="B82" s="315" t="s">
        <v>9133</v>
      </c>
      <c r="C82" s="315" t="s">
        <v>9134</v>
      </c>
      <c r="D82" s="315" t="s">
        <v>2261</v>
      </c>
      <c r="E82" s="315"/>
      <c r="F82" s="315"/>
      <c r="G82" s="317">
        <v>22177</v>
      </c>
      <c r="H82" s="318" t="s">
        <v>164</v>
      </c>
      <c r="I82" s="318"/>
      <c r="J82" s="318" t="s">
        <v>1640</v>
      </c>
      <c r="K82" s="319" t="s">
        <v>1660</v>
      </c>
      <c r="L82" s="319"/>
      <c r="M82" s="320"/>
      <c r="N82" s="321" t="s">
        <v>1871</v>
      </c>
      <c r="O82" s="320"/>
      <c r="P82" s="325">
        <v>43101</v>
      </c>
      <c r="Q82" s="322"/>
      <c r="R82" s="322"/>
      <c r="S82" s="322"/>
      <c r="T82" s="323"/>
      <c r="U82" s="324"/>
    </row>
    <row r="83" spans="1:21" ht="20" customHeight="1" x14ac:dyDescent="0.15">
      <c r="A83" s="284" t="s">
        <v>5979</v>
      </c>
      <c r="B83" s="315" t="s">
        <v>9135</v>
      </c>
      <c r="C83" s="315" t="s">
        <v>9136</v>
      </c>
      <c r="D83" s="315" t="s">
        <v>2260</v>
      </c>
      <c r="E83" s="315"/>
      <c r="F83" s="315"/>
      <c r="G83" s="317">
        <v>20270</v>
      </c>
      <c r="H83" s="318" t="s">
        <v>164</v>
      </c>
      <c r="I83" s="318"/>
      <c r="J83" s="318" t="s">
        <v>1640</v>
      </c>
      <c r="K83" s="319" t="s">
        <v>1647</v>
      </c>
      <c r="L83" s="319"/>
      <c r="M83" s="320"/>
      <c r="N83" s="321" t="s">
        <v>1882</v>
      </c>
      <c r="O83" s="320"/>
      <c r="P83" s="322">
        <v>36039</v>
      </c>
      <c r="Q83" s="322"/>
      <c r="R83" s="322"/>
      <c r="S83" s="322"/>
      <c r="T83" s="325">
        <v>43586</v>
      </c>
      <c r="U83" s="324"/>
    </row>
    <row r="84" spans="1:21" ht="20" customHeight="1" x14ac:dyDescent="0.15">
      <c r="A84" s="284" t="s">
        <v>5980</v>
      </c>
      <c r="B84" s="315" t="s">
        <v>9270</v>
      </c>
      <c r="C84" s="315" t="s">
        <v>9271</v>
      </c>
      <c r="D84" s="315" t="s">
        <v>2260</v>
      </c>
      <c r="E84" s="315"/>
      <c r="F84" s="315"/>
      <c r="G84" s="317"/>
      <c r="H84" s="318"/>
      <c r="I84" s="318"/>
      <c r="J84" s="318" t="s">
        <v>1644</v>
      </c>
      <c r="K84" s="319" t="s">
        <v>1738</v>
      </c>
      <c r="L84" s="319" t="s">
        <v>2602</v>
      </c>
      <c r="M84" s="320"/>
      <c r="N84" s="321"/>
      <c r="O84" s="320"/>
      <c r="P84" s="322"/>
      <c r="Q84" s="322"/>
      <c r="R84" s="322"/>
      <c r="S84" s="322"/>
      <c r="T84" s="325"/>
      <c r="U84" s="324"/>
    </row>
    <row r="85" spans="1:21" ht="20" customHeight="1" x14ac:dyDescent="0.15">
      <c r="A85" s="284" t="s">
        <v>5981</v>
      </c>
      <c r="B85" s="315" t="s">
        <v>9137</v>
      </c>
      <c r="C85" s="315" t="s">
        <v>9138</v>
      </c>
      <c r="D85" s="315" t="s">
        <v>2260</v>
      </c>
      <c r="E85" s="315"/>
      <c r="F85" s="315"/>
      <c r="G85" s="317">
        <v>27548</v>
      </c>
      <c r="H85" s="318" t="s">
        <v>164</v>
      </c>
      <c r="I85" s="318"/>
      <c r="J85" s="318" t="s">
        <v>1643</v>
      </c>
      <c r="K85" s="319" t="s">
        <v>1708</v>
      </c>
      <c r="L85" s="319"/>
      <c r="M85" s="320"/>
      <c r="N85" s="321"/>
      <c r="O85" s="320"/>
      <c r="P85" s="322">
        <v>43556</v>
      </c>
      <c r="Q85" s="322"/>
      <c r="R85" s="322"/>
      <c r="S85" s="322"/>
      <c r="T85" s="325"/>
      <c r="U85" s="324"/>
    </row>
    <row r="86" spans="1:21" ht="20" customHeight="1" x14ac:dyDescent="0.15">
      <c r="A86" s="284" t="s">
        <v>5982</v>
      </c>
      <c r="B86" s="315" t="s">
        <v>9139</v>
      </c>
      <c r="C86" s="315" t="s">
        <v>9140</v>
      </c>
      <c r="D86" s="315" t="s">
        <v>2260</v>
      </c>
      <c r="E86" s="315"/>
      <c r="F86" s="315"/>
      <c r="G86" s="317">
        <v>32346</v>
      </c>
      <c r="H86" s="318" t="s">
        <v>164</v>
      </c>
      <c r="I86" s="318"/>
      <c r="J86" s="318" t="s">
        <v>1643</v>
      </c>
      <c r="K86" s="319" t="s">
        <v>1708</v>
      </c>
      <c r="L86" s="319"/>
      <c r="M86" s="320"/>
      <c r="N86" s="321" t="s">
        <v>1882</v>
      </c>
      <c r="O86" s="320"/>
      <c r="P86" s="322">
        <v>42430</v>
      </c>
      <c r="Q86" s="322"/>
      <c r="R86" s="322"/>
      <c r="S86" s="322"/>
      <c r="T86" s="325">
        <v>42644</v>
      </c>
      <c r="U86" s="324"/>
    </row>
    <row r="87" spans="1:21" ht="20" customHeight="1" x14ac:dyDescent="0.15">
      <c r="A87" s="284" t="s">
        <v>5983</v>
      </c>
      <c r="B87" s="315" t="s">
        <v>9141</v>
      </c>
      <c r="C87" s="315" t="s">
        <v>9142</v>
      </c>
      <c r="D87" s="315" t="s">
        <v>2260</v>
      </c>
      <c r="E87" s="315"/>
      <c r="F87" s="315"/>
      <c r="G87" s="317">
        <v>24572</v>
      </c>
      <c r="H87" s="318" t="s">
        <v>164</v>
      </c>
      <c r="I87" s="318"/>
      <c r="J87" s="318" t="s">
        <v>1643</v>
      </c>
      <c r="K87" s="319" t="s">
        <v>1708</v>
      </c>
      <c r="L87" s="319"/>
      <c r="M87" s="320"/>
      <c r="N87" s="321"/>
      <c r="O87" s="320"/>
      <c r="P87" s="322">
        <v>43101</v>
      </c>
      <c r="Q87" s="322"/>
      <c r="R87" s="322"/>
      <c r="S87" s="322"/>
      <c r="T87" s="325">
        <v>43160</v>
      </c>
      <c r="U87" s="324"/>
    </row>
    <row r="88" spans="1:21" ht="20" customHeight="1" x14ac:dyDescent="0.15">
      <c r="A88" s="284" t="s">
        <v>5984</v>
      </c>
      <c r="B88" s="315"/>
      <c r="C88" s="315"/>
      <c r="D88" s="315"/>
      <c r="E88" s="315"/>
      <c r="F88" s="315"/>
      <c r="G88" s="317"/>
      <c r="H88" s="318"/>
      <c r="I88" s="318"/>
      <c r="J88" s="318"/>
      <c r="K88" s="319"/>
      <c r="L88" s="319"/>
      <c r="M88" s="320"/>
      <c r="N88" s="321"/>
      <c r="O88" s="320"/>
      <c r="P88" s="326"/>
      <c r="Q88" s="322"/>
      <c r="R88" s="322"/>
      <c r="S88" s="322"/>
      <c r="T88" s="323"/>
      <c r="U88" s="324"/>
    </row>
    <row r="89" spans="1:21" ht="20" customHeight="1" x14ac:dyDescent="0.15">
      <c r="A89" s="284" t="s">
        <v>5985</v>
      </c>
      <c r="B89" s="157"/>
      <c r="C89" s="157"/>
      <c r="D89" s="157"/>
      <c r="E89" s="157"/>
      <c r="F89" s="157"/>
      <c r="G89" s="3"/>
      <c r="H89" s="156"/>
      <c r="I89" s="156"/>
      <c r="J89" s="156"/>
      <c r="K89" s="165"/>
      <c r="L89" s="165"/>
      <c r="M89" s="1"/>
      <c r="N89" s="164"/>
      <c r="O89" s="1"/>
      <c r="P89" s="153"/>
      <c r="Q89" s="39"/>
      <c r="R89" s="39"/>
      <c r="S89" s="39"/>
      <c r="T89" s="154"/>
      <c r="U89" s="40"/>
    </row>
    <row r="90" spans="1:21" ht="20" customHeight="1" x14ac:dyDescent="0.15">
      <c r="A90" s="284" t="s">
        <v>5986</v>
      </c>
      <c r="B90" s="157"/>
      <c r="C90" s="157"/>
      <c r="D90" s="157"/>
      <c r="E90" s="157"/>
      <c r="F90" s="157"/>
      <c r="G90" s="3"/>
      <c r="H90" s="156"/>
      <c r="I90" s="156"/>
      <c r="J90" s="156"/>
      <c r="K90" s="165"/>
      <c r="L90" s="165"/>
      <c r="M90" s="1"/>
      <c r="N90" s="164"/>
      <c r="O90" s="1"/>
      <c r="P90" s="153"/>
      <c r="Q90" s="39"/>
      <c r="R90" s="39"/>
      <c r="S90" s="39"/>
      <c r="T90" s="154"/>
      <c r="U90" s="40"/>
    </row>
    <row r="91" spans="1:21" ht="20" customHeight="1" x14ac:dyDescent="0.15">
      <c r="A91" s="284" t="s">
        <v>5987</v>
      </c>
      <c r="B91" s="157"/>
      <c r="C91" s="157"/>
      <c r="D91" s="157"/>
      <c r="E91" s="157"/>
      <c r="F91" s="157"/>
      <c r="G91" s="3"/>
      <c r="H91" s="156"/>
      <c r="I91" s="156"/>
      <c r="J91" s="156"/>
      <c r="K91" s="165"/>
      <c r="L91" s="165"/>
      <c r="M91" s="1"/>
      <c r="N91" s="164"/>
      <c r="O91" s="1"/>
      <c r="P91" s="153"/>
      <c r="Q91" s="39"/>
      <c r="R91" s="39"/>
      <c r="S91" s="39"/>
      <c r="T91" s="154"/>
      <c r="U91" s="40"/>
    </row>
    <row r="92" spans="1:21" ht="20" customHeight="1" x14ac:dyDescent="0.15">
      <c r="A92" s="284" t="s">
        <v>5988</v>
      </c>
      <c r="B92" s="157"/>
      <c r="C92" s="157"/>
      <c r="D92" s="157"/>
      <c r="E92" s="157"/>
      <c r="F92" s="157"/>
      <c r="G92" s="3"/>
      <c r="H92" s="156"/>
      <c r="I92" s="156"/>
      <c r="J92" s="156"/>
      <c r="K92" s="165"/>
      <c r="L92" s="165"/>
      <c r="M92" s="1"/>
      <c r="N92" s="164"/>
      <c r="O92" s="1"/>
      <c r="P92" s="153"/>
      <c r="Q92" s="39"/>
      <c r="R92" s="39"/>
      <c r="S92" s="39"/>
      <c r="T92" s="154"/>
      <c r="U92" s="40"/>
    </row>
    <row r="93" spans="1:21" ht="20" customHeight="1" x14ac:dyDescent="0.15">
      <c r="A93" s="284" t="s">
        <v>5989</v>
      </c>
      <c r="B93" s="157"/>
      <c r="C93" s="157"/>
      <c r="D93" s="157"/>
      <c r="E93" s="157"/>
      <c r="F93" s="157"/>
      <c r="G93" s="3"/>
      <c r="H93" s="156"/>
      <c r="I93" s="156"/>
      <c r="J93" s="156"/>
      <c r="K93" s="165"/>
      <c r="L93" s="165"/>
      <c r="M93" s="1"/>
      <c r="N93" s="164"/>
      <c r="O93" s="1"/>
      <c r="P93" s="153"/>
      <c r="Q93" s="39"/>
      <c r="R93" s="39"/>
      <c r="S93" s="39"/>
      <c r="T93" s="154"/>
      <c r="U93" s="40"/>
    </row>
    <row r="94" spans="1:21" ht="20" customHeight="1" x14ac:dyDescent="0.15">
      <c r="A94" s="284" t="s">
        <v>5990</v>
      </c>
      <c r="B94" s="157"/>
      <c r="C94" s="157"/>
      <c r="D94" s="157"/>
      <c r="E94" s="157"/>
      <c r="F94" s="157"/>
      <c r="G94" s="3"/>
      <c r="H94" s="156"/>
      <c r="I94" s="156"/>
      <c r="J94" s="156"/>
      <c r="K94" s="165"/>
      <c r="L94" s="165"/>
      <c r="M94" s="1"/>
      <c r="N94" s="164"/>
      <c r="O94" s="1"/>
      <c r="P94" s="153"/>
      <c r="Q94" s="39"/>
      <c r="R94" s="39"/>
      <c r="S94" s="39"/>
      <c r="T94" s="154"/>
      <c r="U94" s="40"/>
    </row>
    <row r="95" spans="1:21" ht="20" customHeight="1" x14ac:dyDescent="0.15">
      <c r="A95" s="284" t="s">
        <v>5991</v>
      </c>
      <c r="B95" s="157"/>
      <c r="C95" s="157"/>
      <c r="D95" s="157"/>
      <c r="E95" s="157"/>
      <c r="F95" s="157"/>
      <c r="G95" s="3"/>
      <c r="H95" s="156"/>
      <c r="I95" s="156"/>
      <c r="J95" s="156"/>
      <c r="K95" s="165"/>
      <c r="L95" s="165"/>
      <c r="M95" s="1"/>
      <c r="N95" s="164"/>
      <c r="O95" s="1"/>
      <c r="P95" s="153"/>
      <c r="Q95" s="39"/>
      <c r="R95" s="39"/>
      <c r="S95" s="39"/>
      <c r="T95" s="154"/>
      <c r="U95" s="40"/>
    </row>
    <row r="96" spans="1:21" ht="20" customHeight="1" x14ac:dyDescent="0.15">
      <c r="A96" s="284" t="s">
        <v>5992</v>
      </c>
      <c r="B96" s="157"/>
      <c r="C96" s="157"/>
      <c r="D96" s="157"/>
      <c r="E96" s="157"/>
      <c r="F96" s="157"/>
      <c r="G96" s="3"/>
      <c r="H96" s="156"/>
      <c r="I96" s="156"/>
      <c r="J96" s="156"/>
      <c r="K96" s="165"/>
      <c r="L96" s="165"/>
      <c r="M96" s="1"/>
      <c r="N96" s="164"/>
      <c r="O96" s="1"/>
      <c r="P96" s="153"/>
      <c r="Q96" s="39"/>
      <c r="R96" s="39"/>
      <c r="S96" s="39"/>
      <c r="T96" s="154"/>
      <c r="U96" s="40"/>
    </row>
    <row r="97" spans="1:21" ht="20" customHeight="1" x14ac:dyDescent="0.15">
      <c r="A97" s="284" t="s">
        <v>5993</v>
      </c>
      <c r="B97" s="157"/>
      <c r="C97" s="157"/>
      <c r="D97" s="157"/>
      <c r="E97" s="157"/>
      <c r="F97" s="157"/>
      <c r="G97" s="3"/>
      <c r="H97" s="156"/>
      <c r="I97" s="156"/>
      <c r="J97" s="156"/>
      <c r="K97" s="165"/>
      <c r="L97" s="165"/>
      <c r="M97" s="1"/>
      <c r="N97" s="164"/>
      <c r="O97" s="1"/>
      <c r="P97" s="153"/>
      <c r="Q97" s="39"/>
      <c r="R97" s="39"/>
      <c r="S97" s="39"/>
      <c r="T97" s="154"/>
      <c r="U97" s="40"/>
    </row>
    <row r="98" spans="1:21" ht="20" customHeight="1" x14ac:dyDescent="0.15">
      <c r="A98" s="284" t="s">
        <v>5994</v>
      </c>
      <c r="B98" s="157"/>
      <c r="C98" s="157"/>
      <c r="D98" s="157"/>
      <c r="E98" s="157"/>
      <c r="F98" s="157"/>
      <c r="G98" s="3"/>
      <c r="H98" s="156"/>
      <c r="I98" s="156"/>
      <c r="J98" s="156"/>
      <c r="K98" s="165"/>
      <c r="L98" s="165"/>
      <c r="M98" s="1"/>
      <c r="N98" s="164"/>
      <c r="O98" s="1"/>
      <c r="P98" s="153"/>
      <c r="Q98" s="39"/>
      <c r="R98" s="39"/>
      <c r="S98" s="39"/>
      <c r="T98" s="154"/>
      <c r="U98" s="40"/>
    </row>
    <row r="99" spans="1:21" ht="20" customHeight="1" x14ac:dyDescent="0.15">
      <c r="A99" s="284" t="s">
        <v>5995</v>
      </c>
      <c r="B99" s="157"/>
      <c r="C99" s="157"/>
      <c r="D99" s="157"/>
      <c r="E99" s="157"/>
      <c r="F99" s="157"/>
      <c r="G99" s="3"/>
      <c r="H99" s="156"/>
      <c r="I99" s="156"/>
      <c r="J99" s="156"/>
      <c r="K99" s="165"/>
      <c r="L99" s="165"/>
      <c r="M99" s="1"/>
      <c r="N99" s="164"/>
      <c r="O99" s="1"/>
      <c r="P99" s="153"/>
      <c r="Q99" s="39"/>
      <c r="R99" s="39"/>
      <c r="S99" s="39"/>
      <c r="T99" s="154"/>
      <c r="U99" s="40"/>
    </row>
    <row r="100" spans="1:21" ht="20" customHeight="1" x14ac:dyDescent="0.15">
      <c r="A100" s="284" t="s">
        <v>5996</v>
      </c>
      <c r="B100" s="157"/>
      <c r="C100" s="157"/>
      <c r="D100" s="157"/>
      <c r="E100" s="157"/>
      <c r="F100" s="157"/>
      <c r="G100" s="3"/>
      <c r="H100" s="156"/>
      <c r="I100" s="156"/>
      <c r="J100" s="156"/>
      <c r="K100" s="165"/>
      <c r="L100" s="165"/>
      <c r="M100" s="1"/>
      <c r="N100" s="164"/>
      <c r="O100" s="1"/>
      <c r="P100" s="153"/>
      <c r="Q100" s="39"/>
      <c r="R100" s="39"/>
      <c r="S100" s="39"/>
      <c r="T100" s="154"/>
      <c r="U100" s="40"/>
    </row>
    <row r="101" spans="1:21" ht="20" customHeight="1" x14ac:dyDescent="0.15">
      <c r="A101" s="284" t="s">
        <v>5997</v>
      </c>
      <c r="B101" s="157"/>
      <c r="C101" s="157"/>
      <c r="D101" s="157"/>
      <c r="E101" s="157"/>
      <c r="F101" s="157"/>
      <c r="G101" s="3"/>
      <c r="H101" s="156"/>
      <c r="I101" s="156"/>
      <c r="J101" s="156"/>
      <c r="K101" s="165"/>
      <c r="L101" s="165"/>
      <c r="M101" s="1"/>
      <c r="N101" s="164"/>
      <c r="O101" s="1"/>
      <c r="P101" s="153"/>
      <c r="Q101" s="39"/>
      <c r="R101" s="39"/>
      <c r="S101" s="39"/>
      <c r="T101" s="154"/>
      <c r="U101" s="40"/>
    </row>
    <row r="102" spans="1:21" ht="20" customHeight="1" x14ac:dyDescent="0.15">
      <c r="A102" s="284" t="s">
        <v>5998</v>
      </c>
      <c r="B102" s="157"/>
      <c r="C102" s="157"/>
      <c r="D102" s="157"/>
      <c r="E102" s="157"/>
      <c r="F102" s="157"/>
      <c r="G102" s="3"/>
      <c r="H102" s="156"/>
      <c r="I102" s="156"/>
      <c r="J102" s="156"/>
      <c r="K102" s="165"/>
      <c r="L102" s="165"/>
      <c r="M102" s="1"/>
      <c r="N102" s="164"/>
      <c r="O102" s="1"/>
      <c r="P102" s="153"/>
      <c r="Q102" s="39"/>
      <c r="R102" s="39"/>
      <c r="S102" s="39"/>
      <c r="T102" s="154"/>
      <c r="U102" s="40"/>
    </row>
    <row r="103" spans="1:21" ht="20" customHeight="1" x14ac:dyDescent="0.15">
      <c r="A103" s="284" t="s">
        <v>5999</v>
      </c>
      <c r="B103" s="157"/>
      <c r="C103" s="157"/>
      <c r="D103" s="157"/>
      <c r="E103" s="157"/>
      <c r="F103" s="157"/>
      <c r="G103" s="3"/>
      <c r="H103" s="156"/>
      <c r="I103" s="156"/>
      <c r="J103" s="156"/>
      <c r="K103" s="165"/>
      <c r="L103" s="165"/>
      <c r="M103" s="1"/>
      <c r="N103" s="164"/>
      <c r="O103" s="1"/>
      <c r="P103" s="153"/>
      <c r="Q103" s="39"/>
      <c r="R103" s="39"/>
      <c r="S103" s="39"/>
      <c r="T103" s="154"/>
      <c r="U103" s="40"/>
    </row>
    <row r="104" spans="1:21" ht="20" customHeight="1" x14ac:dyDescent="0.15">
      <c r="A104" s="284" t="s">
        <v>6000</v>
      </c>
      <c r="B104" s="157"/>
      <c r="C104" s="157"/>
      <c r="D104" s="157"/>
      <c r="E104" s="157"/>
      <c r="F104" s="157"/>
      <c r="G104" s="3"/>
      <c r="H104" s="156"/>
      <c r="I104" s="156"/>
      <c r="J104" s="156"/>
      <c r="K104" s="165"/>
      <c r="L104" s="165"/>
      <c r="M104" s="1"/>
      <c r="N104" s="164"/>
      <c r="O104" s="1"/>
      <c r="P104" s="153"/>
      <c r="Q104" s="39"/>
      <c r="R104" s="39"/>
      <c r="S104" s="39"/>
      <c r="T104" s="154"/>
      <c r="U104" s="40"/>
    </row>
    <row r="105" spans="1:21" ht="20" customHeight="1" x14ac:dyDescent="0.15">
      <c r="A105" s="284" t="s">
        <v>6001</v>
      </c>
      <c r="B105" s="157"/>
      <c r="C105" s="157"/>
      <c r="D105" s="157"/>
      <c r="E105" s="157"/>
      <c r="F105" s="157"/>
      <c r="G105" s="3"/>
      <c r="H105" s="156"/>
      <c r="I105" s="156"/>
      <c r="J105" s="156"/>
      <c r="K105" s="165"/>
      <c r="L105" s="165"/>
      <c r="M105" s="1"/>
      <c r="N105" s="164"/>
      <c r="O105" s="1"/>
      <c r="P105" s="153"/>
      <c r="Q105" s="39"/>
      <c r="R105" s="39"/>
      <c r="S105" s="39"/>
      <c r="T105" s="154"/>
      <c r="U105" s="40"/>
    </row>
    <row r="106" spans="1:21" ht="20" customHeight="1" x14ac:dyDescent="0.15">
      <c r="A106" s="284" t="s">
        <v>6002</v>
      </c>
      <c r="B106" s="157"/>
      <c r="C106" s="157"/>
      <c r="D106" s="157"/>
      <c r="E106" s="157"/>
      <c r="F106" s="157"/>
      <c r="G106" s="3"/>
      <c r="H106" s="156"/>
      <c r="I106" s="156"/>
      <c r="J106" s="156"/>
      <c r="K106" s="165"/>
      <c r="L106" s="165"/>
      <c r="M106" s="1"/>
      <c r="N106" s="164"/>
      <c r="O106" s="1"/>
      <c r="P106" s="153"/>
      <c r="Q106" s="39"/>
      <c r="R106" s="39"/>
      <c r="S106" s="39"/>
      <c r="T106" s="154"/>
      <c r="U106" s="40"/>
    </row>
    <row r="107" spans="1:21" ht="20" customHeight="1" x14ac:dyDescent="0.15">
      <c r="A107" s="284" t="s">
        <v>6003</v>
      </c>
      <c r="B107" s="157"/>
      <c r="C107" s="157"/>
      <c r="D107" s="157"/>
      <c r="E107" s="157"/>
      <c r="F107" s="157"/>
      <c r="G107" s="3"/>
      <c r="H107" s="156"/>
      <c r="I107" s="156"/>
      <c r="J107" s="156"/>
      <c r="K107" s="165"/>
      <c r="L107" s="165"/>
      <c r="M107" s="1"/>
      <c r="N107" s="164"/>
      <c r="O107" s="1"/>
      <c r="P107" s="153"/>
      <c r="Q107" s="39"/>
      <c r="R107" s="39"/>
      <c r="S107" s="39"/>
      <c r="T107" s="154"/>
      <c r="U107" s="40"/>
    </row>
    <row r="108" spans="1:21" ht="20" customHeight="1" x14ac:dyDescent="0.15">
      <c r="A108" s="284" t="s">
        <v>6004</v>
      </c>
      <c r="B108" s="157"/>
      <c r="C108" s="157"/>
      <c r="D108" s="157"/>
      <c r="E108" s="157"/>
      <c r="F108" s="157"/>
      <c r="G108" s="3"/>
      <c r="H108" s="156"/>
      <c r="I108" s="156"/>
      <c r="J108" s="156"/>
      <c r="K108" s="165"/>
      <c r="L108" s="165"/>
      <c r="M108" s="1"/>
      <c r="N108" s="164"/>
      <c r="O108" s="1"/>
      <c r="P108" s="153"/>
      <c r="Q108" s="39"/>
      <c r="R108" s="39"/>
      <c r="S108" s="39"/>
      <c r="T108" s="154"/>
      <c r="U108" s="40"/>
    </row>
    <row r="109" spans="1:21" ht="20" customHeight="1" x14ac:dyDescent="0.15">
      <c r="A109" s="284" t="s">
        <v>6005</v>
      </c>
      <c r="B109" s="157"/>
      <c r="C109" s="157"/>
      <c r="D109" s="157"/>
      <c r="E109" s="157"/>
      <c r="F109" s="157"/>
      <c r="G109" s="3"/>
      <c r="H109" s="156"/>
      <c r="I109" s="156"/>
      <c r="J109" s="156"/>
      <c r="K109" s="165"/>
      <c r="L109" s="165"/>
      <c r="M109" s="1"/>
      <c r="N109" s="164"/>
      <c r="O109" s="1"/>
      <c r="P109" s="153"/>
      <c r="Q109" s="39"/>
      <c r="R109" s="39"/>
      <c r="S109" s="39"/>
      <c r="T109" s="154"/>
      <c r="U109" s="40"/>
    </row>
    <row r="110" spans="1:21" ht="20" customHeight="1" x14ac:dyDescent="0.15">
      <c r="A110" s="284" t="s">
        <v>6006</v>
      </c>
      <c r="B110" s="157"/>
      <c r="C110" s="157"/>
      <c r="D110" s="157"/>
      <c r="E110" s="157"/>
      <c r="F110" s="157"/>
      <c r="G110" s="3"/>
      <c r="H110" s="156"/>
      <c r="I110" s="156"/>
      <c r="J110" s="156"/>
      <c r="K110" s="165"/>
      <c r="L110" s="165"/>
      <c r="M110" s="1"/>
      <c r="N110" s="164"/>
      <c r="O110" s="1"/>
      <c r="P110" s="153"/>
      <c r="Q110" s="39"/>
      <c r="R110" s="39"/>
      <c r="S110" s="39"/>
      <c r="T110" s="154"/>
      <c r="U110" s="40"/>
    </row>
    <row r="111" spans="1:21" ht="20" customHeight="1" x14ac:dyDescent="0.15">
      <c r="A111" s="284" t="s">
        <v>6007</v>
      </c>
      <c r="B111" s="157"/>
      <c r="C111" s="157"/>
      <c r="D111" s="157"/>
      <c r="E111" s="157"/>
      <c r="F111" s="157"/>
      <c r="G111" s="3"/>
      <c r="H111" s="156"/>
      <c r="I111" s="156"/>
      <c r="J111" s="156"/>
      <c r="K111" s="165"/>
      <c r="L111" s="165"/>
      <c r="M111" s="1"/>
      <c r="N111" s="164"/>
      <c r="O111" s="1"/>
      <c r="P111" s="153"/>
      <c r="Q111" s="39"/>
      <c r="R111" s="39"/>
      <c r="S111" s="39"/>
      <c r="T111" s="154"/>
      <c r="U111" s="40"/>
    </row>
    <row r="112" spans="1:21" ht="20" customHeight="1" x14ac:dyDescent="0.15">
      <c r="A112" s="284" t="s">
        <v>6008</v>
      </c>
      <c r="B112" s="157"/>
      <c r="C112" s="157"/>
      <c r="D112" s="157"/>
      <c r="E112" s="157"/>
      <c r="F112" s="157"/>
      <c r="G112" s="3"/>
      <c r="H112" s="156"/>
      <c r="I112" s="156"/>
      <c r="J112" s="156"/>
      <c r="K112" s="165"/>
      <c r="L112" s="165"/>
      <c r="M112" s="1"/>
      <c r="N112" s="164"/>
      <c r="O112" s="1"/>
      <c r="P112" s="153"/>
      <c r="Q112" s="39"/>
      <c r="R112" s="39"/>
      <c r="S112" s="39"/>
      <c r="T112" s="154"/>
      <c r="U112" s="40"/>
    </row>
    <row r="113" spans="1:21" ht="20" customHeight="1" x14ac:dyDescent="0.15">
      <c r="A113" s="284" t="s">
        <v>6009</v>
      </c>
      <c r="B113" s="157"/>
      <c r="C113" s="157"/>
      <c r="D113" s="157"/>
      <c r="E113" s="157"/>
      <c r="F113" s="157"/>
      <c r="G113" s="3"/>
      <c r="H113" s="156"/>
      <c r="I113" s="156"/>
      <c r="J113" s="156"/>
      <c r="K113" s="165"/>
      <c r="L113" s="165"/>
      <c r="M113" s="1"/>
      <c r="N113" s="164"/>
      <c r="O113" s="1"/>
      <c r="P113" s="153"/>
      <c r="Q113" s="39"/>
      <c r="R113" s="39"/>
      <c r="S113" s="39"/>
      <c r="T113" s="154"/>
      <c r="U113" s="40"/>
    </row>
    <row r="114" spans="1:21" ht="20" customHeight="1" x14ac:dyDescent="0.15">
      <c r="A114" s="284" t="s">
        <v>6010</v>
      </c>
      <c r="B114" s="157"/>
      <c r="C114" s="157"/>
      <c r="D114" s="157"/>
      <c r="E114" s="157"/>
      <c r="F114" s="157"/>
      <c r="G114" s="3"/>
      <c r="H114" s="156"/>
      <c r="I114" s="156"/>
      <c r="J114" s="156"/>
      <c r="K114" s="165"/>
      <c r="L114" s="165"/>
      <c r="M114" s="1"/>
      <c r="N114" s="164"/>
      <c r="O114" s="1"/>
      <c r="P114" s="153"/>
      <c r="Q114" s="39"/>
      <c r="R114" s="39"/>
      <c r="S114" s="39"/>
      <c r="T114" s="154"/>
      <c r="U114" s="40"/>
    </row>
    <row r="115" spans="1:21" ht="20" customHeight="1" x14ac:dyDescent="0.15">
      <c r="A115" s="284" t="s">
        <v>6011</v>
      </c>
      <c r="B115" s="157"/>
      <c r="C115" s="157"/>
      <c r="D115" s="157"/>
      <c r="E115" s="157"/>
      <c r="F115" s="157"/>
      <c r="G115" s="3"/>
      <c r="H115" s="156"/>
      <c r="I115" s="156"/>
      <c r="J115" s="156"/>
      <c r="K115" s="165"/>
      <c r="L115" s="165"/>
      <c r="M115" s="1"/>
      <c r="N115" s="164"/>
      <c r="O115" s="1"/>
      <c r="P115" s="153"/>
      <c r="Q115" s="39"/>
      <c r="R115" s="39"/>
      <c r="S115" s="39"/>
      <c r="T115" s="154"/>
      <c r="U115" s="40"/>
    </row>
    <row r="116" spans="1:21" ht="20" customHeight="1" x14ac:dyDescent="0.15">
      <c r="A116" s="284" t="s">
        <v>6012</v>
      </c>
      <c r="B116" s="157"/>
      <c r="C116" s="157"/>
      <c r="D116" s="157"/>
      <c r="E116" s="157"/>
      <c r="F116" s="157"/>
      <c r="G116" s="3"/>
      <c r="H116" s="156"/>
      <c r="I116" s="156"/>
      <c r="J116" s="156"/>
      <c r="K116" s="165"/>
      <c r="L116" s="165"/>
      <c r="M116" s="1"/>
      <c r="N116" s="164"/>
      <c r="O116" s="1"/>
      <c r="P116" s="153"/>
      <c r="Q116" s="39"/>
      <c r="R116" s="39"/>
      <c r="S116" s="39"/>
      <c r="T116" s="154"/>
      <c r="U116" s="40"/>
    </row>
    <row r="117" spans="1:21" ht="20" customHeight="1" x14ac:dyDescent="0.15">
      <c r="A117" s="284" t="s">
        <v>6013</v>
      </c>
      <c r="B117" s="157"/>
      <c r="C117" s="157"/>
      <c r="D117" s="157"/>
      <c r="E117" s="157"/>
      <c r="F117" s="157"/>
      <c r="G117" s="3"/>
      <c r="H117" s="156"/>
      <c r="I117" s="156"/>
      <c r="J117" s="156"/>
      <c r="K117" s="165"/>
      <c r="L117" s="165"/>
      <c r="M117" s="1"/>
      <c r="N117" s="164"/>
      <c r="O117" s="1"/>
      <c r="P117" s="153"/>
      <c r="Q117" s="39"/>
      <c r="R117" s="39"/>
      <c r="S117" s="39"/>
      <c r="T117" s="154"/>
      <c r="U117" s="40"/>
    </row>
    <row r="118" spans="1:21" ht="20" customHeight="1" x14ac:dyDescent="0.15">
      <c r="A118" s="284" t="s">
        <v>6014</v>
      </c>
      <c r="B118" s="157"/>
      <c r="C118" s="157"/>
      <c r="D118" s="157"/>
      <c r="E118" s="157"/>
      <c r="F118" s="157"/>
      <c r="G118" s="3"/>
      <c r="H118" s="156"/>
      <c r="I118" s="156"/>
      <c r="J118" s="156"/>
      <c r="K118" s="165"/>
      <c r="L118" s="165"/>
      <c r="M118" s="1"/>
      <c r="N118" s="164"/>
      <c r="O118" s="1"/>
      <c r="P118" s="153"/>
      <c r="Q118" s="39"/>
      <c r="R118" s="39"/>
      <c r="S118" s="39"/>
      <c r="T118" s="154"/>
      <c r="U118" s="40"/>
    </row>
    <row r="119" spans="1:21" ht="20" customHeight="1" x14ac:dyDescent="0.15">
      <c r="A119" s="284" t="s">
        <v>6015</v>
      </c>
      <c r="B119" s="157"/>
      <c r="C119" s="157"/>
      <c r="D119" s="157"/>
      <c r="E119" s="157"/>
      <c r="F119" s="157"/>
      <c r="G119" s="3"/>
      <c r="H119" s="156"/>
      <c r="I119" s="156"/>
      <c r="J119" s="156"/>
      <c r="K119" s="165"/>
      <c r="L119" s="165"/>
      <c r="M119" s="1"/>
      <c r="N119" s="164"/>
      <c r="O119" s="1"/>
      <c r="P119" s="153"/>
      <c r="Q119" s="39"/>
      <c r="R119" s="39"/>
      <c r="S119" s="39"/>
      <c r="T119" s="154"/>
      <c r="U119" s="40"/>
    </row>
    <row r="120" spans="1:21" ht="20" customHeight="1" x14ac:dyDescent="0.15">
      <c r="A120" s="284" t="s">
        <v>6016</v>
      </c>
      <c r="B120" s="157"/>
      <c r="C120" s="157"/>
      <c r="D120" s="157"/>
      <c r="E120" s="157"/>
      <c r="F120" s="157"/>
      <c r="G120" s="3"/>
      <c r="H120" s="156"/>
      <c r="I120" s="156"/>
      <c r="J120" s="156"/>
      <c r="K120" s="165"/>
      <c r="L120" s="165"/>
      <c r="M120" s="1"/>
      <c r="N120" s="164"/>
      <c r="O120" s="1"/>
      <c r="P120" s="153"/>
      <c r="Q120" s="39"/>
      <c r="R120" s="39"/>
      <c r="S120" s="39"/>
      <c r="T120" s="154"/>
      <c r="U120" s="40"/>
    </row>
    <row r="121" spans="1:21" ht="20" customHeight="1" x14ac:dyDescent="0.15">
      <c r="A121" s="284" t="s">
        <v>6017</v>
      </c>
      <c r="B121" s="157"/>
      <c r="C121" s="157"/>
      <c r="D121" s="157"/>
      <c r="E121" s="157"/>
      <c r="F121" s="157"/>
      <c r="G121" s="3"/>
      <c r="H121" s="156"/>
      <c r="I121" s="156"/>
      <c r="J121" s="156"/>
      <c r="K121" s="165"/>
      <c r="L121" s="165"/>
      <c r="M121" s="1"/>
      <c r="N121" s="164"/>
      <c r="O121" s="1"/>
      <c r="P121" s="153"/>
      <c r="Q121" s="39"/>
      <c r="R121" s="39"/>
      <c r="S121" s="39"/>
      <c r="T121" s="154"/>
      <c r="U121" s="40"/>
    </row>
    <row r="122" spans="1:21" ht="20" customHeight="1" x14ac:dyDescent="0.15">
      <c r="A122" s="284" t="s">
        <v>6018</v>
      </c>
      <c r="B122" s="157"/>
      <c r="C122" s="157"/>
      <c r="D122" s="157"/>
      <c r="E122" s="157"/>
      <c r="F122" s="157"/>
      <c r="G122" s="3"/>
      <c r="H122" s="156"/>
      <c r="I122" s="156"/>
      <c r="J122" s="156"/>
      <c r="K122" s="165"/>
      <c r="L122" s="165"/>
      <c r="M122" s="1"/>
      <c r="N122" s="164"/>
      <c r="O122" s="1"/>
      <c r="P122" s="153"/>
      <c r="Q122" s="39"/>
      <c r="R122" s="39"/>
      <c r="S122" s="39"/>
      <c r="T122" s="154"/>
      <c r="U122" s="40"/>
    </row>
    <row r="123" spans="1:21" ht="20" customHeight="1" x14ac:dyDescent="0.15">
      <c r="A123" s="284" t="s">
        <v>6019</v>
      </c>
      <c r="B123" s="157"/>
      <c r="C123" s="157"/>
      <c r="D123" s="157"/>
      <c r="E123" s="157"/>
      <c r="F123" s="157"/>
      <c r="G123" s="3"/>
      <c r="H123" s="156"/>
      <c r="I123" s="156"/>
      <c r="J123" s="156"/>
      <c r="K123" s="165"/>
      <c r="L123" s="165"/>
      <c r="M123" s="1"/>
      <c r="N123" s="164"/>
      <c r="O123" s="1"/>
      <c r="P123" s="153"/>
      <c r="Q123" s="39"/>
      <c r="R123" s="39"/>
      <c r="S123" s="39"/>
      <c r="T123" s="154"/>
      <c r="U123" s="40"/>
    </row>
    <row r="124" spans="1:21" ht="20" customHeight="1" x14ac:dyDescent="0.15">
      <c r="A124" s="284" t="s">
        <v>6020</v>
      </c>
      <c r="B124" s="157"/>
      <c r="C124" s="157"/>
      <c r="D124" s="157"/>
      <c r="E124" s="157"/>
      <c r="F124" s="157"/>
      <c r="G124" s="3"/>
      <c r="H124" s="156"/>
      <c r="I124" s="156"/>
      <c r="J124" s="156"/>
      <c r="K124" s="165"/>
      <c r="L124" s="165"/>
      <c r="M124" s="1"/>
      <c r="N124" s="164"/>
      <c r="O124" s="1"/>
      <c r="P124" s="153"/>
      <c r="Q124" s="39"/>
      <c r="R124" s="39"/>
      <c r="S124" s="39"/>
      <c r="T124" s="154"/>
      <c r="U124" s="40"/>
    </row>
    <row r="125" spans="1:21" ht="20" customHeight="1" x14ac:dyDescent="0.15">
      <c r="A125" s="284" t="s">
        <v>6021</v>
      </c>
      <c r="B125" s="157"/>
      <c r="C125" s="157"/>
      <c r="D125" s="157"/>
      <c r="E125" s="157"/>
      <c r="F125" s="157"/>
      <c r="G125" s="3"/>
      <c r="H125" s="156"/>
      <c r="I125" s="156"/>
      <c r="J125" s="156"/>
      <c r="K125" s="165"/>
      <c r="L125" s="165"/>
      <c r="M125" s="1"/>
      <c r="N125" s="164"/>
      <c r="O125" s="1"/>
      <c r="P125" s="153"/>
      <c r="Q125" s="39"/>
      <c r="R125" s="39"/>
      <c r="S125" s="39"/>
      <c r="T125" s="154"/>
      <c r="U125" s="40"/>
    </row>
    <row r="126" spans="1:21" ht="20" customHeight="1" x14ac:dyDescent="0.15">
      <c r="A126" s="284" t="s">
        <v>6022</v>
      </c>
      <c r="B126" s="157"/>
      <c r="C126" s="157"/>
      <c r="D126" s="157"/>
      <c r="E126" s="157"/>
      <c r="F126" s="157"/>
      <c r="G126" s="3"/>
      <c r="H126" s="156"/>
      <c r="I126" s="156"/>
      <c r="J126" s="156"/>
      <c r="K126" s="165"/>
      <c r="L126" s="165"/>
      <c r="M126" s="1"/>
      <c r="N126" s="164"/>
      <c r="O126" s="1"/>
      <c r="P126" s="153"/>
      <c r="Q126" s="39"/>
      <c r="R126" s="39"/>
      <c r="S126" s="39"/>
      <c r="T126" s="154"/>
      <c r="U126" s="40"/>
    </row>
    <row r="127" spans="1:21" ht="20" customHeight="1" x14ac:dyDescent="0.15">
      <c r="A127" s="284" t="s">
        <v>6023</v>
      </c>
      <c r="B127" s="157"/>
      <c r="C127" s="157"/>
      <c r="D127" s="157"/>
      <c r="E127" s="157"/>
      <c r="F127" s="157"/>
      <c r="G127" s="3"/>
      <c r="H127" s="156"/>
      <c r="I127" s="156"/>
      <c r="J127" s="156"/>
      <c r="K127" s="165"/>
      <c r="L127" s="165"/>
      <c r="M127" s="1"/>
      <c r="N127" s="164"/>
      <c r="O127" s="1"/>
      <c r="P127" s="153"/>
      <c r="Q127" s="39"/>
      <c r="R127" s="39"/>
      <c r="S127" s="39"/>
      <c r="T127" s="154"/>
      <c r="U127" s="40"/>
    </row>
    <row r="128" spans="1:21" ht="20" customHeight="1" x14ac:dyDescent="0.15">
      <c r="A128" s="284" t="s">
        <v>6024</v>
      </c>
      <c r="B128" s="157"/>
      <c r="C128" s="157"/>
      <c r="D128" s="157"/>
      <c r="E128" s="157"/>
      <c r="F128" s="157"/>
      <c r="G128" s="3"/>
      <c r="H128" s="156"/>
      <c r="I128" s="156"/>
      <c r="J128" s="156"/>
      <c r="K128" s="165"/>
      <c r="L128" s="165"/>
      <c r="M128" s="1"/>
      <c r="N128" s="164"/>
      <c r="O128" s="1"/>
      <c r="P128" s="153"/>
      <c r="Q128" s="39"/>
      <c r="R128" s="39"/>
      <c r="S128" s="39"/>
      <c r="T128" s="154"/>
      <c r="U128" s="40"/>
    </row>
    <row r="129" spans="1:21" ht="20" customHeight="1" x14ac:dyDescent="0.15">
      <c r="A129" s="284" t="s">
        <v>6025</v>
      </c>
      <c r="B129" s="157"/>
      <c r="C129" s="157"/>
      <c r="D129" s="157"/>
      <c r="E129" s="157"/>
      <c r="F129" s="157"/>
      <c r="G129" s="3"/>
      <c r="H129" s="156"/>
      <c r="I129" s="156"/>
      <c r="J129" s="156"/>
      <c r="K129" s="165"/>
      <c r="L129" s="165"/>
      <c r="M129" s="1"/>
      <c r="N129" s="164"/>
      <c r="O129" s="1"/>
      <c r="P129" s="153"/>
      <c r="Q129" s="39"/>
      <c r="R129" s="39"/>
      <c r="S129" s="39"/>
      <c r="T129" s="154"/>
      <c r="U129" s="40"/>
    </row>
    <row r="130" spans="1:21" ht="20" customHeight="1" x14ac:dyDescent="0.15">
      <c r="A130" s="284" t="s">
        <v>6026</v>
      </c>
      <c r="B130" s="157"/>
      <c r="C130" s="157"/>
      <c r="D130" s="157"/>
      <c r="E130" s="157"/>
      <c r="F130" s="157"/>
      <c r="G130" s="3"/>
      <c r="H130" s="156"/>
      <c r="I130" s="156"/>
      <c r="J130" s="156"/>
      <c r="K130" s="165"/>
      <c r="L130" s="165"/>
      <c r="M130" s="1"/>
      <c r="N130" s="164"/>
      <c r="O130" s="1"/>
      <c r="P130" s="153"/>
      <c r="Q130" s="39"/>
      <c r="R130" s="39"/>
      <c r="S130" s="39"/>
      <c r="T130" s="154"/>
      <c r="U130" s="40"/>
    </row>
    <row r="131" spans="1:21" ht="20" customHeight="1" x14ac:dyDescent="0.15">
      <c r="A131" s="284" t="s">
        <v>6027</v>
      </c>
      <c r="B131" s="157"/>
      <c r="C131" s="157"/>
      <c r="D131" s="157"/>
      <c r="E131" s="157"/>
      <c r="F131" s="157"/>
      <c r="G131" s="3"/>
      <c r="H131" s="156"/>
      <c r="I131" s="156"/>
      <c r="J131" s="156"/>
      <c r="K131" s="165"/>
      <c r="L131" s="165"/>
      <c r="M131" s="1"/>
      <c r="N131" s="164"/>
      <c r="O131" s="1"/>
      <c r="P131" s="153"/>
      <c r="Q131" s="39"/>
      <c r="R131" s="39"/>
      <c r="S131" s="39"/>
      <c r="T131" s="154"/>
      <c r="U131" s="40"/>
    </row>
    <row r="132" spans="1:21" ht="20" customHeight="1" x14ac:dyDescent="0.15">
      <c r="A132" s="284" t="s">
        <v>6028</v>
      </c>
      <c r="B132" s="157"/>
      <c r="C132" s="157"/>
      <c r="D132" s="157"/>
      <c r="E132" s="157"/>
      <c r="F132" s="157"/>
      <c r="G132" s="3"/>
      <c r="H132" s="156"/>
      <c r="I132" s="156"/>
      <c r="J132" s="156"/>
      <c r="K132" s="165"/>
      <c r="L132" s="165"/>
      <c r="M132" s="1"/>
      <c r="N132" s="164"/>
      <c r="O132" s="1"/>
      <c r="P132" s="153"/>
      <c r="Q132" s="39"/>
      <c r="R132" s="39"/>
      <c r="S132" s="39"/>
      <c r="T132" s="154"/>
      <c r="U132" s="40"/>
    </row>
    <row r="133" spans="1:21" ht="20" customHeight="1" x14ac:dyDescent="0.15">
      <c r="A133" s="284" t="s">
        <v>6029</v>
      </c>
      <c r="B133" s="157"/>
      <c r="C133" s="157"/>
      <c r="D133" s="157"/>
      <c r="E133" s="157"/>
      <c r="F133" s="157"/>
      <c r="G133" s="3"/>
      <c r="H133" s="156"/>
      <c r="I133" s="156"/>
      <c r="J133" s="156"/>
      <c r="K133" s="165"/>
      <c r="L133" s="165"/>
      <c r="M133" s="1"/>
      <c r="N133" s="164"/>
      <c r="O133" s="1"/>
      <c r="P133" s="153"/>
      <c r="Q133" s="39"/>
      <c r="R133" s="39"/>
      <c r="S133" s="39"/>
      <c r="T133" s="154"/>
      <c r="U133" s="40"/>
    </row>
    <row r="134" spans="1:21" ht="20" customHeight="1" x14ac:dyDescent="0.15">
      <c r="A134" s="284" t="s">
        <v>6030</v>
      </c>
      <c r="B134" s="157"/>
      <c r="C134" s="157"/>
      <c r="D134" s="157"/>
      <c r="E134" s="157"/>
      <c r="F134" s="157"/>
      <c r="G134" s="3"/>
      <c r="H134" s="156"/>
      <c r="I134" s="156"/>
      <c r="J134" s="156"/>
      <c r="K134" s="165"/>
      <c r="L134" s="165"/>
      <c r="M134" s="1"/>
      <c r="N134" s="164"/>
      <c r="O134" s="1"/>
      <c r="P134" s="153"/>
      <c r="Q134" s="39"/>
      <c r="R134" s="39"/>
      <c r="S134" s="39"/>
      <c r="T134" s="154"/>
      <c r="U134" s="40"/>
    </row>
    <row r="135" spans="1:21" ht="20" customHeight="1" x14ac:dyDescent="0.15">
      <c r="A135" s="284" t="s">
        <v>6031</v>
      </c>
      <c r="B135" s="157"/>
      <c r="C135" s="157"/>
      <c r="D135" s="157"/>
      <c r="E135" s="157"/>
      <c r="F135" s="157"/>
      <c r="G135" s="3"/>
      <c r="H135" s="156"/>
      <c r="I135" s="156"/>
      <c r="J135" s="156"/>
      <c r="K135" s="165"/>
      <c r="L135" s="165"/>
      <c r="M135" s="1"/>
      <c r="N135" s="164"/>
      <c r="O135" s="1"/>
      <c r="P135" s="153"/>
      <c r="Q135" s="39"/>
      <c r="R135" s="39"/>
      <c r="S135" s="39"/>
      <c r="T135" s="154"/>
      <c r="U135" s="40"/>
    </row>
    <row r="136" spans="1:21" ht="20" customHeight="1" x14ac:dyDescent="0.15">
      <c r="A136" s="284" t="s">
        <v>6032</v>
      </c>
      <c r="B136" s="157"/>
      <c r="C136" s="157"/>
      <c r="D136" s="157"/>
      <c r="E136" s="157"/>
      <c r="F136" s="157"/>
      <c r="G136" s="3"/>
      <c r="H136" s="156"/>
      <c r="I136" s="156"/>
      <c r="J136" s="156"/>
      <c r="K136" s="165"/>
      <c r="L136" s="165"/>
      <c r="M136" s="1"/>
      <c r="N136" s="164"/>
      <c r="O136" s="1"/>
      <c r="P136" s="153"/>
      <c r="Q136" s="39"/>
      <c r="R136" s="39"/>
      <c r="S136" s="39"/>
      <c r="T136" s="154"/>
      <c r="U136" s="40"/>
    </row>
    <row r="137" spans="1:21" ht="20" customHeight="1" x14ac:dyDescent="0.15">
      <c r="A137" s="284" t="s">
        <v>6033</v>
      </c>
      <c r="B137" s="157"/>
      <c r="C137" s="157"/>
      <c r="D137" s="157"/>
      <c r="E137" s="157"/>
      <c r="F137" s="157"/>
      <c r="G137" s="3"/>
      <c r="H137" s="156"/>
      <c r="I137" s="156"/>
      <c r="J137" s="156"/>
      <c r="K137" s="165"/>
      <c r="L137" s="165"/>
      <c r="M137" s="1"/>
      <c r="N137" s="164"/>
      <c r="O137" s="1"/>
      <c r="P137" s="153"/>
      <c r="Q137" s="39"/>
      <c r="R137" s="39"/>
      <c r="S137" s="39"/>
      <c r="T137" s="154"/>
      <c r="U137" s="40"/>
    </row>
    <row r="138" spans="1:21" ht="20" customHeight="1" x14ac:dyDescent="0.15">
      <c r="A138" s="284" t="s">
        <v>6034</v>
      </c>
      <c r="B138" s="157"/>
      <c r="C138" s="157"/>
      <c r="D138" s="157"/>
      <c r="E138" s="157"/>
      <c r="F138" s="157"/>
      <c r="G138" s="3"/>
      <c r="H138" s="156"/>
      <c r="I138" s="156"/>
      <c r="J138" s="156"/>
      <c r="K138" s="165"/>
      <c r="L138" s="165"/>
      <c r="M138" s="1"/>
      <c r="N138" s="164"/>
      <c r="O138" s="1"/>
      <c r="P138" s="153"/>
      <c r="Q138" s="39"/>
      <c r="R138" s="39"/>
      <c r="S138" s="39"/>
      <c r="T138" s="154"/>
      <c r="U138" s="40"/>
    </row>
    <row r="139" spans="1:21" ht="20" customHeight="1" x14ac:dyDescent="0.15">
      <c r="A139" s="284" t="s">
        <v>6035</v>
      </c>
      <c r="B139" s="157"/>
      <c r="C139" s="157"/>
      <c r="D139" s="157"/>
      <c r="E139" s="157"/>
      <c r="F139" s="157"/>
      <c r="G139" s="3"/>
      <c r="H139" s="156"/>
      <c r="I139" s="156"/>
      <c r="J139" s="156"/>
      <c r="K139" s="165"/>
      <c r="L139" s="165"/>
      <c r="M139" s="1"/>
      <c r="N139" s="164"/>
      <c r="O139" s="1"/>
      <c r="P139" s="153"/>
      <c r="Q139" s="39"/>
      <c r="R139" s="39"/>
      <c r="S139" s="39"/>
      <c r="T139" s="154"/>
      <c r="U139" s="40"/>
    </row>
    <row r="140" spans="1:21" ht="20" customHeight="1" x14ac:dyDescent="0.15">
      <c r="A140" s="284" t="s">
        <v>6036</v>
      </c>
      <c r="B140" s="157"/>
      <c r="C140" s="157"/>
      <c r="D140" s="157"/>
      <c r="E140" s="157"/>
      <c r="F140" s="157"/>
      <c r="G140" s="3"/>
      <c r="H140" s="156"/>
      <c r="I140" s="156"/>
      <c r="J140" s="156"/>
      <c r="K140" s="165"/>
      <c r="L140" s="165"/>
      <c r="M140" s="1"/>
      <c r="N140" s="164"/>
      <c r="O140" s="1"/>
      <c r="P140" s="153"/>
      <c r="Q140" s="39"/>
      <c r="R140" s="39"/>
      <c r="S140" s="39"/>
      <c r="T140" s="154"/>
      <c r="U140" s="40"/>
    </row>
    <row r="141" spans="1:21" ht="20" customHeight="1" x14ac:dyDescent="0.15">
      <c r="A141" s="284" t="s">
        <v>6037</v>
      </c>
      <c r="B141" s="157"/>
      <c r="C141" s="157"/>
      <c r="D141" s="157"/>
      <c r="E141" s="157"/>
      <c r="F141" s="157"/>
      <c r="G141" s="3"/>
      <c r="H141" s="156"/>
      <c r="I141" s="156"/>
      <c r="J141" s="156"/>
      <c r="K141" s="165"/>
      <c r="L141" s="165"/>
      <c r="M141" s="1"/>
      <c r="N141" s="164"/>
      <c r="O141" s="1"/>
      <c r="P141" s="153"/>
      <c r="Q141" s="39"/>
      <c r="R141" s="39"/>
      <c r="S141" s="39"/>
      <c r="T141" s="154"/>
      <c r="U141" s="40"/>
    </row>
    <row r="142" spans="1:21" ht="20" customHeight="1" x14ac:dyDescent="0.15">
      <c r="A142" s="284" t="s">
        <v>6038</v>
      </c>
      <c r="B142" s="157"/>
      <c r="C142" s="157"/>
      <c r="D142" s="157"/>
      <c r="E142" s="157"/>
      <c r="F142" s="157"/>
      <c r="G142" s="3"/>
      <c r="H142" s="156"/>
      <c r="I142" s="156"/>
      <c r="J142" s="156"/>
      <c r="K142" s="165"/>
      <c r="L142" s="165"/>
      <c r="M142" s="1"/>
      <c r="N142" s="164"/>
      <c r="O142" s="1"/>
      <c r="P142" s="153"/>
      <c r="Q142" s="39"/>
      <c r="R142" s="39"/>
      <c r="S142" s="39"/>
      <c r="T142" s="154"/>
      <c r="U142" s="40"/>
    </row>
    <row r="143" spans="1:21" ht="20" customHeight="1" x14ac:dyDescent="0.15">
      <c r="A143" s="284" t="s">
        <v>6039</v>
      </c>
      <c r="B143" s="157"/>
      <c r="C143" s="157"/>
      <c r="D143" s="157"/>
      <c r="E143" s="157"/>
      <c r="F143" s="157"/>
      <c r="G143" s="3"/>
      <c r="H143" s="156"/>
      <c r="I143" s="156"/>
      <c r="J143" s="156"/>
      <c r="K143" s="165"/>
      <c r="L143" s="165"/>
      <c r="M143" s="1"/>
      <c r="N143" s="164"/>
      <c r="O143" s="1"/>
      <c r="P143" s="153"/>
      <c r="Q143" s="39"/>
      <c r="R143" s="39"/>
      <c r="S143" s="39"/>
      <c r="T143" s="154"/>
      <c r="U143" s="40"/>
    </row>
    <row r="144" spans="1:21" ht="20" customHeight="1" x14ac:dyDescent="0.15">
      <c r="A144" s="284" t="s">
        <v>6040</v>
      </c>
      <c r="B144" s="157"/>
      <c r="C144" s="157"/>
      <c r="D144" s="157"/>
      <c r="E144" s="157"/>
      <c r="F144" s="157"/>
      <c r="G144" s="3"/>
      <c r="H144" s="156"/>
      <c r="I144" s="156"/>
      <c r="J144" s="156"/>
      <c r="K144" s="165"/>
      <c r="L144" s="165"/>
      <c r="M144" s="1"/>
      <c r="N144" s="164"/>
      <c r="O144" s="1"/>
      <c r="P144" s="153"/>
      <c r="Q144" s="39"/>
      <c r="R144" s="39"/>
      <c r="S144" s="39"/>
      <c r="T144" s="154"/>
      <c r="U144" s="40"/>
    </row>
    <row r="145" spans="1:21" ht="20" customHeight="1" x14ac:dyDescent="0.15">
      <c r="A145" s="284" t="s">
        <v>6041</v>
      </c>
      <c r="B145" s="157"/>
      <c r="C145" s="157"/>
      <c r="D145" s="157"/>
      <c r="E145" s="157"/>
      <c r="F145" s="157"/>
      <c r="G145" s="3"/>
      <c r="H145" s="156"/>
      <c r="I145" s="156"/>
      <c r="J145" s="156"/>
      <c r="K145" s="165"/>
      <c r="L145" s="165"/>
      <c r="M145" s="1"/>
      <c r="N145" s="164"/>
      <c r="O145" s="1"/>
      <c r="P145" s="153"/>
      <c r="Q145" s="39"/>
      <c r="R145" s="39"/>
      <c r="S145" s="39"/>
      <c r="T145" s="154"/>
      <c r="U145" s="40"/>
    </row>
    <row r="146" spans="1:21" ht="20" customHeight="1" x14ac:dyDescent="0.15">
      <c r="A146" s="284" t="s">
        <v>6042</v>
      </c>
      <c r="B146" s="157"/>
      <c r="C146" s="157"/>
      <c r="D146" s="157"/>
      <c r="E146" s="157"/>
      <c r="F146" s="157"/>
      <c r="G146" s="3"/>
      <c r="H146" s="156"/>
      <c r="I146" s="156"/>
      <c r="J146" s="156"/>
      <c r="K146" s="165"/>
      <c r="L146" s="165"/>
      <c r="M146" s="1"/>
      <c r="N146" s="164"/>
      <c r="O146" s="1"/>
      <c r="P146" s="153"/>
      <c r="Q146" s="39"/>
      <c r="R146" s="39"/>
      <c r="S146" s="39"/>
      <c r="T146" s="154"/>
      <c r="U146" s="40"/>
    </row>
    <row r="147" spans="1:21" ht="20" customHeight="1" x14ac:dyDescent="0.15">
      <c r="A147" s="284" t="s">
        <v>6043</v>
      </c>
      <c r="B147" s="157"/>
      <c r="C147" s="157"/>
      <c r="D147" s="157"/>
      <c r="E147" s="157"/>
      <c r="F147" s="157"/>
      <c r="G147" s="3"/>
      <c r="H147" s="156"/>
      <c r="I147" s="156"/>
      <c r="J147" s="156"/>
      <c r="K147" s="165"/>
      <c r="L147" s="165"/>
      <c r="M147" s="1"/>
      <c r="N147" s="164"/>
      <c r="O147" s="1"/>
      <c r="P147" s="153"/>
      <c r="Q147" s="39"/>
      <c r="R147" s="39"/>
      <c r="S147" s="39"/>
      <c r="T147" s="154"/>
      <c r="U147" s="40"/>
    </row>
    <row r="148" spans="1:21" ht="20" customHeight="1" x14ac:dyDescent="0.15">
      <c r="A148" s="284" t="s">
        <v>6044</v>
      </c>
      <c r="B148" s="157"/>
      <c r="C148" s="157"/>
      <c r="D148" s="157"/>
      <c r="E148" s="157"/>
      <c r="F148" s="157"/>
      <c r="G148" s="3"/>
      <c r="H148" s="156"/>
      <c r="I148" s="156"/>
      <c r="J148" s="156"/>
      <c r="K148" s="165"/>
      <c r="L148" s="165"/>
      <c r="M148" s="1"/>
      <c r="N148" s="164"/>
      <c r="O148" s="1"/>
      <c r="P148" s="153"/>
      <c r="Q148" s="39"/>
      <c r="R148" s="39"/>
      <c r="S148" s="39"/>
      <c r="T148" s="154"/>
      <c r="U148" s="40"/>
    </row>
    <row r="149" spans="1:21" ht="20" customHeight="1" x14ac:dyDescent="0.15">
      <c r="A149" s="284" t="s">
        <v>6045</v>
      </c>
      <c r="B149" s="157"/>
      <c r="C149" s="157"/>
      <c r="D149" s="157"/>
      <c r="E149" s="157"/>
      <c r="F149" s="157"/>
      <c r="G149" s="3"/>
      <c r="H149" s="156"/>
      <c r="I149" s="156"/>
      <c r="J149" s="156"/>
      <c r="K149" s="165"/>
      <c r="L149" s="165"/>
      <c r="M149" s="1"/>
      <c r="N149" s="164"/>
      <c r="O149" s="1"/>
      <c r="P149" s="153"/>
      <c r="Q149" s="39"/>
      <c r="R149" s="39"/>
      <c r="S149" s="39"/>
      <c r="T149" s="154"/>
      <c r="U149" s="40"/>
    </row>
    <row r="150" spans="1:21" ht="20" customHeight="1" x14ac:dyDescent="0.15">
      <c r="A150" s="284" t="s">
        <v>6046</v>
      </c>
      <c r="B150" s="157"/>
      <c r="C150" s="157"/>
      <c r="D150" s="157"/>
      <c r="E150" s="157"/>
      <c r="F150" s="157"/>
      <c r="G150" s="3"/>
      <c r="H150" s="156"/>
      <c r="I150" s="156"/>
      <c r="J150" s="156"/>
      <c r="K150" s="165"/>
      <c r="L150" s="165"/>
      <c r="M150" s="1"/>
      <c r="N150" s="164"/>
      <c r="O150" s="1"/>
      <c r="P150" s="153"/>
      <c r="Q150" s="39"/>
      <c r="R150" s="39"/>
      <c r="S150" s="39"/>
      <c r="T150" s="154"/>
      <c r="U150" s="40"/>
    </row>
    <row r="151" spans="1:21" ht="20" customHeight="1" x14ac:dyDescent="0.15">
      <c r="A151" s="284" t="s">
        <v>6047</v>
      </c>
      <c r="B151" s="157"/>
      <c r="C151" s="157"/>
      <c r="D151" s="157"/>
      <c r="E151" s="157"/>
      <c r="F151" s="157"/>
      <c r="G151" s="3"/>
      <c r="H151" s="156"/>
      <c r="I151" s="156"/>
      <c r="J151" s="156"/>
      <c r="K151" s="165"/>
      <c r="L151" s="165"/>
      <c r="M151" s="1"/>
      <c r="N151" s="164"/>
      <c r="O151" s="1"/>
      <c r="P151" s="153"/>
      <c r="Q151" s="39"/>
      <c r="R151" s="39"/>
      <c r="S151" s="39"/>
      <c r="T151" s="154"/>
      <c r="U151" s="40"/>
    </row>
    <row r="152" spans="1:21" ht="20" customHeight="1" x14ac:dyDescent="0.15">
      <c r="A152" s="284" t="s">
        <v>6048</v>
      </c>
      <c r="B152" s="157"/>
      <c r="C152" s="157"/>
      <c r="D152" s="157"/>
      <c r="E152" s="157"/>
      <c r="F152" s="157"/>
      <c r="G152" s="3"/>
      <c r="H152" s="156"/>
      <c r="I152" s="156"/>
      <c r="J152" s="156"/>
      <c r="K152" s="165"/>
      <c r="L152" s="165"/>
      <c r="M152" s="1"/>
      <c r="N152" s="164"/>
      <c r="O152" s="1"/>
      <c r="P152" s="153"/>
      <c r="Q152" s="39"/>
      <c r="R152" s="39"/>
      <c r="S152" s="39"/>
      <c r="T152" s="154"/>
      <c r="U152" s="40"/>
    </row>
    <row r="153" spans="1:21" ht="20" customHeight="1" x14ac:dyDescent="0.15">
      <c r="A153" s="284" t="s">
        <v>6049</v>
      </c>
      <c r="B153" s="157"/>
      <c r="C153" s="157"/>
      <c r="D153" s="157"/>
      <c r="E153" s="157"/>
      <c r="F153" s="157"/>
      <c r="G153" s="3"/>
      <c r="H153" s="156"/>
      <c r="I153" s="156"/>
      <c r="J153" s="156"/>
      <c r="K153" s="165"/>
      <c r="L153" s="165"/>
      <c r="M153" s="1"/>
      <c r="N153" s="164"/>
      <c r="O153" s="1"/>
      <c r="P153" s="153"/>
      <c r="Q153" s="39"/>
      <c r="R153" s="39"/>
      <c r="S153" s="39"/>
      <c r="T153" s="154"/>
      <c r="U153" s="40"/>
    </row>
    <row r="154" spans="1:21" ht="20" customHeight="1" x14ac:dyDescent="0.15">
      <c r="A154" s="284" t="s">
        <v>6050</v>
      </c>
      <c r="B154" s="157"/>
      <c r="C154" s="157"/>
      <c r="D154" s="157"/>
      <c r="E154" s="157"/>
      <c r="F154" s="157"/>
      <c r="G154" s="3"/>
      <c r="H154" s="156"/>
      <c r="I154" s="156"/>
      <c r="J154" s="156"/>
      <c r="K154" s="165"/>
      <c r="L154" s="165"/>
      <c r="M154" s="1"/>
      <c r="N154" s="164"/>
      <c r="O154" s="1"/>
      <c r="P154" s="153"/>
      <c r="Q154" s="39"/>
      <c r="R154" s="39"/>
      <c r="S154" s="39"/>
      <c r="T154" s="154"/>
      <c r="U154" s="40"/>
    </row>
    <row r="155" spans="1:21" ht="20" customHeight="1" x14ac:dyDescent="0.15">
      <c r="A155" s="284" t="s">
        <v>6051</v>
      </c>
      <c r="B155" s="157"/>
      <c r="C155" s="157"/>
      <c r="D155" s="157"/>
      <c r="E155" s="157"/>
      <c r="F155" s="157"/>
      <c r="G155" s="3"/>
      <c r="H155" s="156"/>
      <c r="I155" s="156"/>
      <c r="J155" s="156"/>
      <c r="K155" s="165"/>
      <c r="L155" s="165"/>
      <c r="M155" s="1"/>
      <c r="N155" s="164"/>
      <c r="O155" s="1"/>
      <c r="P155" s="153"/>
      <c r="Q155" s="39"/>
      <c r="R155" s="39"/>
      <c r="S155" s="39"/>
      <c r="T155" s="154"/>
      <c r="U155" s="40"/>
    </row>
    <row r="156" spans="1:21" ht="20" customHeight="1" x14ac:dyDescent="0.15">
      <c r="A156" s="284" t="s">
        <v>6052</v>
      </c>
      <c r="B156" s="157"/>
      <c r="C156" s="157"/>
      <c r="D156" s="157"/>
      <c r="E156" s="157"/>
      <c r="F156" s="157"/>
      <c r="G156" s="3"/>
      <c r="H156" s="156"/>
      <c r="I156" s="156"/>
      <c r="J156" s="156"/>
      <c r="K156" s="165"/>
      <c r="L156" s="165"/>
      <c r="M156" s="1"/>
      <c r="N156" s="164"/>
      <c r="O156" s="1"/>
      <c r="P156" s="153"/>
      <c r="Q156" s="39"/>
      <c r="R156" s="39"/>
      <c r="S156" s="39"/>
      <c r="T156" s="154"/>
      <c r="U156" s="40"/>
    </row>
    <row r="157" spans="1:21" ht="20" customHeight="1" x14ac:dyDescent="0.15">
      <c r="A157" s="284" t="s">
        <v>6053</v>
      </c>
      <c r="B157" s="157"/>
      <c r="C157" s="157"/>
      <c r="D157" s="157"/>
      <c r="E157" s="157"/>
      <c r="F157" s="157"/>
      <c r="G157" s="3"/>
      <c r="H157" s="156"/>
      <c r="I157" s="156"/>
      <c r="J157" s="156"/>
      <c r="K157" s="165"/>
      <c r="L157" s="165"/>
      <c r="M157" s="1"/>
      <c r="N157" s="164"/>
      <c r="O157" s="1"/>
      <c r="P157" s="153"/>
      <c r="Q157" s="39"/>
      <c r="R157" s="39"/>
      <c r="S157" s="39"/>
      <c r="T157" s="154"/>
      <c r="U157" s="40"/>
    </row>
    <row r="158" spans="1:21" ht="20" customHeight="1" x14ac:dyDescent="0.15">
      <c r="A158" s="284" t="s">
        <v>6054</v>
      </c>
      <c r="B158" s="157"/>
      <c r="C158" s="157"/>
      <c r="D158" s="157"/>
      <c r="E158" s="157"/>
      <c r="F158" s="157"/>
      <c r="G158" s="3"/>
      <c r="H158" s="156"/>
      <c r="I158" s="156"/>
      <c r="J158" s="156"/>
      <c r="K158" s="165"/>
      <c r="L158" s="165"/>
      <c r="M158" s="1"/>
      <c r="N158" s="164"/>
      <c r="O158" s="1"/>
      <c r="P158" s="153"/>
      <c r="Q158" s="39"/>
      <c r="R158" s="39"/>
      <c r="S158" s="39"/>
      <c r="T158" s="154"/>
      <c r="U158" s="40"/>
    </row>
    <row r="159" spans="1:21" ht="20" customHeight="1" x14ac:dyDescent="0.15">
      <c r="A159" s="284" t="s">
        <v>6055</v>
      </c>
      <c r="B159" s="157"/>
      <c r="C159" s="157"/>
      <c r="D159" s="157"/>
      <c r="E159" s="157"/>
      <c r="F159" s="157"/>
      <c r="G159" s="3"/>
      <c r="H159" s="156"/>
      <c r="I159" s="156"/>
      <c r="J159" s="156"/>
      <c r="K159" s="165"/>
      <c r="L159" s="165"/>
      <c r="M159" s="1"/>
      <c r="N159" s="164"/>
      <c r="O159" s="1"/>
      <c r="P159" s="153"/>
      <c r="Q159" s="39"/>
      <c r="R159" s="39"/>
      <c r="S159" s="39"/>
      <c r="T159" s="154"/>
      <c r="U159" s="40"/>
    </row>
    <row r="160" spans="1:21" ht="20" customHeight="1" x14ac:dyDescent="0.15">
      <c r="A160" s="284" t="s">
        <v>6056</v>
      </c>
      <c r="B160" s="157"/>
      <c r="C160" s="157"/>
      <c r="D160" s="157"/>
      <c r="E160" s="157"/>
      <c r="F160" s="157"/>
      <c r="G160" s="3"/>
      <c r="H160" s="156"/>
      <c r="I160" s="156"/>
      <c r="J160" s="156"/>
      <c r="K160" s="165"/>
      <c r="L160" s="165"/>
      <c r="M160" s="1"/>
      <c r="N160" s="164"/>
      <c r="O160" s="1"/>
      <c r="P160" s="153"/>
      <c r="Q160" s="39"/>
      <c r="R160" s="39"/>
      <c r="S160" s="39"/>
      <c r="T160" s="154"/>
      <c r="U160" s="40"/>
    </row>
    <row r="161" spans="1:21" ht="20" customHeight="1" x14ac:dyDescent="0.15">
      <c r="A161" s="284" t="s">
        <v>6057</v>
      </c>
      <c r="B161" s="157"/>
      <c r="C161" s="157"/>
      <c r="D161" s="157"/>
      <c r="E161" s="157"/>
      <c r="F161" s="157"/>
      <c r="G161" s="3"/>
      <c r="H161" s="156"/>
      <c r="I161" s="156"/>
      <c r="J161" s="156"/>
      <c r="K161" s="165"/>
      <c r="L161" s="165"/>
      <c r="M161" s="1"/>
      <c r="N161" s="164"/>
      <c r="O161" s="1"/>
      <c r="P161" s="153"/>
      <c r="Q161" s="39"/>
      <c r="R161" s="39"/>
      <c r="S161" s="39"/>
      <c r="T161" s="154"/>
      <c r="U161" s="40"/>
    </row>
    <row r="162" spans="1:21" ht="20" customHeight="1" x14ac:dyDescent="0.15">
      <c r="A162" s="284" t="s">
        <v>6058</v>
      </c>
      <c r="B162" s="157"/>
      <c r="C162" s="157"/>
      <c r="D162" s="157"/>
      <c r="E162" s="157"/>
      <c r="F162" s="157"/>
      <c r="G162" s="3"/>
      <c r="H162" s="156"/>
      <c r="I162" s="156"/>
      <c r="J162" s="156"/>
      <c r="K162" s="165"/>
      <c r="L162" s="165"/>
      <c r="M162" s="1"/>
      <c r="N162" s="164"/>
      <c r="O162" s="1"/>
      <c r="P162" s="153"/>
      <c r="Q162" s="39"/>
      <c r="R162" s="39"/>
      <c r="S162" s="39"/>
      <c r="T162" s="154"/>
      <c r="U162" s="40"/>
    </row>
    <row r="163" spans="1:21" ht="20" customHeight="1" x14ac:dyDescent="0.15">
      <c r="A163" s="284" t="s">
        <v>6059</v>
      </c>
      <c r="B163" s="157"/>
      <c r="C163" s="157"/>
      <c r="D163" s="157"/>
      <c r="E163" s="157"/>
      <c r="F163" s="157"/>
      <c r="G163" s="3"/>
      <c r="H163" s="156"/>
      <c r="I163" s="156"/>
      <c r="J163" s="156"/>
      <c r="K163" s="165"/>
      <c r="L163" s="165"/>
      <c r="M163" s="1"/>
      <c r="N163" s="164"/>
      <c r="O163" s="1"/>
      <c r="P163" s="153"/>
      <c r="Q163" s="39"/>
      <c r="R163" s="39"/>
      <c r="S163" s="39"/>
      <c r="T163" s="154"/>
      <c r="U163" s="40"/>
    </row>
    <row r="164" spans="1:21" ht="20" customHeight="1" x14ac:dyDescent="0.15">
      <c r="A164" s="284" t="s">
        <v>6060</v>
      </c>
      <c r="B164" s="157"/>
      <c r="C164" s="157"/>
      <c r="D164" s="157"/>
      <c r="E164" s="157"/>
      <c r="F164" s="157"/>
      <c r="G164" s="3"/>
      <c r="H164" s="156"/>
      <c r="I164" s="156"/>
      <c r="J164" s="156"/>
      <c r="K164" s="165"/>
      <c r="L164" s="165"/>
      <c r="M164" s="1"/>
      <c r="N164" s="164"/>
      <c r="O164" s="1"/>
      <c r="P164" s="153"/>
      <c r="Q164" s="39"/>
      <c r="R164" s="39"/>
      <c r="S164" s="39"/>
      <c r="T164" s="154"/>
      <c r="U164" s="40"/>
    </row>
    <row r="165" spans="1:21" ht="20" customHeight="1" x14ac:dyDescent="0.15">
      <c r="A165" s="284" t="s">
        <v>6061</v>
      </c>
      <c r="B165" s="157"/>
      <c r="C165" s="157"/>
      <c r="D165" s="157"/>
      <c r="E165" s="157"/>
      <c r="F165" s="157"/>
      <c r="G165" s="3"/>
      <c r="H165" s="156"/>
      <c r="I165" s="156"/>
      <c r="J165" s="156"/>
      <c r="K165" s="165"/>
      <c r="L165" s="165"/>
      <c r="M165" s="1"/>
      <c r="N165" s="164"/>
      <c r="O165" s="1"/>
      <c r="P165" s="153"/>
      <c r="Q165" s="39"/>
      <c r="R165" s="39"/>
      <c r="S165" s="39"/>
      <c r="T165" s="154"/>
      <c r="U165" s="40"/>
    </row>
    <row r="166" spans="1:21" ht="20" customHeight="1" x14ac:dyDescent="0.15">
      <c r="A166" s="284" t="s">
        <v>6062</v>
      </c>
      <c r="B166" s="157"/>
      <c r="C166" s="157"/>
      <c r="D166" s="157"/>
      <c r="E166" s="157"/>
      <c r="F166" s="157"/>
      <c r="G166" s="3"/>
      <c r="H166" s="156"/>
      <c r="I166" s="156"/>
      <c r="J166" s="156"/>
      <c r="K166" s="165"/>
      <c r="L166" s="165"/>
      <c r="M166" s="1"/>
      <c r="N166" s="164"/>
      <c r="O166" s="1"/>
      <c r="P166" s="153"/>
      <c r="Q166" s="39"/>
      <c r="R166" s="39"/>
      <c r="S166" s="39"/>
      <c r="T166" s="154"/>
      <c r="U166" s="40"/>
    </row>
    <row r="167" spans="1:21" ht="20" customHeight="1" x14ac:dyDescent="0.15">
      <c r="A167" s="284" t="s">
        <v>6063</v>
      </c>
      <c r="B167" s="157"/>
      <c r="C167" s="157"/>
      <c r="D167" s="157"/>
      <c r="E167" s="157"/>
      <c r="F167" s="157"/>
      <c r="G167" s="3"/>
      <c r="H167" s="156"/>
      <c r="I167" s="156"/>
      <c r="J167" s="156"/>
      <c r="K167" s="165"/>
      <c r="L167" s="165"/>
      <c r="M167" s="1"/>
      <c r="N167" s="164"/>
      <c r="O167" s="1"/>
      <c r="P167" s="153"/>
      <c r="Q167" s="39"/>
      <c r="R167" s="39"/>
      <c r="S167" s="39"/>
      <c r="T167" s="154"/>
      <c r="U167" s="40"/>
    </row>
    <row r="168" spans="1:21" ht="20" customHeight="1" x14ac:dyDescent="0.15">
      <c r="A168" s="284" t="s">
        <v>6064</v>
      </c>
      <c r="B168" s="157"/>
      <c r="C168" s="157"/>
      <c r="D168" s="157"/>
      <c r="E168" s="157"/>
      <c r="F168" s="157"/>
      <c r="G168" s="3"/>
      <c r="H168" s="156"/>
      <c r="I168" s="156"/>
      <c r="J168" s="156"/>
      <c r="K168" s="165"/>
      <c r="L168" s="165"/>
      <c r="M168" s="1"/>
      <c r="N168" s="164"/>
      <c r="O168" s="1"/>
      <c r="P168" s="153"/>
      <c r="Q168" s="39"/>
      <c r="R168" s="39"/>
      <c r="S168" s="39"/>
      <c r="T168" s="154"/>
      <c r="U168" s="40"/>
    </row>
    <row r="169" spans="1:21" ht="20" customHeight="1" x14ac:dyDescent="0.15">
      <c r="A169" s="284" t="s">
        <v>6065</v>
      </c>
      <c r="B169" s="157"/>
      <c r="C169" s="157"/>
      <c r="D169" s="157"/>
      <c r="E169" s="157"/>
      <c r="F169" s="157"/>
      <c r="G169" s="3"/>
      <c r="H169" s="156"/>
      <c r="I169" s="156"/>
      <c r="J169" s="156"/>
      <c r="K169" s="165"/>
      <c r="L169" s="165"/>
      <c r="M169" s="1"/>
      <c r="N169" s="164"/>
      <c r="O169" s="1"/>
      <c r="P169" s="153"/>
      <c r="Q169" s="39"/>
      <c r="R169" s="39"/>
      <c r="S169" s="39"/>
      <c r="T169" s="154"/>
      <c r="U169" s="40"/>
    </row>
    <row r="170" spans="1:21" ht="20" customHeight="1" x14ac:dyDescent="0.15">
      <c r="A170" s="284" t="s">
        <v>6066</v>
      </c>
      <c r="B170" s="157"/>
      <c r="C170" s="157"/>
      <c r="D170" s="157"/>
      <c r="E170" s="157"/>
      <c r="F170" s="157"/>
      <c r="G170" s="3"/>
      <c r="H170" s="156"/>
      <c r="I170" s="156"/>
      <c r="J170" s="156"/>
      <c r="K170" s="165"/>
      <c r="L170" s="165"/>
      <c r="M170" s="1"/>
      <c r="N170" s="164"/>
      <c r="O170" s="1"/>
      <c r="P170" s="153"/>
      <c r="Q170" s="39"/>
      <c r="R170" s="39"/>
      <c r="S170" s="39"/>
      <c r="T170" s="154"/>
      <c r="U170" s="40"/>
    </row>
    <row r="171" spans="1:21" ht="20" customHeight="1" x14ac:dyDescent="0.15">
      <c r="A171" s="284" t="s">
        <v>6067</v>
      </c>
      <c r="B171" s="157"/>
      <c r="C171" s="157"/>
      <c r="D171" s="157"/>
      <c r="E171" s="157"/>
      <c r="F171" s="157"/>
      <c r="G171" s="3"/>
      <c r="H171" s="156"/>
      <c r="I171" s="156"/>
      <c r="J171" s="156"/>
      <c r="K171" s="165"/>
      <c r="L171" s="165"/>
      <c r="M171" s="1"/>
      <c r="N171" s="164"/>
      <c r="O171" s="1"/>
      <c r="P171" s="153"/>
      <c r="Q171" s="39"/>
      <c r="R171" s="39"/>
      <c r="S171" s="39"/>
      <c r="T171" s="154"/>
      <c r="U171" s="40"/>
    </row>
    <row r="172" spans="1:21" ht="20" customHeight="1" x14ac:dyDescent="0.15">
      <c r="A172" s="284" t="s">
        <v>6068</v>
      </c>
      <c r="B172" s="157"/>
      <c r="C172" s="157"/>
      <c r="D172" s="157"/>
      <c r="E172" s="157"/>
      <c r="F172" s="157"/>
      <c r="G172" s="3"/>
      <c r="H172" s="156"/>
      <c r="I172" s="156"/>
      <c r="J172" s="156"/>
      <c r="K172" s="165"/>
      <c r="L172" s="165"/>
      <c r="M172" s="1"/>
      <c r="N172" s="164"/>
      <c r="O172" s="1"/>
      <c r="P172" s="153"/>
      <c r="Q172" s="39"/>
      <c r="R172" s="39"/>
      <c r="S172" s="39"/>
      <c r="T172" s="154"/>
      <c r="U172" s="40"/>
    </row>
    <row r="173" spans="1:21" ht="20" customHeight="1" x14ac:dyDescent="0.15">
      <c r="A173" s="284" t="s">
        <v>6069</v>
      </c>
      <c r="B173" s="157"/>
      <c r="C173" s="157"/>
      <c r="D173" s="157"/>
      <c r="E173" s="157"/>
      <c r="F173" s="157"/>
      <c r="G173" s="3"/>
      <c r="H173" s="156"/>
      <c r="I173" s="156"/>
      <c r="J173" s="156"/>
      <c r="K173" s="165"/>
      <c r="L173" s="165"/>
      <c r="M173" s="1"/>
      <c r="N173" s="164"/>
      <c r="O173" s="1"/>
      <c r="P173" s="153"/>
      <c r="Q173" s="39"/>
      <c r="R173" s="39"/>
      <c r="S173" s="39"/>
      <c r="T173" s="154"/>
      <c r="U173" s="40"/>
    </row>
    <row r="174" spans="1:21" ht="20" customHeight="1" x14ac:dyDescent="0.15">
      <c r="A174" s="284" t="s">
        <v>6070</v>
      </c>
      <c r="B174" s="157"/>
      <c r="C174" s="157"/>
      <c r="D174" s="157"/>
      <c r="E174" s="157"/>
      <c r="F174" s="157"/>
      <c r="G174" s="3"/>
      <c r="H174" s="156"/>
      <c r="I174" s="156"/>
      <c r="J174" s="156"/>
      <c r="K174" s="165"/>
      <c r="L174" s="165"/>
      <c r="M174" s="1"/>
      <c r="N174" s="164"/>
      <c r="O174" s="1"/>
      <c r="P174" s="153"/>
      <c r="Q174" s="39"/>
      <c r="R174" s="39"/>
      <c r="S174" s="39"/>
      <c r="T174" s="154"/>
      <c r="U174" s="40"/>
    </row>
    <row r="175" spans="1:21" ht="20" customHeight="1" x14ac:dyDescent="0.15">
      <c r="A175" s="284" t="s">
        <v>6071</v>
      </c>
      <c r="B175" s="157"/>
      <c r="C175" s="157"/>
      <c r="D175" s="157"/>
      <c r="E175" s="157"/>
      <c r="F175" s="157"/>
      <c r="G175" s="3"/>
      <c r="H175" s="156"/>
      <c r="I175" s="156"/>
      <c r="J175" s="156"/>
      <c r="K175" s="165"/>
      <c r="L175" s="165"/>
      <c r="M175" s="1"/>
      <c r="N175" s="164"/>
      <c r="O175" s="1"/>
      <c r="P175" s="153"/>
      <c r="Q175" s="39"/>
      <c r="R175" s="39"/>
      <c r="S175" s="39"/>
      <c r="T175" s="154"/>
      <c r="U175" s="40"/>
    </row>
    <row r="176" spans="1:21" ht="20" customHeight="1" x14ac:dyDescent="0.15">
      <c r="A176" s="284" t="s">
        <v>6072</v>
      </c>
      <c r="B176" s="157"/>
      <c r="C176" s="157"/>
      <c r="D176" s="157"/>
      <c r="E176" s="157"/>
      <c r="F176" s="157"/>
      <c r="G176" s="3"/>
      <c r="H176" s="156"/>
      <c r="I176" s="156"/>
      <c r="J176" s="156"/>
      <c r="K176" s="165"/>
      <c r="L176" s="165"/>
      <c r="M176" s="1"/>
      <c r="N176" s="164"/>
      <c r="O176" s="1"/>
      <c r="P176" s="153"/>
      <c r="Q176" s="39"/>
      <c r="R176" s="39"/>
      <c r="S176" s="39"/>
      <c r="T176" s="154"/>
      <c r="U176" s="40"/>
    </row>
    <row r="177" spans="1:21" ht="20" customHeight="1" x14ac:dyDescent="0.15">
      <c r="A177" s="284" t="s">
        <v>6073</v>
      </c>
      <c r="B177" s="157"/>
      <c r="C177" s="157"/>
      <c r="D177" s="157"/>
      <c r="E177" s="157"/>
      <c r="F177" s="157"/>
      <c r="G177" s="3"/>
      <c r="H177" s="156"/>
      <c r="I177" s="156"/>
      <c r="J177" s="156"/>
      <c r="K177" s="165"/>
      <c r="L177" s="165"/>
      <c r="M177" s="1"/>
      <c r="N177" s="164"/>
      <c r="O177" s="1"/>
      <c r="P177" s="153"/>
      <c r="Q177" s="39"/>
      <c r="R177" s="39"/>
      <c r="S177" s="39"/>
      <c r="T177" s="154"/>
      <c r="U177" s="40"/>
    </row>
    <row r="178" spans="1:21" ht="20" customHeight="1" x14ac:dyDescent="0.15">
      <c r="A178" s="284" t="s">
        <v>6074</v>
      </c>
      <c r="B178" s="157"/>
      <c r="C178" s="157"/>
      <c r="D178" s="157"/>
      <c r="E178" s="157"/>
      <c r="F178" s="157"/>
      <c r="G178" s="3"/>
      <c r="H178" s="156"/>
      <c r="I178" s="156"/>
      <c r="J178" s="156"/>
      <c r="K178" s="165"/>
      <c r="L178" s="165"/>
      <c r="M178" s="1"/>
      <c r="N178" s="164"/>
      <c r="O178" s="1"/>
      <c r="P178" s="153"/>
      <c r="Q178" s="39"/>
      <c r="R178" s="39"/>
      <c r="S178" s="39"/>
      <c r="T178" s="154"/>
      <c r="U178" s="40"/>
    </row>
    <row r="179" spans="1:21" ht="20" customHeight="1" x14ac:dyDescent="0.15">
      <c r="A179" s="284" t="s">
        <v>6075</v>
      </c>
      <c r="B179" s="157"/>
      <c r="C179" s="157"/>
      <c r="D179" s="157"/>
      <c r="E179" s="157"/>
      <c r="F179" s="157"/>
      <c r="G179" s="3"/>
      <c r="H179" s="156"/>
      <c r="I179" s="156"/>
      <c r="J179" s="156"/>
      <c r="K179" s="165"/>
      <c r="L179" s="165"/>
      <c r="M179" s="1"/>
      <c r="N179" s="164"/>
      <c r="O179" s="1"/>
      <c r="P179" s="153"/>
      <c r="Q179" s="39"/>
      <c r="R179" s="39"/>
      <c r="S179" s="39"/>
      <c r="T179" s="154"/>
      <c r="U179" s="40"/>
    </row>
    <row r="180" spans="1:21" ht="20" customHeight="1" x14ac:dyDescent="0.15">
      <c r="A180" s="284" t="s">
        <v>6076</v>
      </c>
      <c r="B180" s="157"/>
      <c r="C180" s="157"/>
      <c r="D180" s="157"/>
      <c r="E180" s="157"/>
      <c r="F180" s="157"/>
      <c r="G180" s="3"/>
      <c r="H180" s="156"/>
      <c r="I180" s="156"/>
      <c r="J180" s="156"/>
      <c r="K180" s="165"/>
      <c r="L180" s="165"/>
      <c r="M180" s="1"/>
      <c r="N180" s="164"/>
      <c r="O180" s="1"/>
      <c r="P180" s="153"/>
      <c r="Q180" s="39"/>
      <c r="R180" s="39"/>
      <c r="S180" s="39"/>
      <c r="T180" s="154"/>
      <c r="U180" s="40"/>
    </row>
    <row r="181" spans="1:21" ht="20" customHeight="1" x14ac:dyDescent="0.15">
      <c r="A181" s="284" t="s">
        <v>6077</v>
      </c>
      <c r="B181" s="157"/>
      <c r="C181" s="157"/>
      <c r="D181" s="157"/>
      <c r="E181" s="157"/>
      <c r="F181" s="157"/>
      <c r="G181" s="3"/>
      <c r="H181" s="156"/>
      <c r="I181" s="156"/>
      <c r="J181" s="156"/>
      <c r="K181" s="165"/>
      <c r="L181" s="165"/>
      <c r="M181" s="1"/>
      <c r="N181" s="164"/>
      <c r="O181" s="1"/>
      <c r="P181" s="153"/>
      <c r="Q181" s="39"/>
      <c r="R181" s="39"/>
      <c r="S181" s="39"/>
      <c r="T181" s="154"/>
      <c r="U181" s="40"/>
    </row>
    <row r="182" spans="1:21" ht="20" customHeight="1" x14ac:dyDescent="0.15">
      <c r="A182" s="284" t="s">
        <v>6078</v>
      </c>
      <c r="B182" s="157"/>
      <c r="C182" s="157"/>
      <c r="D182" s="157"/>
      <c r="E182" s="157"/>
      <c r="F182" s="157"/>
      <c r="G182" s="3"/>
      <c r="H182" s="156"/>
      <c r="I182" s="156"/>
      <c r="J182" s="156"/>
      <c r="K182" s="165"/>
      <c r="L182" s="165"/>
      <c r="M182" s="1"/>
      <c r="N182" s="164"/>
      <c r="O182" s="1"/>
      <c r="P182" s="153"/>
      <c r="Q182" s="39"/>
      <c r="R182" s="39"/>
      <c r="S182" s="39"/>
      <c r="T182" s="154"/>
      <c r="U182" s="40"/>
    </row>
    <row r="183" spans="1:21" ht="20" customHeight="1" x14ac:dyDescent="0.15">
      <c r="A183" s="284" t="s">
        <v>6079</v>
      </c>
      <c r="B183" s="157"/>
      <c r="C183" s="157"/>
      <c r="D183" s="157"/>
      <c r="E183" s="157"/>
      <c r="F183" s="157"/>
      <c r="G183" s="3"/>
      <c r="H183" s="156"/>
      <c r="I183" s="156"/>
      <c r="J183" s="156"/>
      <c r="K183" s="165"/>
      <c r="L183" s="165"/>
      <c r="M183" s="1"/>
      <c r="N183" s="164"/>
      <c r="O183" s="1"/>
      <c r="P183" s="153"/>
      <c r="Q183" s="39"/>
      <c r="R183" s="39"/>
      <c r="S183" s="39"/>
      <c r="T183" s="154"/>
      <c r="U183" s="40"/>
    </row>
    <row r="184" spans="1:21" ht="20" customHeight="1" x14ac:dyDescent="0.15">
      <c r="A184" s="284" t="s">
        <v>6080</v>
      </c>
      <c r="B184" s="157"/>
      <c r="C184" s="157"/>
      <c r="D184" s="157"/>
      <c r="E184" s="157"/>
      <c r="F184" s="157"/>
      <c r="G184" s="3"/>
      <c r="H184" s="156"/>
      <c r="I184" s="156"/>
      <c r="J184" s="156"/>
      <c r="K184" s="165"/>
      <c r="L184" s="165"/>
      <c r="M184" s="1"/>
      <c r="N184" s="164"/>
      <c r="O184" s="1"/>
      <c r="P184" s="153"/>
      <c r="Q184" s="39"/>
      <c r="R184" s="39"/>
      <c r="S184" s="39"/>
      <c r="T184" s="154"/>
      <c r="U184" s="40"/>
    </row>
    <row r="185" spans="1:21" ht="20" customHeight="1" x14ac:dyDescent="0.15">
      <c r="A185" s="284" t="s">
        <v>6081</v>
      </c>
      <c r="B185" s="157"/>
      <c r="C185" s="157"/>
      <c r="D185" s="157"/>
      <c r="E185" s="157"/>
      <c r="F185" s="157"/>
      <c r="G185" s="3"/>
      <c r="H185" s="156"/>
      <c r="I185" s="156"/>
      <c r="J185" s="156"/>
      <c r="K185" s="165"/>
      <c r="L185" s="165"/>
      <c r="M185" s="1"/>
      <c r="N185" s="164"/>
      <c r="O185" s="1"/>
      <c r="P185" s="153"/>
      <c r="Q185" s="39"/>
      <c r="R185" s="39"/>
      <c r="S185" s="39"/>
      <c r="T185" s="154"/>
      <c r="U185" s="40"/>
    </row>
    <row r="186" spans="1:21" ht="20" customHeight="1" x14ac:dyDescent="0.15">
      <c r="A186" s="284" t="s">
        <v>6082</v>
      </c>
      <c r="B186" s="157"/>
      <c r="C186" s="157"/>
      <c r="D186" s="157"/>
      <c r="E186" s="157"/>
      <c r="F186" s="157"/>
      <c r="G186" s="3"/>
      <c r="H186" s="156"/>
      <c r="I186" s="156"/>
      <c r="J186" s="156"/>
      <c r="K186" s="165"/>
      <c r="L186" s="165"/>
      <c r="M186" s="1"/>
      <c r="N186" s="164"/>
      <c r="O186" s="1"/>
      <c r="P186" s="153"/>
      <c r="Q186" s="39"/>
      <c r="R186" s="39"/>
      <c r="S186" s="39"/>
      <c r="T186" s="154"/>
      <c r="U186" s="40"/>
    </row>
    <row r="187" spans="1:21" ht="20" customHeight="1" x14ac:dyDescent="0.15">
      <c r="A187" s="284" t="s">
        <v>6083</v>
      </c>
      <c r="B187" s="157"/>
      <c r="C187" s="157"/>
      <c r="D187" s="157"/>
      <c r="E187" s="157"/>
      <c r="F187" s="157"/>
      <c r="G187" s="3"/>
      <c r="H187" s="156"/>
      <c r="I187" s="156"/>
      <c r="J187" s="156"/>
      <c r="K187" s="165"/>
      <c r="L187" s="165"/>
      <c r="M187" s="1"/>
      <c r="N187" s="164"/>
      <c r="O187" s="1"/>
      <c r="P187" s="153"/>
      <c r="Q187" s="39"/>
      <c r="R187" s="39"/>
      <c r="S187" s="39"/>
      <c r="T187" s="154"/>
      <c r="U187" s="40"/>
    </row>
    <row r="188" spans="1:21" ht="20" customHeight="1" x14ac:dyDescent="0.15">
      <c r="A188" s="284" t="s">
        <v>6084</v>
      </c>
      <c r="B188" s="157"/>
      <c r="C188" s="157"/>
      <c r="D188" s="157"/>
      <c r="E188" s="157"/>
      <c r="F188" s="157"/>
      <c r="G188" s="3"/>
      <c r="H188" s="156"/>
      <c r="I188" s="156"/>
      <c r="J188" s="156"/>
      <c r="K188" s="165"/>
      <c r="L188" s="165"/>
      <c r="M188" s="1"/>
      <c r="N188" s="164"/>
      <c r="O188" s="1"/>
      <c r="P188" s="153"/>
      <c r="Q188" s="39"/>
      <c r="R188" s="39"/>
      <c r="S188" s="39"/>
      <c r="T188" s="154"/>
      <c r="U188" s="40"/>
    </row>
    <row r="189" spans="1:21" ht="20" customHeight="1" x14ac:dyDescent="0.15">
      <c r="A189" s="284" t="s">
        <v>6085</v>
      </c>
      <c r="B189" s="157"/>
      <c r="C189" s="157"/>
      <c r="D189" s="157"/>
      <c r="E189" s="157"/>
      <c r="F189" s="157"/>
      <c r="G189" s="3"/>
      <c r="H189" s="156"/>
      <c r="I189" s="156"/>
      <c r="J189" s="156"/>
      <c r="K189" s="165"/>
      <c r="L189" s="165"/>
      <c r="M189" s="1"/>
      <c r="N189" s="164"/>
      <c r="O189" s="1"/>
      <c r="P189" s="153"/>
      <c r="Q189" s="39"/>
      <c r="R189" s="39"/>
      <c r="S189" s="39"/>
      <c r="T189" s="154"/>
      <c r="U189" s="40"/>
    </row>
    <row r="190" spans="1:21" ht="20" customHeight="1" x14ac:dyDescent="0.15">
      <c r="A190" s="284" t="s">
        <v>6086</v>
      </c>
      <c r="B190" s="157"/>
      <c r="C190" s="157"/>
      <c r="D190" s="157"/>
      <c r="E190" s="157"/>
      <c r="F190" s="157"/>
      <c r="G190" s="3"/>
      <c r="H190" s="156"/>
      <c r="I190" s="156"/>
      <c r="J190" s="156"/>
      <c r="K190" s="165"/>
      <c r="L190" s="165"/>
      <c r="M190" s="1"/>
      <c r="N190" s="164"/>
      <c r="O190" s="1"/>
      <c r="P190" s="153"/>
      <c r="Q190" s="39"/>
      <c r="R190" s="39"/>
      <c r="S190" s="39"/>
      <c r="T190" s="154"/>
      <c r="U190" s="40"/>
    </row>
    <row r="191" spans="1:21" ht="20" customHeight="1" x14ac:dyDescent="0.15">
      <c r="A191" s="284" t="s">
        <v>6087</v>
      </c>
      <c r="B191" s="157"/>
      <c r="C191" s="157"/>
      <c r="D191" s="157"/>
      <c r="E191" s="157"/>
      <c r="F191" s="157"/>
      <c r="G191" s="3"/>
      <c r="H191" s="156"/>
      <c r="I191" s="156"/>
      <c r="J191" s="156"/>
      <c r="K191" s="165"/>
      <c r="L191" s="165"/>
      <c r="M191" s="1"/>
      <c r="N191" s="164"/>
      <c r="O191" s="1"/>
      <c r="P191" s="153"/>
      <c r="Q191" s="39"/>
      <c r="R191" s="39"/>
      <c r="S191" s="39"/>
      <c r="T191" s="154"/>
      <c r="U191" s="40"/>
    </row>
    <row r="192" spans="1:21" ht="20" customHeight="1" x14ac:dyDescent="0.15">
      <c r="A192" s="284" t="s">
        <v>6088</v>
      </c>
      <c r="B192" s="157"/>
      <c r="C192" s="157"/>
      <c r="D192" s="157"/>
      <c r="E192" s="157"/>
      <c r="F192" s="157"/>
      <c r="G192" s="3"/>
      <c r="H192" s="156"/>
      <c r="I192" s="156"/>
      <c r="J192" s="156"/>
      <c r="K192" s="165"/>
      <c r="L192" s="165"/>
      <c r="M192" s="1"/>
      <c r="N192" s="164"/>
      <c r="O192" s="1"/>
      <c r="P192" s="153"/>
      <c r="Q192" s="39"/>
      <c r="R192" s="39"/>
      <c r="S192" s="39"/>
      <c r="T192" s="154"/>
      <c r="U192" s="40"/>
    </row>
    <row r="193" spans="1:21" ht="20" customHeight="1" x14ac:dyDescent="0.15">
      <c r="A193" s="284" t="s">
        <v>6089</v>
      </c>
      <c r="B193" s="157"/>
      <c r="C193" s="157"/>
      <c r="D193" s="157"/>
      <c r="E193" s="157"/>
      <c r="F193" s="157"/>
      <c r="G193" s="3"/>
      <c r="H193" s="156"/>
      <c r="I193" s="156"/>
      <c r="J193" s="156"/>
      <c r="K193" s="165"/>
      <c r="L193" s="165"/>
      <c r="M193" s="1"/>
      <c r="N193" s="164"/>
      <c r="O193" s="1"/>
      <c r="P193" s="153"/>
      <c r="Q193" s="39"/>
      <c r="R193" s="39"/>
      <c r="S193" s="39"/>
      <c r="T193" s="154"/>
      <c r="U193" s="40"/>
    </row>
    <row r="194" spans="1:21" ht="20" customHeight="1" x14ac:dyDescent="0.15">
      <c r="A194" s="284" t="s">
        <v>6090</v>
      </c>
      <c r="B194" s="157"/>
      <c r="C194" s="157"/>
      <c r="D194" s="157"/>
      <c r="E194" s="157"/>
      <c r="F194" s="157"/>
      <c r="G194" s="3"/>
      <c r="H194" s="156"/>
      <c r="I194" s="156"/>
      <c r="J194" s="156"/>
      <c r="K194" s="165"/>
      <c r="L194" s="165"/>
      <c r="M194" s="1"/>
      <c r="N194" s="164"/>
      <c r="O194" s="1"/>
      <c r="P194" s="153"/>
      <c r="Q194" s="39"/>
      <c r="R194" s="39"/>
      <c r="S194" s="39"/>
      <c r="T194" s="154"/>
      <c r="U194" s="40"/>
    </row>
    <row r="195" spans="1:21" ht="20" customHeight="1" x14ac:dyDescent="0.15">
      <c r="A195" s="284" t="s">
        <v>6091</v>
      </c>
      <c r="B195" s="157"/>
      <c r="C195" s="157"/>
      <c r="D195" s="157"/>
      <c r="E195" s="157"/>
      <c r="F195" s="157"/>
      <c r="G195" s="3"/>
      <c r="H195" s="156"/>
      <c r="I195" s="156"/>
      <c r="J195" s="156"/>
      <c r="K195" s="165"/>
      <c r="L195" s="165"/>
      <c r="M195" s="1"/>
      <c r="N195" s="164"/>
      <c r="O195" s="1"/>
      <c r="P195" s="153"/>
      <c r="Q195" s="39"/>
      <c r="R195" s="39"/>
      <c r="S195" s="39"/>
      <c r="T195" s="154"/>
      <c r="U195" s="40"/>
    </row>
    <row r="196" spans="1:21" ht="20" customHeight="1" x14ac:dyDescent="0.15">
      <c r="A196" s="284" t="s">
        <v>6092</v>
      </c>
      <c r="B196" s="157"/>
      <c r="C196" s="157"/>
      <c r="D196" s="157"/>
      <c r="E196" s="157"/>
      <c r="F196" s="157"/>
      <c r="G196" s="3"/>
      <c r="H196" s="156"/>
      <c r="I196" s="156"/>
      <c r="J196" s="156"/>
      <c r="K196" s="165"/>
      <c r="L196" s="165"/>
      <c r="M196" s="1"/>
      <c r="N196" s="164"/>
      <c r="O196" s="1"/>
      <c r="P196" s="153"/>
      <c r="Q196" s="39"/>
      <c r="R196" s="39"/>
      <c r="S196" s="39"/>
      <c r="T196" s="154"/>
      <c r="U196" s="40"/>
    </row>
    <row r="197" spans="1:21" ht="20" customHeight="1" x14ac:dyDescent="0.15">
      <c r="A197" s="284" t="s">
        <v>6093</v>
      </c>
      <c r="B197" s="157"/>
      <c r="C197" s="157"/>
      <c r="D197" s="157"/>
      <c r="E197" s="157"/>
      <c r="F197" s="157"/>
      <c r="G197" s="3"/>
      <c r="H197" s="156"/>
      <c r="I197" s="156"/>
      <c r="J197" s="156"/>
      <c r="K197" s="165"/>
      <c r="L197" s="165"/>
      <c r="M197" s="1"/>
      <c r="N197" s="164"/>
      <c r="O197" s="1"/>
      <c r="P197" s="153"/>
      <c r="Q197" s="39"/>
      <c r="R197" s="39"/>
      <c r="S197" s="39"/>
      <c r="T197" s="154"/>
      <c r="U197" s="40"/>
    </row>
    <row r="198" spans="1:21" ht="20" customHeight="1" x14ac:dyDescent="0.15">
      <c r="A198" s="284" t="s">
        <v>6094</v>
      </c>
      <c r="B198" s="157"/>
      <c r="C198" s="157"/>
      <c r="D198" s="157"/>
      <c r="E198" s="157"/>
      <c r="F198" s="157"/>
      <c r="G198" s="3"/>
      <c r="H198" s="156"/>
      <c r="I198" s="156"/>
      <c r="J198" s="156"/>
      <c r="K198" s="165"/>
      <c r="L198" s="165"/>
      <c r="M198" s="1"/>
      <c r="N198" s="164"/>
      <c r="O198" s="1"/>
      <c r="P198" s="153"/>
      <c r="Q198" s="39"/>
      <c r="R198" s="39"/>
      <c r="S198" s="39"/>
      <c r="T198" s="154"/>
      <c r="U198" s="40"/>
    </row>
    <row r="199" spans="1:21" ht="20" customHeight="1" x14ac:dyDescent="0.15">
      <c r="A199" s="284" t="s">
        <v>6095</v>
      </c>
      <c r="B199" s="157"/>
      <c r="C199" s="157"/>
      <c r="D199" s="157"/>
      <c r="E199" s="157"/>
      <c r="F199" s="157"/>
      <c r="G199" s="3"/>
      <c r="H199" s="156"/>
      <c r="I199" s="156"/>
      <c r="J199" s="156"/>
      <c r="K199" s="165"/>
      <c r="L199" s="165"/>
      <c r="M199" s="1"/>
      <c r="N199" s="164"/>
      <c r="O199" s="1"/>
      <c r="P199" s="153"/>
      <c r="Q199" s="39"/>
      <c r="R199" s="39"/>
      <c r="S199" s="39"/>
      <c r="T199" s="154"/>
      <c r="U199" s="40"/>
    </row>
    <row r="200" spans="1:21" ht="20" customHeight="1" x14ac:dyDescent="0.15">
      <c r="A200" s="284" t="s">
        <v>6096</v>
      </c>
      <c r="B200" s="157"/>
      <c r="C200" s="157"/>
      <c r="D200" s="157"/>
      <c r="E200" s="157"/>
      <c r="F200" s="157"/>
      <c r="G200" s="3"/>
      <c r="H200" s="156"/>
      <c r="I200" s="156"/>
      <c r="J200" s="156"/>
      <c r="K200" s="165"/>
      <c r="L200" s="165"/>
      <c r="M200" s="1"/>
      <c r="N200" s="164"/>
      <c r="O200" s="1"/>
      <c r="P200" s="153"/>
      <c r="Q200" s="39"/>
      <c r="R200" s="39"/>
      <c r="S200" s="39"/>
      <c r="T200" s="154"/>
      <c r="U200" s="40"/>
    </row>
    <row r="201" spans="1:21" ht="20" customHeight="1" x14ac:dyDescent="0.15">
      <c r="A201" s="284" t="s">
        <v>6097</v>
      </c>
      <c r="B201" s="157"/>
      <c r="C201" s="157"/>
      <c r="D201" s="157"/>
      <c r="E201" s="157"/>
      <c r="F201" s="157"/>
      <c r="G201" s="3"/>
      <c r="H201" s="156"/>
      <c r="I201" s="156"/>
      <c r="J201" s="156"/>
      <c r="K201" s="165"/>
      <c r="L201" s="165"/>
      <c r="M201" s="1"/>
      <c r="N201" s="164"/>
      <c r="O201" s="1"/>
      <c r="P201" s="153"/>
      <c r="Q201" s="39"/>
      <c r="R201" s="39"/>
      <c r="S201" s="39"/>
      <c r="T201" s="154"/>
      <c r="U201" s="40"/>
    </row>
    <row r="202" spans="1:21" ht="20" customHeight="1" x14ac:dyDescent="0.15">
      <c r="A202" s="284" t="s">
        <v>6098</v>
      </c>
      <c r="B202" s="157"/>
      <c r="C202" s="157"/>
      <c r="D202" s="157"/>
      <c r="E202" s="157"/>
      <c r="F202" s="157"/>
      <c r="G202" s="3"/>
      <c r="H202" s="156"/>
      <c r="I202" s="156"/>
      <c r="J202" s="156"/>
      <c r="K202" s="165"/>
      <c r="L202" s="165"/>
      <c r="M202" s="1"/>
      <c r="N202" s="164"/>
      <c r="O202" s="1"/>
      <c r="P202" s="153"/>
      <c r="Q202" s="39"/>
      <c r="R202" s="39"/>
      <c r="S202" s="39"/>
      <c r="T202" s="154"/>
      <c r="U202" s="40"/>
    </row>
    <row r="203" spans="1:21" ht="20" customHeight="1" x14ac:dyDescent="0.15">
      <c r="A203" s="284" t="s">
        <v>6099</v>
      </c>
      <c r="B203" s="157"/>
      <c r="C203" s="157"/>
      <c r="D203" s="157"/>
      <c r="E203" s="157"/>
      <c r="F203" s="157"/>
      <c r="G203" s="3"/>
      <c r="H203" s="156"/>
      <c r="I203" s="156"/>
      <c r="J203" s="156"/>
      <c r="K203" s="165"/>
      <c r="L203" s="165"/>
      <c r="M203" s="1"/>
      <c r="N203" s="164"/>
      <c r="O203" s="1"/>
      <c r="P203" s="153"/>
      <c r="Q203" s="39"/>
      <c r="R203" s="39"/>
      <c r="S203" s="39"/>
      <c r="T203" s="154"/>
      <c r="U203" s="40"/>
    </row>
    <row r="204" spans="1:21" ht="20" customHeight="1" x14ac:dyDescent="0.15">
      <c r="A204" s="284" t="s">
        <v>6100</v>
      </c>
      <c r="B204" s="157"/>
      <c r="C204" s="157"/>
      <c r="D204" s="157"/>
      <c r="E204" s="157"/>
      <c r="F204" s="157"/>
      <c r="G204" s="3"/>
      <c r="H204" s="156"/>
      <c r="I204" s="156"/>
      <c r="J204" s="156"/>
      <c r="K204" s="165"/>
      <c r="L204" s="165"/>
      <c r="M204" s="1"/>
      <c r="N204" s="164"/>
      <c r="O204" s="1"/>
      <c r="P204" s="153"/>
      <c r="Q204" s="39"/>
      <c r="R204" s="39"/>
      <c r="S204" s="39"/>
      <c r="T204" s="154"/>
      <c r="U204" s="40"/>
    </row>
    <row r="205" spans="1:21" ht="20" customHeight="1" x14ac:dyDescent="0.15">
      <c r="A205" s="284" t="s">
        <v>6101</v>
      </c>
      <c r="B205" s="157"/>
      <c r="C205" s="157"/>
      <c r="D205" s="157"/>
      <c r="E205" s="157"/>
      <c r="F205" s="157"/>
      <c r="G205" s="3"/>
      <c r="H205" s="156"/>
      <c r="I205" s="156"/>
      <c r="J205" s="156"/>
      <c r="K205" s="165"/>
      <c r="L205" s="165"/>
      <c r="M205" s="1"/>
      <c r="N205" s="164"/>
      <c r="O205" s="1"/>
      <c r="P205" s="153"/>
      <c r="Q205" s="39"/>
      <c r="R205" s="39"/>
      <c r="S205" s="39"/>
      <c r="T205" s="154"/>
      <c r="U205" s="40"/>
    </row>
    <row r="206" spans="1:21" ht="20" customHeight="1" x14ac:dyDescent="0.15">
      <c r="A206" s="284" t="s">
        <v>6102</v>
      </c>
      <c r="B206" s="157"/>
      <c r="C206" s="157"/>
      <c r="D206" s="157"/>
      <c r="E206" s="157"/>
      <c r="F206" s="157"/>
      <c r="G206" s="3"/>
      <c r="H206" s="156"/>
      <c r="I206" s="156"/>
      <c r="J206" s="156"/>
      <c r="K206" s="165"/>
      <c r="L206" s="165"/>
      <c r="M206" s="1"/>
      <c r="N206" s="164"/>
      <c r="O206" s="1"/>
      <c r="P206" s="153"/>
      <c r="Q206" s="39"/>
      <c r="R206" s="39"/>
      <c r="S206" s="39"/>
      <c r="T206" s="154"/>
      <c r="U206" s="40"/>
    </row>
    <row r="207" spans="1:21" ht="20" customHeight="1" x14ac:dyDescent="0.15">
      <c r="A207" s="284" t="s">
        <v>6103</v>
      </c>
      <c r="B207" s="157"/>
      <c r="C207" s="157"/>
      <c r="D207" s="157"/>
      <c r="E207" s="157"/>
      <c r="F207" s="157"/>
      <c r="G207" s="3"/>
      <c r="H207" s="156"/>
      <c r="I207" s="156"/>
      <c r="J207" s="156"/>
      <c r="K207" s="165"/>
      <c r="L207" s="165"/>
      <c r="M207" s="1"/>
      <c r="N207" s="164"/>
      <c r="O207" s="1"/>
      <c r="P207" s="153"/>
      <c r="Q207" s="39"/>
      <c r="R207" s="39"/>
      <c r="S207" s="39"/>
      <c r="T207" s="154"/>
      <c r="U207" s="40"/>
    </row>
    <row r="208" spans="1:21" ht="20" customHeight="1" x14ac:dyDescent="0.15">
      <c r="A208" s="284" t="s">
        <v>6104</v>
      </c>
      <c r="B208" s="157"/>
      <c r="C208" s="157"/>
      <c r="D208" s="157"/>
      <c r="E208" s="157"/>
      <c r="F208" s="157"/>
      <c r="G208" s="3"/>
      <c r="H208" s="156"/>
      <c r="I208" s="156"/>
      <c r="J208" s="156"/>
      <c r="K208" s="165"/>
      <c r="L208" s="165"/>
      <c r="M208" s="1"/>
      <c r="N208" s="164"/>
      <c r="O208" s="1"/>
      <c r="P208" s="153"/>
      <c r="Q208" s="39"/>
      <c r="R208" s="39"/>
      <c r="S208" s="39"/>
      <c r="T208" s="154"/>
      <c r="U208" s="40"/>
    </row>
    <row r="209" spans="1:21" ht="20" customHeight="1" x14ac:dyDescent="0.15">
      <c r="A209" s="284" t="s">
        <v>6105</v>
      </c>
      <c r="B209" s="157"/>
      <c r="C209" s="157"/>
      <c r="D209" s="157"/>
      <c r="E209" s="157"/>
      <c r="F209" s="157"/>
      <c r="G209" s="3"/>
      <c r="H209" s="156"/>
      <c r="I209" s="156"/>
      <c r="J209" s="156"/>
      <c r="K209" s="165"/>
      <c r="L209" s="165"/>
      <c r="M209" s="1"/>
      <c r="N209" s="164"/>
      <c r="O209" s="1"/>
      <c r="P209" s="153"/>
      <c r="Q209" s="39"/>
      <c r="R209" s="39"/>
      <c r="S209" s="39"/>
      <c r="T209" s="154"/>
      <c r="U209" s="40"/>
    </row>
    <row r="210" spans="1:21" ht="20" customHeight="1" x14ac:dyDescent="0.15">
      <c r="A210" s="284" t="s">
        <v>6106</v>
      </c>
      <c r="B210" s="157"/>
      <c r="C210" s="157"/>
      <c r="D210" s="157"/>
      <c r="E210" s="157"/>
      <c r="F210" s="157"/>
      <c r="G210" s="3"/>
      <c r="H210" s="156"/>
      <c r="I210" s="156"/>
      <c r="J210" s="156"/>
      <c r="K210" s="165"/>
      <c r="L210" s="165"/>
      <c r="M210" s="1"/>
      <c r="N210" s="164"/>
      <c r="O210" s="1"/>
      <c r="P210" s="153"/>
      <c r="Q210" s="39"/>
      <c r="R210" s="39"/>
      <c r="S210" s="39"/>
      <c r="T210" s="154"/>
      <c r="U210" s="40"/>
    </row>
    <row r="211" spans="1:21" ht="20" customHeight="1" x14ac:dyDescent="0.15">
      <c r="A211" s="284" t="s">
        <v>6107</v>
      </c>
      <c r="B211" s="157"/>
      <c r="C211" s="157"/>
      <c r="D211" s="157"/>
      <c r="E211" s="157"/>
      <c r="F211" s="157"/>
      <c r="G211" s="3"/>
      <c r="H211" s="156"/>
      <c r="I211" s="156"/>
      <c r="J211" s="156"/>
      <c r="K211" s="165"/>
      <c r="L211" s="165"/>
      <c r="M211" s="1"/>
      <c r="N211" s="164"/>
      <c r="O211" s="1"/>
      <c r="P211" s="153"/>
      <c r="Q211" s="39"/>
      <c r="R211" s="39"/>
      <c r="S211" s="39"/>
      <c r="T211" s="154"/>
      <c r="U211" s="40"/>
    </row>
    <row r="212" spans="1:21" ht="20" customHeight="1" x14ac:dyDescent="0.15">
      <c r="A212" s="284" t="s">
        <v>6108</v>
      </c>
      <c r="B212" s="157"/>
      <c r="C212" s="157"/>
      <c r="D212" s="157"/>
      <c r="E212" s="157"/>
      <c r="F212" s="157"/>
      <c r="G212" s="3"/>
      <c r="H212" s="156"/>
      <c r="I212" s="156"/>
      <c r="J212" s="156"/>
      <c r="K212" s="165"/>
      <c r="L212" s="165"/>
      <c r="M212" s="1"/>
      <c r="N212" s="164"/>
      <c r="O212" s="1"/>
      <c r="P212" s="153"/>
      <c r="Q212" s="39"/>
      <c r="R212" s="39"/>
      <c r="S212" s="39"/>
      <c r="T212" s="154"/>
      <c r="U212" s="40"/>
    </row>
    <row r="213" spans="1:21" ht="20" customHeight="1" x14ac:dyDescent="0.15">
      <c r="A213" s="284" t="s">
        <v>6109</v>
      </c>
      <c r="B213" s="157"/>
      <c r="C213" s="157"/>
      <c r="D213" s="157"/>
      <c r="E213" s="157"/>
      <c r="F213" s="157"/>
      <c r="G213" s="3"/>
      <c r="H213" s="156"/>
      <c r="I213" s="156"/>
      <c r="J213" s="156"/>
      <c r="K213" s="165"/>
      <c r="L213" s="165"/>
      <c r="M213" s="1"/>
      <c r="N213" s="164"/>
      <c r="O213" s="1"/>
      <c r="P213" s="153"/>
      <c r="Q213" s="39"/>
      <c r="R213" s="39"/>
      <c r="S213" s="39"/>
      <c r="T213" s="154"/>
      <c r="U213" s="40"/>
    </row>
    <row r="214" spans="1:21" ht="20" customHeight="1" x14ac:dyDescent="0.15">
      <c r="A214" s="284" t="s">
        <v>6110</v>
      </c>
      <c r="B214" s="157"/>
      <c r="C214" s="157"/>
      <c r="D214" s="157"/>
      <c r="E214" s="157"/>
      <c r="F214" s="157"/>
      <c r="G214" s="3"/>
      <c r="H214" s="156"/>
      <c r="I214" s="156"/>
      <c r="J214" s="156"/>
      <c r="K214" s="165"/>
      <c r="L214" s="165"/>
      <c r="M214" s="1"/>
      <c r="N214" s="164"/>
      <c r="O214" s="1"/>
      <c r="P214" s="153"/>
      <c r="Q214" s="39"/>
      <c r="R214" s="39"/>
      <c r="S214" s="39"/>
      <c r="T214" s="154"/>
      <c r="U214" s="40"/>
    </row>
    <row r="215" spans="1:21" ht="20" customHeight="1" x14ac:dyDescent="0.15">
      <c r="A215" s="284" t="s">
        <v>6111</v>
      </c>
      <c r="B215" s="157"/>
      <c r="C215" s="157"/>
      <c r="D215" s="157"/>
      <c r="E215" s="157"/>
      <c r="F215" s="157"/>
      <c r="G215" s="3"/>
      <c r="H215" s="156"/>
      <c r="I215" s="156"/>
      <c r="J215" s="156"/>
      <c r="K215" s="165"/>
      <c r="L215" s="165"/>
      <c r="M215" s="1"/>
      <c r="N215" s="164"/>
      <c r="O215" s="1"/>
      <c r="P215" s="153"/>
      <c r="Q215" s="39"/>
      <c r="R215" s="39"/>
      <c r="S215" s="39"/>
      <c r="T215" s="154"/>
      <c r="U215" s="40"/>
    </row>
    <row r="216" spans="1:21" ht="20" customHeight="1" x14ac:dyDescent="0.15">
      <c r="A216" s="284" t="s">
        <v>6112</v>
      </c>
      <c r="B216" s="157"/>
      <c r="C216" s="157"/>
      <c r="D216" s="157"/>
      <c r="E216" s="157"/>
      <c r="F216" s="157"/>
      <c r="G216" s="3"/>
      <c r="H216" s="156"/>
      <c r="I216" s="156"/>
      <c r="J216" s="156"/>
      <c r="K216" s="165"/>
      <c r="L216" s="165"/>
      <c r="M216" s="1"/>
      <c r="N216" s="164"/>
      <c r="O216" s="1"/>
      <c r="P216" s="153"/>
      <c r="Q216" s="39"/>
      <c r="R216" s="39"/>
      <c r="S216" s="39"/>
      <c r="T216" s="154"/>
      <c r="U216" s="40"/>
    </row>
    <row r="217" spans="1:21" ht="20" customHeight="1" x14ac:dyDescent="0.15">
      <c r="A217" s="284" t="s">
        <v>6113</v>
      </c>
      <c r="B217" s="157"/>
      <c r="C217" s="157"/>
      <c r="D217" s="157"/>
      <c r="E217" s="157"/>
      <c r="F217" s="157"/>
      <c r="G217" s="3"/>
      <c r="H217" s="156"/>
      <c r="I217" s="156"/>
      <c r="J217" s="156"/>
      <c r="K217" s="165"/>
      <c r="L217" s="165"/>
      <c r="M217" s="1"/>
      <c r="N217" s="164"/>
      <c r="O217" s="1"/>
      <c r="P217" s="153"/>
      <c r="Q217" s="39"/>
      <c r="R217" s="39"/>
      <c r="S217" s="39"/>
      <c r="T217" s="154"/>
      <c r="U217" s="40"/>
    </row>
    <row r="218" spans="1:21" ht="20" customHeight="1" x14ac:dyDescent="0.15">
      <c r="A218" s="284" t="s">
        <v>6114</v>
      </c>
      <c r="B218" s="157"/>
      <c r="C218" s="157"/>
      <c r="D218" s="157"/>
      <c r="E218" s="157"/>
      <c r="F218" s="157"/>
      <c r="G218" s="3"/>
      <c r="H218" s="156"/>
      <c r="I218" s="156"/>
      <c r="J218" s="156"/>
      <c r="K218" s="165"/>
      <c r="L218" s="165"/>
      <c r="M218" s="1"/>
      <c r="N218" s="164"/>
      <c r="O218" s="1"/>
      <c r="P218" s="153"/>
      <c r="Q218" s="39"/>
      <c r="R218" s="39"/>
      <c r="S218" s="39"/>
      <c r="T218" s="154"/>
      <c r="U218" s="40"/>
    </row>
    <row r="219" spans="1:21" ht="20" customHeight="1" x14ac:dyDescent="0.15">
      <c r="A219" s="284" t="s">
        <v>6115</v>
      </c>
      <c r="B219" s="157"/>
      <c r="C219" s="157"/>
      <c r="D219" s="157"/>
      <c r="E219" s="157"/>
      <c r="F219" s="157"/>
      <c r="G219" s="3"/>
      <c r="H219" s="156"/>
      <c r="I219" s="156"/>
      <c r="J219" s="156"/>
      <c r="K219" s="165"/>
      <c r="L219" s="165"/>
      <c r="M219" s="1"/>
      <c r="N219" s="164"/>
      <c r="O219" s="1"/>
      <c r="P219" s="153"/>
      <c r="Q219" s="39"/>
      <c r="R219" s="39"/>
      <c r="S219" s="39"/>
      <c r="T219" s="154"/>
      <c r="U219" s="40"/>
    </row>
    <row r="220" spans="1:21" ht="20" customHeight="1" x14ac:dyDescent="0.15">
      <c r="A220" s="284" t="s">
        <v>6116</v>
      </c>
      <c r="B220" s="157"/>
      <c r="C220" s="157"/>
      <c r="D220" s="157"/>
      <c r="E220" s="157"/>
      <c r="F220" s="157"/>
      <c r="G220" s="3"/>
      <c r="H220" s="156"/>
      <c r="I220" s="156"/>
      <c r="J220" s="156"/>
      <c r="K220" s="165"/>
      <c r="L220" s="165"/>
      <c r="M220" s="1"/>
      <c r="N220" s="164"/>
      <c r="O220" s="1"/>
      <c r="P220" s="153"/>
      <c r="Q220" s="39"/>
      <c r="R220" s="39"/>
      <c r="S220" s="39"/>
      <c r="T220" s="154"/>
      <c r="U220" s="40"/>
    </row>
    <row r="221" spans="1:21" ht="20" customHeight="1" x14ac:dyDescent="0.15">
      <c r="A221" s="284" t="s">
        <v>6117</v>
      </c>
      <c r="B221" s="157"/>
      <c r="C221" s="157"/>
      <c r="D221" s="157"/>
      <c r="E221" s="157"/>
      <c r="F221" s="157"/>
      <c r="G221" s="3"/>
      <c r="H221" s="156"/>
      <c r="I221" s="156"/>
      <c r="J221" s="156"/>
      <c r="K221" s="165"/>
      <c r="L221" s="165"/>
      <c r="M221" s="1"/>
      <c r="N221" s="164"/>
      <c r="O221" s="1"/>
      <c r="P221" s="153"/>
      <c r="Q221" s="39"/>
      <c r="R221" s="39"/>
      <c r="S221" s="39"/>
      <c r="T221" s="154"/>
      <c r="U221" s="40"/>
    </row>
    <row r="222" spans="1:21" ht="20" customHeight="1" x14ac:dyDescent="0.15">
      <c r="A222" s="284" t="s">
        <v>6118</v>
      </c>
      <c r="B222" s="157"/>
      <c r="C222" s="157"/>
      <c r="D222" s="157"/>
      <c r="E222" s="157"/>
      <c r="F222" s="157"/>
      <c r="G222" s="3"/>
      <c r="H222" s="156"/>
      <c r="I222" s="156"/>
      <c r="J222" s="156"/>
      <c r="K222" s="165"/>
      <c r="L222" s="165"/>
      <c r="M222" s="1"/>
      <c r="N222" s="164"/>
      <c r="O222" s="1"/>
      <c r="P222" s="153"/>
      <c r="Q222" s="39"/>
      <c r="R222" s="39"/>
      <c r="S222" s="39"/>
      <c r="T222" s="154"/>
      <c r="U222" s="40"/>
    </row>
    <row r="223" spans="1:21" ht="20" customHeight="1" x14ac:dyDescent="0.15">
      <c r="A223" s="284" t="s">
        <v>6119</v>
      </c>
      <c r="B223" s="157"/>
      <c r="C223" s="157"/>
      <c r="D223" s="157"/>
      <c r="E223" s="157"/>
      <c r="F223" s="157"/>
      <c r="G223" s="3"/>
      <c r="H223" s="156"/>
      <c r="I223" s="156"/>
      <c r="J223" s="156"/>
      <c r="K223" s="165"/>
      <c r="L223" s="165"/>
      <c r="M223" s="1"/>
      <c r="N223" s="164"/>
      <c r="O223" s="1"/>
      <c r="P223" s="153"/>
      <c r="Q223" s="39"/>
      <c r="R223" s="39"/>
      <c r="S223" s="39"/>
      <c r="T223" s="154"/>
      <c r="U223" s="40"/>
    </row>
    <row r="224" spans="1:21" ht="20" customHeight="1" x14ac:dyDescent="0.15">
      <c r="A224" s="284" t="s">
        <v>6120</v>
      </c>
      <c r="B224" s="157"/>
      <c r="C224" s="157"/>
      <c r="D224" s="157"/>
      <c r="E224" s="157"/>
      <c r="F224" s="157"/>
      <c r="G224" s="3"/>
      <c r="H224" s="156"/>
      <c r="I224" s="156"/>
      <c r="J224" s="156"/>
      <c r="K224" s="165"/>
      <c r="L224" s="165"/>
      <c r="M224" s="1"/>
      <c r="N224" s="164"/>
      <c r="O224" s="1"/>
      <c r="P224" s="153"/>
      <c r="Q224" s="39"/>
      <c r="R224" s="39"/>
      <c r="S224" s="39"/>
      <c r="T224" s="154"/>
      <c r="U224" s="40"/>
    </row>
    <row r="225" spans="1:21" ht="20" customHeight="1" x14ac:dyDescent="0.15">
      <c r="A225" s="284" t="s">
        <v>6121</v>
      </c>
      <c r="B225" s="157"/>
      <c r="C225" s="157"/>
      <c r="D225" s="157"/>
      <c r="E225" s="157"/>
      <c r="F225" s="157"/>
      <c r="G225" s="3"/>
      <c r="H225" s="156"/>
      <c r="I225" s="156"/>
      <c r="J225" s="156"/>
      <c r="K225" s="165"/>
      <c r="L225" s="165"/>
      <c r="M225" s="1"/>
      <c r="N225" s="164"/>
      <c r="O225" s="1"/>
      <c r="P225" s="153"/>
      <c r="Q225" s="39"/>
      <c r="R225" s="39"/>
      <c r="S225" s="39"/>
      <c r="T225" s="154"/>
      <c r="U225" s="40"/>
    </row>
    <row r="226" spans="1:21" ht="20" customHeight="1" x14ac:dyDescent="0.15">
      <c r="A226" s="284" t="s">
        <v>6122</v>
      </c>
      <c r="B226" s="157"/>
      <c r="C226" s="157"/>
      <c r="D226" s="157"/>
      <c r="E226" s="157"/>
      <c r="F226" s="157"/>
      <c r="G226" s="3"/>
      <c r="H226" s="156"/>
      <c r="I226" s="156"/>
      <c r="J226" s="156"/>
      <c r="K226" s="165"/>
      <c r="L226" s="165"/>
      <c r="M226" s="1"/>
      <c r="N226" s="164"/>
      <c r="O226" s="1"/>
      <c r="P226" s="153"/>
      <c r="Q226" s="39"/>
      <c r="R226" s="39"/>
      <c r="S226" s="39"/>
      <c r="T226" s="154"/>
      <c r="U226" s="40"/>
    </row>
    <row r="227" spans="1:21" ht="20" customHeight="1" x14ac:dyDescent="0.15">
      <c r="A227" s="284" t="s">
        <v>6123</v>
      </c>
      <c r="B227" s="157"/>
      <c r="C227" s="157"/>
      <c r="D227" s="157"/>
      <c r="E227" s="157"/>
      <c r="F227" s="157"/>
      <c r="G227" s="3"/>
      <c r="H227" s="156"/>
      <c r="I227" s="156"/>
      <c r="J227" s="156"/>
      <c r="K227" s="165"/>
      <c r="L227" s="165"/>
      <c r="M227" s="1"/>
      <c r="N227" s="164"/>
      <c r="O227" s="1"/>
      <c r="P227" s="153"/>
      <c r="Q227" s="39"/>
      <c r="R227" s="39"/>
      <c r="S227" s="39"/>
      <c r="T227" s="154"/>
      <c r="U227" s="40"/>
    </row>
    <row r="228" spans="1:21" ht="20" customHeight="1" x14ac:dyDescent="0.15">
      <c r="A228" s="284" t="s">
        <v>6124</v>
      </c>
      <c r="B228" s="157"/>
      <c r="C228" s="157"/>
      <c r="D228" s="157"/>
      <c r="E228" s="157"/>
      <c r="F228" s="157"/>
      <c r="G228" s="3"/>
      <c r="H228" s="156"/>
      <c r="I228" s="156"/>
      <c r="J228" s="156"/>
      <c r="K228" s="165"/>
      <c r="L228" s="165"/>
      <c r="M228" s="1"/>
      <c r="N228" s="164"/>
      <c r="O228" s="1"/>
      <c r="P228" s="153"/>
      <c r="Q228" s="39"/>
      <c r="R228" s="39"/>
      <c r="S228" s="39"/>
      <c r="T228" s="154"/>
      <c r="U228" s="40"/>
    </row>
    <row r="229" spans="1:21" ht="20" customHeight="1" x14ac:dyDescent="0.15">
      <c r="A229" s="284" t="s">
        <v>6125</v>
      </c>
      <c r="B229" s="157"/>
      <c r="C229" s="157"/>
      <c r="D229" s="157"/>
      <c r="E229" s="157"/>
      <c r="F229" s="157"/>
      <c r="G229" s="3"/>
      <c r="H229" s="156"/>
      <c r="I229" s="156"/>
      <c r="J229" s="156"/>
      <c r="K229" s="165"/>
      <c r="L229" s="165"/>
      <c r="M229" s="1"/>
      <c r="N229" s="164"/>
      <c r="O229" s="1"/>
      <c r="P229" s="153"/>
      <c r="Q229" s="39"/>
      <c r="R229" s="39"/>
      <c r="S229" s="39"/>
      <c r="T229" s="154"/>
      <c r="U229" s="40"/>
    </row>
    <row r="230" spans="1:21" ht="20" customHeight="1" x14ac:dyDescent="0.15">
      <c r="A230" s="284" t="s">
        <v>6126</v>
      </c>
      <c r="B230" s="157"/>
      <c r="C230" s="157"/>
      <c r="D230" s="157"/>
      <c r="E230" s="157"/>
      <c r="F230" s="157"/>
      <c r="G230" s="3"/>
      <c r="H230" s="156"/>
      <c r="I230" s="156"/>
      <c r="J230" s="156"/>
      <c r="K230" s="165"/>
      <c r="L230" s="165"/>
      <c r="M230" s="1"/>
      <c r="N230" s="164"/>
      <c r="O230" s="1"/>
      <c r="P230" s="153"/>
      <c r="Q230" s="39"/>
      <c r="R230" s="39"/>
      <c r="S230" s="39"/>
      <c r="T230" s="154"/>
      <c r="U230" s="40"/>
    </row>
    <row r="231" spans="1:21" ht="20" customHeight="1" x14ac:dyDescent="0.15">
      <c r="A231" s="284" t="s">
        <v>6127</v>
      </c>
      <c r="B231" s="157"/>
      <c r="C231" s="157"/>
      <c r="D231" s="157"/>
      <c r="E231" s="157"/>
      <c r="F231" s="157"/>
      <c r="G231" s="3"/>
      <c r="H231" s="156"/>
      <c r="I231" s="156"/>
      <c r="J231" s="156"/>
      <c r="K231" s="165"/>
      <c r="L231" s="165"/>
      <c r="M231" s="1"/>
      <c r="N231" s="164"/>
      <c r="O231" s="1"/>
      <c r="P231" s="153"/>
      <c r="Q231" s="39"/>
      <c r="R231" s="39"/>
      <c r="S231" s="39"/>
      <c r="T231" s="154"/>
      <c r="U231" s="40"/>
    </row>
    <row r="232" spans="1:21" ht="20" customHeight="1" x14ac:dyDescent="0.15">
      <c r="A232" s="284" t="s">
        <v>6128</v>
      </c>
      <c r="B232" s="157"/>
      <c r="C232" s="157"/>
      <c r="D232" s="157"/>
      <c r="E232" s="157"/>
      <c r="F232" s="157"/>
      <c r="G232" s="3"/>
      <c r="H232" s="156"/>
      <c r="I232" s="156"/>
      <c r="J232" s="156"/>
      <c r="K232" s="165"/>
      <c r="L232" s="165"/>
      <c r="M232" s="1"/>
      <c r="N232" s="164"/>
      <c r="O232" s="1"/>
      <c r="P232" s="153"/>
      <c r="Q232" s="39"/>
      <c r="R232" s="39"/>
      <c r="S232" s="39"/>
      <c r="T232" s="154"/>
      <c r="U232" s="40"/>
    </row>
    <row r="233" spans="1:21" ht="20" customHeight="1" x14ac:dyDescent="0.15">
      <c r="A233" s="284" t="s">
        <v>6129</v>
      </c>
      <c r="B233" s="157"/>
      <c r="C233" s="157"/>
      <c r="D233" s="157"/>
      <c r="E233" s="157"/>
      <c r="F233" s="157"/>
      <c r="G233" s="3"/>
      <c r="H233" s="156"/>
      <c r="I233" s="156"/>
      <c r="J233" s="156"/>
      <c r="K233" s="165"/>
      <c r="L233" s="165"/>
      <c r="M233" s="1"/>
      <c r="N233" s="164"/>
      <c r="O233" s="1"/>
      <c r="P233" s="153"/>
      <c r="Q233" s="39"/>
      <c r="R233" s="39"/>
      <c r="S233" s="39"/>
      <c r="T233" s="154"/>
      <c r="U233" s="40"/>
    </row>
    <row r="234" spans="1:21" ht="20" customHeight="1" x14ac:dyDescent="0.15">
      <c r="A234" s="284" t="s">
        <v>6130</v>
      </c>
      <c r="B234" s="157"/>
      <c r="C234" s="157"/>
      <c r="D234" s="157"/>
      <c r="E234" s="157"/>
      <c r="F234" s="157"/>
      <c r="G234" s="3"/>
      <c r="H234" s="156"/>
      <c r="I234" s="156"/>
      <c r="J234" s="156"/>
      <c r="K234" s="165"/>
      <c r="L234" s="165"/>
      <c r="M234" s="1"/>
      <c r="N234" s="164"/>
      <c r="O234" s="1"/>
      <c r="P234" s="153"/>
      <c r="Q234" s="39"/>
      <c r="R234" s="39"/>
      <c r="S234" s="39"/>
      <c r="T234" s="154"/>
      <c r="U234" s="40"/>
    </row>
    <row r="235" spans="1:21" ht="20" customHeight="1" x14ac:dyDescent="0.15">
      <c r="A235" s="284" t="s">
        <v>6131</v>
      </c>
      <c r="B235" s="157"/>
      <c r="C235" s="157"/>
      <c r="D235" s="157"/>
      <c r="E235" s="157"/>
      <c r="F235" s="157"/>
      <c r="G235" s="3"/>
      <c r="H235" s="156"/>
      <c r="I235" s="156"/>
      <c r="J235" s="156"/>
      <c r="K235" s="165"/>
      <c r="L235" s="165"/>
      <c r="M235" s="1"/>
      <c r="N235" s="164"/>
      <c r="O235" s="1"/>
      <c r="P235" s="153"/>
      <c r="Q235" s="39"/>
      <c r="R235" s="39"/>
      <c r="S235" s="39"/>
      <c r="T235" s="154"/>
      <c r="U235" s="40"/>
    </row>
    <row r="236" spans="1:21" ht="20" customHeight="1" x14ac:dyDescent="0.15">
      <c r="A236" s="284" t="s">
        <v>6132</v>
      </c>
      <c r="B236" s="157"/>
      <c r="C236" s="157"/>
      <c r="D236" s="157"/>
      <c r="E236" s="157"/>
      <c r="F236" s="157"/>
      <c r="G236" s="3"/>
      <c r="H236" s="156"/>
      <c r="I236" s="156"/>
      <c r="J236" s="156"/>
      <c r="K236" s="165"/>
      <c r="L236" s="165"/>
      <c r="M236" s="1"/>
      <c r="N236" s="164"/>
      <c r="O236" s="1"/>
      <c r="P236" s="153"/>
      <c r="Q236" s="39"/>
      <c r="R236" s="39"/>
      <c r="S236" s="39"/>
      <c r="T236" s="154"/>
      <c r="U236" s="40"/>
    </row>
    <row r="237" spans="1:21" ht="20" customHeight="1" x14ac:dyDescent="0.15">
      <c r="A237" s="284" t="s">
        <v>6133</v>
      </c>
      <c r="B237" s="157"/>
      <c r="C237" s="157"/>
      <c r="D237" s="157"/>
      <c r="E237" s="157"/>
      <c r="F237" s="157"/>
      <c r="G237" s="3"/>
      <c r="H237" s="156"/>
      <c r="I237" s="156"/>
      <c r="J237" s="156"/>
      <c r="K237" s="165"/>
      <c r="L237" s="165"/>
      <c r="M237" s="1"/>
      <c r="N237" s="164"/>
      <c r="O237" s="1"/>
      <c r="P237" s="153"/>
      <c r="Q237" s="39"/>
      <c r="R237" s="39"/>
      <c r="S237" s="39"/>
      <c r="T237" s="154"/>
      <c r="U237" s="40"/>
    </row>
    <row r="238" spans="1:21" ht="20" customHeight="1" x14ac:dyDescent="0.15">
      <c r="A238" s="284" t="s">
        <v>6134</v>
      </c>
      <c r="B238" s="157"/>
      <c r="C238" s="157"/>
      <c r="D238" s="157"/>
      <c r="E238" s="157"/>
      <c r="F238" s="157"/>
      <c r="G238" s="3"/>
      <c r="H238" s="156"/>
      <c r="I238" s="156"/>
      <c r="J238" s="156"/>
      <c r="K238" s="165"/>
      <c r="L238" s="165"/>
      <c r="M238" s="1"/>
      <c r="N238" s="164"/>
      <c r="O238" s="1"/>
      <c r="P238" s="153"/>
      <c r="Q238" s="39"/>
      <c r="R238" s="39"/>
      <c r="S238" s="39"/>
      <c r="T238" s="154"/>
      <c r="U238" s="40"/>
    </row>
    <row r="239" spans="1:21" ht="20" customHeight="1" x14ac:dyDescent="0.15">
      <c r="A239" s="284" t="s">
        <v>6135</v>
      </c>
      <c r="B239" s="157"/>
      <c r="C239" s="157"/>
      <c r="D239" s="157"/>
      <c r="E239" s="157"/>
      <c r="F239" s="157"/>
      <c r="G239" s="3"/>
      <c r="H239" s="156"/>
      <c r="I239" s="156"/>
      <c r="J239" s="156"/>
      <c r="K239" s="165"/>
      <c r="L239" s="165"/>
      <c r="M239" s="1"/>
      <c r="N239" s="164"/>
      <c r="O239" s="1"/>
      <c r="P239" s="153"/>
      <c r="Q239" s="39"/>
      <c r="R239" s="39"/>
      <c r="S239" s="39"/>
      <c r="T239" s="154"/>
      <c r="U239" s="40"/>
    </row>
    <row r="240" spans="1:21" ht="20" customHeight="1" x14ac:dyDescent="0.15">
      <c r="A240" s="284" t="s">
        <v>6136</v>
      </c>
      <c r="B240" s="157"/>
      <c r="C240" s="157"/>
      <c r="D240" s="157"/>
      <c r="E240" s="157"/>
      <c r="F240" s="157"/>
      <c r="G240" s="3"/>
      <c r="H240" s="156"/>
      <c r="I240" s="156"/>
      <c r="J240" s="156"/>
      <c r="K240" s="165"/>
      <c r="L240" s="165"/>
      <c r="M240" s="1"/>
      <c r="N240" s="164"/>
      <c r="O240" s="1"/>
      <c r="P240" s="153"/>
      <c r="Q240" s="39"/>
      <c r="R240" s="39"/>
      <c r="S240" s="39"/>
      <c r="T240" s="154"/>
      <c r="U240" s="40"/>
    </row>
    <row r="241" spans="1:21" ht="20" customHeight="1" x14ac:dyDescent="0.15">
      <c r="A241" s="284" t="s">
        <v>6137</v>
      </c>
      <c r="B241" s="157"/>
      <c r="C241" s="157"/>
      <c r="D241" s="157"/>
      <c r="E241" s="157"/>
      <c r="F241" s="157"/>
      <c r="G241" s="3"/>
      <c r="H241" s="156"/>
      <c r="I241" s="156"/>
      <c r="J241" s="156"/>
      <c r="K241" s="165"/>
      <c r="L241" s="165"/>
      <c r="M241" s="1"/>
      <c r="N241" s="164"/>
      <c r="O241" s="1"/>
      <c r="P241" s="153"/>
      <c r="Q241" s="39"/>
      <c r="R241" s="39"/>
      <c r="S241" s="39"/>
      <c r="T241" s="154"/>
      <c r="U241" s="40"/>
    </row>
    <row r="242" spans="1:21" ht="20" customHeight="1" x14ac:dyDescent="0.15">
      <c r="A242" s="284" t="s">
        <v>6138</v>
      </c>
      <c r="B242" s="157"/>
      <c r="C242" s="157"/>
      <c r="D242" s="157"/>
      <c r="E242" s="157"/>
      <c r="F242" s="157"/>
      <c r="G242" s="3"/>
      <c r="H242" s="156"/>
      <c r="I242" s="156"/>
      <c r="J242" s="156"/>
      <c r="K242" s="165"/>
      <c r="L242" s="165"/>
      <c r="M242" s="1"/>
      <c r="N242" s="164"/>
      <c r="O242" s="1"/>
      <c r="P242" s="153"/>
      <c r="Q242" s="39"/>
      <c r="R242" s="39"/>
      <c r="S242" s="39"/>
      <c r="T242" s="154"/>
      <c r="U242" s="40"/>
    </row>
    <row r="243" spans="1:21" ht="20" customHeight="1" x14ac:dyDescent="0.15">
      <c r="A243" s="284" t="s">
        <v>6139</v>
      </c>
      <c r="B243" s="157"/>
      <c r="C243" s="157"/>
      <c r="D243" s="157"/>
      <c r="E243" s="157"/>
      <c r="F243" s="157"/>
      <c r="G243" s="3"/>
      <c r="H243" s="156"/>
      <c r="I243" s="156"/>
      <c r="J243" s="156"/>
      <c r="K243" s="165"/>
      <c r="L243" s="165"/>
      <c r="M243" s="1"/>
      <c r="N243" s="164"/>
      <c r="O243" s="1"/>
      <c r="P243" s="153"/>
      <c r="Q243" s="39"/>
      <c r="R243" s="39"/>
      <c r="S243" s="39"/>
      <c r="T243" s="154"/>
      <c r="U243" s="40"/>
    </row>
    <row r="244" spans="1:21" ht="20" customHeight="1" x14ac:dyDescent="0.15">
      <c r="A244" s="284" t="s">
        <v>6140</v>
      </c>
      <c r="B244" s="157"/>
      <c r="C244" s="157"/>
      <c r="D244" s="157"/>
      <c r="E244" s="157"/>
      <c r="F244" s="157"/>
      <c r="G244" s="3"/>
      <c r="H244" s="156"/>
      <c r="I244" s="156"/>
      <c r="J244" s="156"/>
      <c r="K244" s="165"/>
      <c r="L244" s="165"/>
      <c r="M244" s="1"/>
      <c r="N244" s="164"/>
      <c r="O244" s="1"/>
      <c r="P244" s="153"/>
      <c r="Q244" s="39"/>
      <c r="R244" s="39"/>
      <c r="S244" s="39"/>
      <c r="T244" s="154"/>
      <c r="U244" s="40"/>
    </row>
    <row r="245" spans="1:21" ht="20" customHeight="1" x14ac:dyDescent="0.15">
      <c r="A245" s="284" t="s">
        <v>6141</v>
      </c>
      <c r="B245" s="157"/>
      <c r="C245" s="157"/>
      <c r="D245" s="157"/>
      <c r="E245" s="157"/>
      <c r="F245" s="157"/>
      <c r="G245" s="3"/>
      <c r="H245" s="156"/>
      <c r="I245" s="156"/>
      <c r="J245" s="156"/>
      <c r="K245" s="165"/>
      <c r="L245" s="165"/>
      <c r="M245" s="1"/>
      <c r="N245" s="164"/>
      <c r="O245" s="1"/>
      <c r="P245" s="153"/>
      <c r="Q245" s="39"/>
      <c r="R245" s="39"/>
      <c r="S245" s="39"/>
      <c r="T245" s="154"/>
      <c r="U245" s="40"/>
    </row>
    <row r="246" spans="1:21" ht="20" customHeight="1" x14ac:dyDescent="0.15">
      <c r="A246" s="284" t="s">
        <v>6142</v>
      </c>
      <c r="B246" s="157"/>
      <c r="C246" s="157"/>
      <c r="D246" s="157"/>
      <c r="E246" s="157"/>
      <c r="F246" s="157"/>
      <c r="G246" s="3"/>
      <c r="H246" s="156"/>
      <c r="I246" s="156"/>
      <c r="J246" s="156"/>
      <c r="K246" s="165"/>
      <c r="L246" s="165"/>
      <c r="M246" s="1"/>
      <c r="N246" s="164"/>
      <c r="O246" s="1"/>
      <c r="P246" s="153"/>
      <c r="Q246" s="39"/>
      <c r="R246" s="39"/>
      <c r="S246" s="39"/>
      <c r="T246" s="154"/>
      <c r="U246" s="40"/>
    </row>
    <row r="247" spans="1:21" ht="20" customHeight="1" x14ac:dyDescent="0.15">
      <c r="A247" s="284" t="s">
        <v>6143</v>
      </c>
      <c r="B247" s="157"/>
      <c r="C247" s="157"/>
      <c r="D247" s="157"/>
      <c r="E247" s="157"/>
      <c r="F247" s="157"/>
      <c r="G247" s="3"/>
      <c r="H247" s="156"/>
      <c r="I247" s="156"/>
      <c r="J247" s="156"/>
      <c r="K247" s="165"/>
      <c r="L247" s="165"/>
      <c r="M247" s="1"/>
      <c r="N247" s="164"/>
      <c r="O247" s="1"/>
      <c r="P247" s="153"/>
      <c r="Q247" s="39"/>
      <c r="R247" s="39"/>
      <c r="S247" s="39"/>
      <c r="T247" s="154"/>
      <c r="U247" s="40"/>
    </row>
    <row r="248" spans="1:21" ht="20" customHeight="1" x14ac:dyDescent="0.15">
      <c r="A248" s="284" t="s">
        <v>6144</v>
      </c>
      <c r="B248" s="157"/>
      <c r="C248" s="157"/>
      <c r="D248" s="157"/>
      <c r="E248" s="157"/>
      <c r="F248" s="157"/>
      <c r="G248" s="3"/>
      <c r="H248" s="156"/>
      <c r="I248" s="156"/>
      <c r="J248" s="156"/>
      <c r="K248" s="165"/>
      <c r="L248" s="165"/>
      <c r="M248" s="1"/>
      <c r="N248" s="164"/>
      <c r="O248" s="1"/>
      <c r="P248" s="153"/>
      <c r="Q248" s="39"/>
      <c r="R248" s="39"/>
      <c r="S248" s="39"/>
      <c r="T248" s="154"/>
      <c r="U248" s="40"/>
    </row>
    <row r="249" spans="1:21" ht="20" customHeight="1" x14ac:dyDescent="0.15">
      <c r="A249" s="284" t="s">
        <v>6145</v>
      </c>
      <c r="B249" s="157"/>
      <c r="C249" s="157"/>
      <c r="D249" s="157"/>
      <c r="E249" s="157"/>
      <c r="F249" s="157"/>
      <c r="G249" s="3"/>
      <c r="H249" s="156"/>
      <c r="I249" s="156"/>
      <c r="J249" s="156"/>
      <c r="K249" s="165"/>
      <c r="L249" s="165"/>
      <c r="M249" s="1"/>
      <c r="N249" s="164"/>
      <c r="O249" s="1"/>
      <c r="P249" s="153"/>
      <c r="Q249" s="39"/>
      <c r="R249" s="39"/>
      <c r="S249" s="39"/>
      <c r="T249" s="154"/>
      <c r="U249" s="40"/>
    </row>
    <row r="250" spans="1:21" ht="20" customHeight="1" x14ac:dyDescent="0.15">
      <c r="A250" s="284" t="s">
        <v>6146</v>
      </c>
      <c r="B250" s="157"/>
      <c r="C250" s="157"/>
      <c r="D250" s="157"/>
      <c r="E250" s="157"/>
      <c r="F250" s="157"/>
      <c r="G250" s="3"/>
      <c r="H250" s="156"/>
      <c r="I250" s="156"/>
      <c r="J250" s="156"/>
      <c r="K250" s="165"/>
      <c r="L250" s="165"/>
      <c r="M250" s="1"/>
      <c r="N250" s="164"/>
      <c r="O250" s="1"/>
      <c r="P250" s="153"/>
      <c r="Q250" s="39"/>
      <c r="R250" s="39"/>
      <c r="S250" s="39"/>
      <c r="T250" s="154"/>
      <c r="U250" s="40"/>
    </row>
    <row r="251" spans="1:21" ht="20" customHeight="1" x14ac:dyDescent="0.15">
      <c r="A251" s="284" t="s">
        <v>6147</v>
      </c>
      <c r="B251" s="157"/>
      <c r="C251" s="157"/>
      <c r="D251" s="157"/>
      <c r="E251" s="157"/>
      <c r="F251" s="157"/>
      <c r="G251" s="3"/>
      <c r="H251" s="156"/>
      <c r="I251" s="156"/>
      <c r="J251" s="156"/>
      <c r="K251" s="165"/>
      <c r="L251" s="165"/>
      <c r="M251" s="1"/>
      <c r="N251" s="164"/>
      <c r="O251" s="1"/>
      <c r="P251" s="153"/>
      <c r="Q251" s="39"/>
      <c r="R251" s="39"/>
      <c r="S251" s="39"/>
      <c r="T251" s="154"/>
      <c r="U251" s="40"/>
    </row>
    <row r="252" spans="1:21" ht="20" customHeight="1" x14ac:dyDescent="0.15">
      <c r="A252" s="284" t="s">
        <v>6148</v>
      </c>
      <c r="B252" s="157"/>
      <c r="C252" s="157"/>
      <c r="D252" s="157"/>
      <c r="E252" s="157"/>
      <c r="F252" s="157"/>
      <c r="G252" s="3"/>
      <c r="H252" s="156"/>
      <c r="I252" s="156"/>
      <c r="J252" s="156"/>
      <c r="K252" s="165"/>
      <c r="L252" s="165"/>
      <c r="M252" s="1"/>
      <c r="N252" s="164"/>
      <c r="O252" s="1"/>
      <c r="P252" s="153"/>
      <c r="Q252" s="39"/>
      <c r="R252" s="39"/>
      <c r="S252" s="39"/>
      <c r="T252" s="154"/>
      <c r="U252" s="40"/>
    </row>
    <row r="253" spans="1:21" ht="20" customHeight="1" x14ac:dyDescent="0.15">
      <c r="A253" s="284" t="s">
        <v>6149</v>
      </c>
      <c r="B253" s="157"/>
      <c r="C253" s="157"/>
      <c r="D253" s="157"/>
      <c r="E253" s="157"/>
      <c r="F253" s="157"/>
      <c r="G253" s="3"/>
      <c r="H253" s="156"/>
      <c r="I253" s="156"/>
      <c r="J253" s="156"/>
      <c r="K253" s="165"/>
      <c r="L253" s="165"/>
      <c r="M253" s="1"/>
      <c r="N253" s="164"/>
      <c r="O253" s="1"/>
      <c r="P253" s="153"/>
      <c r="Q253" s="39"/>
      <c r="R253" s="39"/>
      <c r="S253" s="39"/>
      <c r="T253" s="154"/>
      <c r="U253" s="40"/>
    </row>
    <row r="254" spans="1:21" ht="20" customHeight="1" x14ac:dyDescent="0.15">
      <c r="A254" s="284" t="s">
        <v>6150</v>
      </c>
      <c r="B254" s="157"/>
      <c r="C254" s="157"/>
      <c r="D254" s="157"/>
      <c r="E254" s="157"/>
      <c r="F254" s="157"/>
      <c r="G254" s="3"/>
      <c r="H254" s="156"/>
      <c r="I254" s="156"/>
      <c r="J254" s="156"/>
      <c r="K254" s="165"/>
      <c r="L254" s="165"/>
      <c r="M254" s="1"/>
      <c r="N254" s="164"/>
      <c r="O254" s="1"/>
      <c r="P254" s="153"/>
      <c r="Q254" s="39"/>
      <c r="R254" s="39"/>
      <c r="S254" s="39"/>
      <c r="T254" s="154"/>
      <c r="U254" s="40"/>
    </row>
    <row r="255" spans="1:21" ht="20" customHeight="1" x14ac:dyDescent="0.15">
      <c r="A255" s="284" t="s">
        <v>6151</v>
      </c>
      <c r="B255" s="157"/>
      <c r="C255" s="157"/>
      <c r="D255" s="157"/>
      <c r="E255" s="157"/>
      <c r="F255" s="157"/>
      <c r="G255" s="3"/>
      <c r="H255" s="156"/>
      <c r="I255" s="156"/>
      <c r="J255" s="156"/>
      <c r="K255" s="165"/>
      <c r="L255" s="165"/>
      <c r="M255" s="1"/>
      <c r="N255" s="164"/>
      <c r="O255" s="1"/>
      <c r="P255" s="153"/>
      <c r="Q255" s="39"/>
      <c r="R255" s="39"/>
      <c r="S255" s="39"/>
      <c r="T255" s="154"/>
      <c r="U255" s="40"/>
    </row>
    <row r="256" spans="1:21" ht="20" customHeight="1" x14ac:dyDescent="0.15">
      <c r="A256" s="284" t="s">
        <v>6152</v>
      </c>
      <c r="B256" s="157"/>
      <c r="C256" s="157"/>
      <c r="D256" s="157"/>
      <c r="E256" s="157"/>
      <c r="F256" s="157"/>
      <c r="G256" s="3"/>
      <c r="H256" s="156"/>
      <c r="I256" s="156"/>
      <c r="J256" s="156"/>
      <c r="K256" s="165"/>
      <c r="L256" s="165"/>
      <c r="M256" s="1"/>
      <c r="N256" s="164"/>
      <c r="O256" s="1"/>
      <c r="P256" s="153"/>
      <c r="Q256" s="39"/>
      <c r="R256" s="39"/>
      <c r="S256" s="39"/>
      <c r="T256" s="154"/>
      <c r="U256" s="40"/>
    </row>
    <row r="257" spans="1:21" ht="20" customHeight="1" x14ac:dyDescent="0.15">
      <c r="A257" s="284" t="s">
        <v>6153</v>
      </c>
      <c r="B257" s="157"/>
      <c r="C257" s="157"/>
      <c r="D257" s="157"/>
      <c r="E257" s="157"/>
      <c r="F257" s="157"/>
      <c r="G257" s="3"/>
      <c r="H257" s="156"/>
      <c r="I257" s="156"/>
      <c r="J257" s="156"/>
      <c r="K257" s="165"/>
      <c r="L257" s="165"/>
      <c r="M257" s="1"/>
      <c r="N257" s="164"/>
      <c r="O257" s="1"/>
      <c r="P257" s="153"/>
      <c r="Q257" s="39"/>
      <c r="R257" s="39"/>
      <c r="S257" s="39"/>
      <c r="T257" s="154"/>
      <c r="U257" s="40"/>
    </row>
    <row r="258" spans="1:21" ht="20" customHeight="1" x14ac:dyDescent="0.15">
      <c r="A258" s="284" t="s">
        <v>6154</v>
      </c>
      <c r="B258" s="157"/>
      <c r="C258" s="157"/>
      <c r="D258" s="157"/>
      <c r="E258" s="157"/>
      <c r="F258" s="157"/>
      <c r="G258" s="3"/>
      <c r="H258" s="156"/>
      <c r="I258" s="156"/>
      <c r="J258" s="156"/>
      <c r="K258" s="165"/>
      <c r="L258" s="165"/>
      <c r="M258" s="1"/>
      <c r="N258" s="164"/>
      <c r="O258" s="1"/>
      <c r="P258" s="153"/>
      <c r="Q258" s="39"/>
      <c r="R258" s="39"/>
      <c r="S258" s="39"/>
      <c r="T258" s="154"/>
      <c r="U258" s="40"/>
    </row>
    <row r="259" spans="1:21" ht="20" customHeight="1" x14ac:dyDescent="0.15">
      <c r="A259" s="284" t="s">
        <v>6155</v>
      </c>
      <c r="B259" s="157"/>
      <c r="C259" s="157"/>
      <c r="D259" s="157"/>
      <c r="E259" s="157"/>
      <c r="F259" s="157"/>
      <c r="G259" s="3"/>
      <c r="H259" s="156"/>
      <c r="I259" s="156"/>
      <c r="J259" s="156"/>
      <c r="K259" s="165"/>
      <c r="L259" s="165"/>
      <c r="M259" s="1"/>
      <c r="N259" s="164"/>
      <c r="O259" s="1"/>
      <c r="P259" s="153"/>
      <c r="Q259" s="39"/>
      <c r="R259" s="39"/>
      <c r="S259" s="39"/>
      <c r="T259" s="154"/>
      <c r="U259" s="40"/>
    </row>
    <row r="260" spans="1:21" ht="20" customHeight="1" x14ac:dyDescent="0.15">
      <c r="A260" s="284" t="s">
        <v>6156</v>
      </c>
      <c r="B260" s="157"/>
      <c r="C260" s="157"/>
      <c r="D260" s="157"/>
      <c r="E260" s="157"/>
      <c r="F260" s="157"/>
      <c r="G260" s="3"/>
      <c r="H260" s="156"/>
      <c r="I260" s="156"/>
      <c r="J260" s="156"/>
      <c r="K260" s="165"/>
      <c r="L260" s="165"/>
      <c r="M260" s="1"/>
      <c r="N260" s="164"/>
      <c r="O260" s="1"/>
      <c r="P260" s="153"/>
      <c r="Q260" s="39"/>
      <c r="R260" s="39"/>
      <c r="S260" s="39"/>
      <c r="T260" s="154"/>
      <c r="U260" s="40"/>
    </row>
    <row r="261" spans="1:21" ht="20" customHeight="1" x14ac:dyDescent="0.15">
      <c r="A261" s="284" t="s">
        <v>6157</v>
      </c>
      <c r="B261" s="157"/>
      <c r="C261" s="157"/>
      <c r="D261" s="157"/>
      <c r="E261" s="157"/>
      <c r="F261" s="157"/>
      <c r="G261" s="3"/>
      <c r="H261" s="156"/>
      <c r="I261" s="156"/>
      <c r="J261" s="156"/>
      <c r="K261" s="165"/>
      <c r="L261" s="165"/>
      <c r="M261" s="1"/>
      <c r="N261" s="164"/>
      <c r="O261" s="1"/>
      <c r="P261" s="153"/>
      <c r="Q261" s="39"/>
      <c r="R261" s="39"/>
      <c r="S261" s="39"/>
      <c r="T261" s="154"/>
      <c r="U261" s="40"/>
    </row>
    <row r="262" spans="1:21" ht="20" customHeight="1" x14ac:dyDescent="0.15">
      <c r="A262" s="284" t="s">
        <v>6158</v>
      </c>
      <c r="B262" s="157"/>
      <c r="C262" s="157"/>
      <c r="D262" s="157"/>
      <c r="E262" s="157"/>
      <c r="F262" s="157"/>
      <c r="G262" s="3"/>
      <c r="H262" s="156"/>
      <c r="I262" s="156"/>
      <c r="J262" s="156"/>
      <c r="K262" s="165"/>
      <c r="L262" s="165"/>
      <c r="M262" s="1"/>
      <c r="N262" s="164"/>
      <c r="O262" s="1"/>
      <c r="P262" s="153"/>
      <c r="Q262" s="39"/>
      <c r="R262" s="39"/>
      <c r="S262" s="39"/>
      <c r="T262" s="154"/>
      <c r="U262" s="40"/>
    </row>
    <row r="263" spans="1:21" ht="20" customHeight="1" x14ac:dyDescent="0.15">
      <c r="A263" s="284" t="s">
        <v>6159</v>
      </c>
      <c r="B263" s="157"/>
      <c r="C263" s="157"/>
      <c r="D263" s="157"/>
      <c r="E263" s="157"/>
      <c r="F263" s="157"/>
      <c r="G263" s="3"/>
      <c r="H263" s="156"/>
      <c r="I263" s="156"/>
      <c r="J263" s="156"/>
      <c r="K263" s="165"/>
      <c r="L263" s="165"/>
      <c r="M263" s="1"/>
      <c r="N263" s="164"/>
      <c r="O263" s="1"/>
      <c r="P263" s="153"/>
      <c r="Q263" s="39"/>
      <c r="R263" s="39"/>
      <c r="S263" s="39"/>
      <c r="T263" s="154"/>
      <c r="U263" s="40"/>
    </row>
    <row r="264" spans="1:21" ht="20" customHeight="1" x14ac:dyDescent="0.15">
      <c r="A264" s="284" t="s">
        <v>6160</v>
      </c>
      <c r="B264" s="157"/>
      <c r="C264" s="157"/>
      <c r="D264" s="157"/>
      <c r="E264" s="157"/>
      <c r="F264" s="157"/>
      <c r="G264" s="3"/>
      <c r="H264" s="156"/>
      <c r="I264" s="156"/>
      <c r="J264" s="156"/>
      <c r="K264" s="165"/>
      <c r="L264" s="165"/>
      <c r="M264" s="1"/>
      <c r="N264" s="164"/>
      <c r="O264" s="1"/>
      <c r="P264" s="153"/>
      <c r="Q264" s="39"/>
      <c r="R264" s="39"/>
      <c r="S264" s="39"/>
      <c r="T264" s="154"/>
      <c r="U264" s="40"/>
    </row>
    <row r="265" spans="1:21" ht="20" customHeight="1" x14ac:dyDescent="0.15">
      <c r="A265" s="284" t="s">
        <v>6161</v>
      </c>
      <c r="B265" s="157"/>
      <c r="C265" s="157"/>
      <c r="D265" s="157"/>
      <c r="E265" s="157"/>
      <c r="F265" s="157"/>
      <c r="G265" s="3"/>
      <c r="H265" s="156"/>
      <c r="I265" s="156"/>
      <c r="J265" s="156"/>
      <c r="K265" s="165"/>
      <c r="L265" s="165"/>
      <c r="M265" s="1"/>
      <c r="N265" s="164"/>
      <c r="O265" s="1"/>
      <c r="P265" s="153"/>
      <c r="Q265" s="39"/>
      <c r="R265" s="39"/>
      <c r="S265" s="39"/>
      <c r="T265" s="154"/>
      <c r="U265" s="40"/>
    </row>
    <row r="266" spans="1:21" ht="20" customHeight="1" x14ac:dyDescent="0.15">
      <c r="A266" s="284" t="s">
        <v>6162</v>
      </c>
      <c r="B266" s="157"/>
      <c r="C266" s="157"/>
      <c r="D266" s="157"/>
      <c r="E266" s="157"/>
      <c r="F266" s="157"/>
      <c r="G266" s="3"/>
      <c r="H266" s="156"/>
      <c r="I266" s="156"/>
      <c r="J266" s="156"/>
      <c r="K266" s="165"/>
      <c r="L266" s="165"/>
      <c r="M266" s="1"/>
      <c r="N266" s="164"/>
      <c r="O266" s="1"/>
      <c r="P266" s="153"/>
      <c r="Q266" s="39"/>
      <c r="R266" s="39"/>
      <c r="S266" s="39"/>
      <c r="T266" s="154"/>
      <c r="U266" s="40"/>
    </row>
    <row r="267" spans="1:21" ht="20" customHeight="1" x14ac:dyDescent="0.15">
      <c r="A267" s="284" t="s">
        <v>6163</v>
      </c>
      <c r="B267" s="157"/>
      <c r="C267" s="157"/>
      <c r="D267" s="157"/>
      <c r="E267" s="157"/>
      <c r="F267" s="157"/>
      <c r="G267" s="3"/>
      <c r="H267" s="156"/>
      <c r="I267" s="156"/>
      <c r="J267" s="156"/>
      <c r="K267" s="165"/>
      <c r="L267" s="165"/>
      <c r="M267" s="1"/>
      <c r="N267" s="164"/>
      <c r="O267" s="1"/>
      <c r="P267" s="153"/>
      <c r="Q267" s="39"/>
      <c r="R267" s="39"/>
      <c r="S267" s="39"/>
      <c r="T267" s="154"/>
      <c r="U267" s="40"/>
    </row>
    <row r="268" spans="1:21" ht="20" customHeight="1" x14ac:dyDescent="0.15">
      <c r="A268" s="284" t="s">
        <v>6164</v>
      </c>
      <c r="B268" s="157"/>
      <c r="C268" s="157"/>
      <c r="D268" s="157"/>
      <c r="E268" s="157"/>
      <c r="F268" s="157"/>
      <c r="G268" s="3"/>
      <c r="H268" s="156"/>
      <c r="I268" s="156"/>
      <c r="J268" s="156"/>
      <c r="K268" s="165"/>
      <c r="L268" s="165"/>
      <c r="M268" s="1"/>
      <c r="N268" s="164"/>
      <c r="O268" s="1"/>
      <c r="P268" s="153"/>
      <c r="Q268" s="39"/>
      <c r="R268" s="39"/>
      <c r="S268" s="39"/>
      <c r="T268" s="154"/>
      <c r="U268" s="40"/>
    </row>
    <row r="269" spans="1:21" ht="20" customHeight="1" x14ac:dyDescent="0.15">
      <c r="A269" s="284" t="s">
        <v>6165</v>
      </c>
      <c r="B269" s="157"/>
      <c r="C269" s="157"/>
      <c r="D269" s="157"/>
      <c r="E269" s="157"/>
      <c r="F269" s="157"/>
      <c r="G269" s="3"/>
      <c r="H269" s="156"/>
      <c r="I269" s="156"/>
      <c r="J269" s="156"/>
      <c r="K269" s="165"/>
      <c r="L269" s="165"/>
      <c r="M269" s="1"/>
      <c r="N269" s="164"/>
      <c r="O269" s="1"/>
      <c r="P269" s="153"/>
      <c r="Q269" s="39"/>
      <c r="R269" s="39"/>
      <c r="S269" s="39"/>
      <c r="T269" s="154"/>
      <c r="U269" s="40"/>
    </row>
    <row r="270" spans="1:21" ht="20" customHeight="1" x14ac:dyDescent="0.15">
      <c r="A270" s="284" t="s">
        <v>6166</v>
      </c>
      <c r="B270" s="157"/>
      <c r="C270" s="157"/>
      <c r="D270" s="157"/>
      <c r="E270" s="157"/>
      <c r="F270" s="157"/>
      <c r="G270" s="3"/>
      <c r="H270" s="156"/>
      <c r="I270" s="156"/>
      <c r="J270" s="156"/>
      <c r="K270" s="165"/>
      <c r="L270" s="165"/>
      <c r="M270" s="1"/>
      <c r="N270" s="164"/>
      <c r="O270" s="1"/>
      <c r="P270" s="153"/>
      <c r="Q270" s="39"/>
      <c r="R270" s="39"/>
      <c r="S270" s="39"/>
      <c r="T270" s="154"/>
      <c r="U270" s="40"/>
    </row>
    <row r="271" spans="1:21" ht="20" customHeight="1" x14ac:dyDescent="0.15">
      <c r="A271" s="284" t="s">
        <v>6167</v>
      </c>
      <c r="B271" s="157"/>
      <c r="C271" s="157"/>
      <c r="D271" s="157"/>
      <c r="E271" s="157"/>
      <c r="F271" s="157"/>
      <c r="G271" s="3"/>
      <c r="H271" s="156"/>
      <c r="I271" s="156"/>
      <c r="J271" s="156"/>
      <c r="K271" s="165"/>
      <c r="L271" s="165"/>
      <c r="M271" s="1"/>
      <c r="N271" s="164"/>
      <c r="O271" s="1"/>
      <c r="P271" s="153"/>
      <c r="Q271" s="39"/>
      <c r="R271" s="39"/>
      <c r="S271" s="39"/>
      <c r="T271" s="154"/>
      <c r="U271" s="40"/>
    </row>
    <row r="272" spans="1:21" ht="20" customHeight="1" x14ac:dyDescent="0.15">
      <c r="A272" s="284" t="s">
        <v>6168</v>
      </c>
      <c r="B272" s="157"/>
      <c r="C272" s="157"/>
      <c r="D272" s="157"/>
      <c r="E272" s="157"/>
      <c r="F272" s="157"/>
      <c r="G272" s="3"/>
      <c r="H272" s="156"/>
      <c r="I272" s="156"/>
      <c r="J272" s="156"/>
      <c r="K272" s="165"/>
      <c r="L272" s="165"/>
      <c r="M272" s="1"/>
      <c r="N272" s="164"/>
      <c r="O272" s="1"/>
      <c r="P272" s="153"/>
      <c r="Q272" s="39"/>
      <c r="R272" s="39"/>
      <c r="S272" s="39"/>
      <c r="T272" s="154"/>
      <c r="U272" s="40"/>
    </row>
    <row r="273" spans="1:21" ht="20" customHeight="1" x14ac:dyDescent="0.15">
      <c r="A273" s="284" t="s">
        <v>6169</v>
      </c>
      <c r="B273" s="157"/>
      <c r="C273" s="157"/>
      <c r="D273" s="157"/>
      <c r="E273" s="157"/>
      <c r="F273" s="157"/>
      <c r="G273" s="3"/>
      <c r="H273" s="156"/>
      <c r="I273" s="156"/>
      <c r="J273" s="156"/>
      <c r="K273" s="165"/>
      <c r="L273" s="165"/>
      <c r="M273" s="1"/>
      <c r="N273" s="164"/>
      <c r="O273" s="1"/>
      <c r="P273" s="153"/>
      <c r="Q273" s="39"/>
      <c r="R273" s="39"/>
      <c r="S273" s="39"/>
      <c r="T273" s="154"/>
      <c r="U273" s="40"/>
    </row>
    <row r="274" spans="1:21" ht="20" customHeight="1" x14ac:dyDescent="0.15">
      <c r="A274" s="284" t="s">
        <v>6170</v>
      </c>
      <c r="B274" s="157"/>
      <c r="C274" s="157"/>
      <c r="D274" s="157"/>
      <c r="E274" s="157"/>
      <c r="F274" s="157"/>
      <c r="G274" s="3"/>
      <c r="H274" s="156"/>
      <c r="I274" s="156"/>
      <c r="J274" s="156"/>
      <c r="K274" s="165"/>
      <c r="L274" s="165"/>
      <c r="M274" s="1"/>
      <c r="N274" s="164"/>
      <c r="O274" s="1"/>
      <c r="P274" s="153"/>
      <c r="Q274" s="39"/>
      <c r="R274" s="39"/>
      <c r="S274" s="39"/>
      <c r="T274" s="154"/>
      <c r="U274" s="40"/>
    </row>
    <row r="275" spans="1:21" ht="20" customHeight="1" x14ac:dyDescent="0.15">
      <c r="A275" s="284" t="s">
        <v>6171</v>
      </c>
      <c r="B275" s="157"/>
      <c r="C275" s="157"/>
      <c r="D275" s="157"/>
      <c r="E275" s="157"/>
      <c r="F275" s="157"/>
      <c r="G275" s="3"/>
      <c r="H275" s="156"/>
      <c r="I275" s="156"/>
      <c r="J275" s="156"/>
      <c r="K275" s="165"/>
      <c r="L275" s="165"/>
      <c r="M275" s="1"/>
      <c r="N275" s="164"/>
      <c r="O275" s="1"/>
      <c r="P275" s="153"/>
      <c r="Q275" s="39"/>
      <c r="R275" s="39"/>
      <c r="S275" s="39"/>
      <c r="T275" s="154"/>
      <c r="U275" s="40"/>
    </row>
    <row r="276" spans="1:21" ht="20" customHeight="1" x14ac:dyDescent="0.15">
      <c r="A276" s="284" t="s">
        <v>6172</v>
      </c>
      <c r="B276" s="157"/>
      <c r="C276" s="157"/>
      <c r="D276" s="157"/>
      <c r="E276" s="157"/>
      <c r="F276" s="157"/>
      <c r="G276" s="3"/>
      <c r="H276" s="156"/>
      <c r="I276" s="156"/>
      <c r="J276" s="156"/>
      <c r="K276" s="165"/>
      <c r="L276" s="165"/>
      <c r="M276" s="1"/>
      <c r="N276" s="164"/>
      <c r="O276" s="1"/>
      <c r="P276" s="153"/>
      <c r="Q276" s="39"/>
      <c r="R276" s="39"/>
      <c r="S276" s="39"/>
      <c r="T276" s="154"/>
      <c r="U276" s="40"/>
    </row>
    <row r="277" spans="1:21" ht="20" customHeight="1" x14ac:dyDescent="0.15">
      <c r="A277" s="284" t="s">
        <v>6173</v>
      </c>
      <c r="B277" s="157"/>
      <c r="C277" s="157"/>
      <c r="D277" s="157"/>
      <c r="E277" s="157"/>
      <c r="F277" s="157"/>
      <c r="G277" s="3"/>
      <c r="H277" s="156"/>
      <c r="I277" s="156"/>
      <c r="J277" s="156"/>
      <c r="K277" s="165"/>
      <c r="L277" s="165"/>
      <c r="M277" s="1"/>
      <c r="N277" s="164"/>
      <c r="O277" s="1"/>
      <c r="P277" s="153"/>
      <c r="Q277" s="39"/>
      <c r="R277" s="39"/>
      <c r="S277" s="39"/>
      <c r="T277" s="154"/>
      <c r="U277" s="40"/>
    </row>
    <row r="278" spans="1:21" ht="20" customHeight="1" x14ac:dyDescent="0.15">
      <c r="A278" s="284" t="s">
        <v>6174</v>
      </c>
      <c r="B278" s="157"/>
      <c r="C278" s="157"/>
      <c r="D278" s="157"/>
      <c r="E278" s="157"/>
      <c r="F278" s="157"/>
      <c r="G278" s="3"/>
      <c r="H278" s="156"/>
      <c r="I278" s="156"/>
      <c r="J278" s="156"/>
      <c r="K278" s="165"/>
      <c r="L278" s="165"/>
      <c r="M278" s="1"/>
      <c r="N278" s="164"/>
      <c r="O278" s="1"/>
      <c r="P278" s="153"/>
      <c r="Q278" s="39"/>
      <c r="R278" s="39"/>
      <c r="S278" s="39"/>
      <c r="T278" s="154"/>
      <c r="U278" s="40"/>
    </row>
    <row r="279" spans="1:21" ht="20" customHeight="1" x14ac:dyDescent="0.15">
      <c r="A279" s="284" t="s">
        <v>6175</v>
      </c>
      <c r="B279" s="157"/>
      <c r="C279" s="157"/>
      <c r="D279" s="157"/>
      <c r="E279" s="157"/>
      <c r="F279" s="157"/>
      <c r="G279" s="3"/>
      <c r="H279" s="156"/>
      <c r="I279" s="156"/>
      <c r="J279" s="156"/>
      <c r="K279" s="165"/>
      <c r="L279" s="165"/>
      <c r="M279" s="1"/>
      <c r="N279" s="164"/>
      <c r="O279" s="1"/>
      <c r="P279" s="153"/>
      <c r="Q279" s="39"/>
      <c r="R279" s="39"/>
      <c r="S279" s="39"/>
      <c r="T279" s="154"/>
      <c r="U279" s="40"/>
    </row>
    <row r="280" spans="1:21" ht="20" customHeight="1" x14ac:dyDescent="0.15">
      <c r="A280" s="284" t="s">
        <v>6176</v>
      </c>
      <c r="B280" s="157"/>
      <c r="C280" s="157"/>
      <c r="D280" s="157"/>
      <c r="E280" s="157"/>
      <c r="F280" s="157"/>
      <c r="G280" s="3"/>
      <c r="H280" s="156"/>
      <c r="I280" s="156"/>
      <c r="J280" s="156"/>
      <c r="K280" s="165"/>
      <c r="L280" s="165"/>
      <c r="M280" s="1"/>
      <c r="N280" s="164"/>
      <c r="O280" s="1"/>
      <c r="P280" s="153"/>
      <c r="Q280" s="39"/>
      <c r="R280" s="39"/>
      <c r="S280" s="39"/>
      <c r="T280" s="154"/>
      <c r="U280" s="40"/>
    </row>
    <row r="281" spans="1:21" ht="20" customHeight="1" x14ac:dyDescent="0.15">
      <c r="A281" s="284" t="s">
        <v>6177</v>
      </c>
      <c r="B281" s="157"/>
      <c r="C281" s="157"/>
      <c r="D281" s="157"/>
      <c r="E281" s="157"/>
      <c r="F281" s="157"/>
      <c r="G281" s="3"/>
      <c r="H281" s="156"/>
      <c r="I281" s="156"/>
      <c r="J281" s="156"/>
      <c r="K281" s="165"/>
      <c r="L281" s="165"/>
      <c r="M281" s="1"/>
      <c r="N281" s="164"/>
      <c r="O281" s="1"/>
      <c r="P281" s="153"/>
      <c r="Q281" s="39"/>
      <c r="R281" s="39"/>
      <c r="S281" s="39"/>
      <c r="T281" s="154"/>
      <c r="U281" s="40"/>
    </row>
    <row r="282" spans="1:21" ht="20" customHeight="1" x14ac:dyDescent="0.15">
      <c r="A282" s="284" t="s">
        <v>6178</v>
      </c>
      <c r="B282" s="157"/>
      <c r="C282" s="157"/>
      <c r="D282" s="157"/>
      <c r="E282" s="157"/>
      <c r="F282" s="157"/>
      <c r="G282" s="3"/>
      <c r="H282" s="156"/>
      <c r="I282" s="156"/>
      <c r="J282" s="156"/>
      <c r="K282" s="165"/>
      <c r="L282" s="165"/>
      <c r="M282" s="1"/>
      <c r="N282" s="164"/>
      <c r="O282" s="1"/>
      <c r="P282" s="153"/>
      <c r="Q282" s="39"/>
      <c r="R282" s="39"/>
      <c r="S282" s="39"/>
      <c r="T282" s="154"/>
      <c r="U282" s="40"/>
    </row>
    <row r="283" spans="1:21" ht="20" customHeight="1" x14ac:dyDescent="0.15">
      <c r="A283" s="284" t="s">
        <v>6179</v>
      </c>
      <c r="B283" s="157"/>
      <c r="C283" s="157"/>
      <c r="D283" s="157"/>
      <c r="E283" s="157"/>
      <c r="F283" s="157"/>
      <c r="G283" s="3"/>
      <c r="H283" s="156"/>
      <c r="I283" s="156"/>
      <c r="J283" s="156"/>
      <c r="K283" s="165"/>
      <c r="L283" s="165"/>
      <c r="M283" s="1"/>
      <c r="N283" s="164"/>
      <c r="O283" s="1"/>
      <c r="P283" s="153"/>
      <c r="Q283" s="39"/>
      <c r="R283" s="39"/>
      <c r="S283" s="39"/>
      <c r="T283" s="154"/>
      <c r="U283" s="40"/>
    </row>
    <row r="284" spans="1:21" ht="20" customHeight="1" x14ac:dyDescent="0.15">
      <c r="A284" s="284" t="s">
        <v>6180</v>
      </c>
      <c r="B284" s="157"/>
      <c r="C284" s="157"/>
      <c r="D284" s="157"/>
      <c r="E284" s="157"/>
      <c r="F284" s="157"/>
      <c r="G284" s="3"/>
      <c r="H284" s="156"/>
      <c r="I284" s="156"/>
      <c r="J284" s="156"/>
      <c r="K284" s="165"/>
      <c r="L284" s="165"/>
      <c r="M284" s="1"/>
      <c r="N284" s="164"/>
      <c r="O284" s="1"/>
      <c r="P284" s="153"/>
      <c r="Q284" s="39"/>
      <c r="R284" s="39"/>
      <c r="S284" s="39"/>
      <c r="T284" s="154"/>
      <c r="U284" s="40"/>
    </row>
    <row r="285" spans="1:21" ht="20" customHeight="1" x14ac:dyDescent="0.15">
      <c r="A285" s="284" t="s">
        <v>6181</v>
      </c>
      <c r="B285" s="157"/>
      <c r="C285" s="157"/>
      <c r="D285" s="157"/>
      <c r="E285" s="157"/>
      <c r="F285" s="157"/>
      <c r="G285" s="3"/>
      <c r="H285" s="156"/>
      <c r="I285" s="156"/>
      <c r="J285" s="156"/>
      <c r="K285" s="165"/>
      <c r="L285" s="165"/>
      <c r="M285" s="1"/>
      <c r="N285" s="164"/>
      <c r="O285" s="1"/>
      <c r="P285" s="153"/>
      <c r="Q285" s="39"/>
      <c r="R285" s="39"/>
      <c r="S285" s="39"/>
      <c r="T285" s="154"/>
      <c r="U285" s="40"/>
    </row>
    <row r="286" spans="1:21" ht="20" customHeight="1" x14ac:dyDescent="0.15">
      <c r="A286" s="284" t="s">
        <v>6182</v>
      </c>
      <c r="B286" s="157"/>
      <c r="C286" s="157"/>
      <c r="D286" s="157"/>
      <c r="E286" s="157"/>
      <c r="F286" s="157"/>
      <c r="G286" s="3"/>
      <c r="H286" s="156"/>
      <c r="I286" s="156"/>
      <c r="J286" s="156"/>
      <c r="K286" s="165"/>
      <c r="L286" s="165"/>
      <c r="M286" s="1"/>
      <c r="N286" s="164"/>
      <c r="O286" s="1"/>
      <c r="P286" s="153"/>
      <c r="Q286" s="39"/>
      <c r="R286" s="39"/>
      <c r="S286" s="39"/>
      <c r="T286" s="154"/>
      <c r="U286" s="40"/>
    </row>
    <row r="287" spans="1:21" ht="20" customHeight="1" x14ac:dyDescent="0.15">
      <c r="A287" s="284" t="s">
        <v>6183</v>
      </c>
      <c r="B287" s="157"/>
      <c r="C287" s="157"/>
      <c r="D287" s="157"/>
      <c r="E287" s="157"/>
      <c r="F287" s="157"/>
      <c r="G287" s="3"/>
      <c r="H287" s="156"/>
      <c r="I287" s="156"/>
      <c r="J287" s="156"/>
      <c r="K287" s="165"/>
      <c r="L287" s="165"/>
      <c r="M287" s="1"/>
      <c r="N287" s="164"/>
      <c r="O287" s="1"/>
      <c r="P287" s="153"/>
      <c r="Q287" s="39"/>
      <c r="R287" s="39"/>
      <c r="S287" s="39"/>
      <c r="T287" s="154"/>
      <c r="U287" s="40"/>
    </row>
    <row r="288" spans="1:21" ht="20" customHeight="1" x14ac:dyDescent="0.15">
      <c r="A288" s="284" t="s">
        <v>6184</v>
      </c>
      <c r="B288" s="157"/>
      <c r="C288" s="157"/>
      <c r="D288" s="157"/>
      <c r="E288" s="157"/>
      <c r="F288" s="157"/>
      <c r="G288" s="3"/>
      <c r="H288" s="156"/>
      <c r="I288" s="156"/>
      <c r="J288" s="156"/>
      <c r="K288" s="165"/>
      <c r="L288" s="165"/>
      <c r="M288" s="1"/>
      <c r="N288" s="164"/>
      <c r="O288" s="1"/>
      <c r="P288" s="153"/>
      <c r="Q288" s="39"/>
      <c r="R288" s="39"/>
      <c r="S288" s="39"/>
      <c r="T288" s="154"/>
      <c r="U288" s="40"/>
    </row>
    <row r="289" spans="1:21" ht="20" customHeight="1" x14ac:dyDescent="0.15">
      <c r="A289" s="284" t="s">
        <v>6185</v>
      </c>
      <c r="B289" s="157"/>
      <c r="C289" s="157"/>
      <c r="D289" s="157"/>
      <c r="E289" s="157"/>
      <c r="F289" s="157"/>
      <c r="G289" s="3"/>
      <c r="H289" s="156"/>
      <c r="I289" s="156"/>
      <c r="J289" s="156"/>
      <c r="K289" s="165"/>
      <c r="L289" s="165"/>
      <c r="M289" s="1"/>
      <c r="N289" s="164"/>
      <c r="O289" s="1"/>
      <c r="P289" s="153"/>
      <c r="Q289" s="39"/>
      <c r="R289" s="39"/>
      <c r="S289" s="39"/>
      <c r="T289" s="154"/>
      <c r="U289" s="40"/>
    </row>
    <row r="290" spans="1:21" ht="20" customHeight="1" x14ac:dyDescent="0.15">
      <c r="A290" s="284" t="s">
        <v>6186</v>
      </c>
      <c r="B290" s="157"/>
      <c r="C290" s="157"/>
      <c r="D290" s="157"/>
      <c r="E290" s="157"/>
      <c r="F290" s="157"/>
      <c r="G290" s="3"/>
      <c r="H290" s="156"/>
      <c r="I290" s="156"/>
      <c r="J290" s="156"/>
      <c r="K290" s="165"/>
      <c r="L290" s="165"/>
      <c r="M290" s="1"/>
      <c r="N290" s="164"/>
      <c r="O290" s="1"/>
      <c r="P290" s="153"/>
      <c r="Q290" s="39"/>
      <c r="R290" s="39"/>
      <c r="S290" s="39"/>
      <c r="T290" s="154"/>
      <c r="U290" s="40"/>
    </row>
    <row r="291" spans="1:21" ht="20" customHeight="1" x14ac:dyDescent="0.15">
      <c r="A291" s="284" t="s">
        <v>6187</v>
      </c>
      <c r="B291" s="157"/>
      <c r="C291" s="157"/>
      <c r="D291" s="157"/>
      <c r="E291" s="157"/>
      <c r="F291" s="157"/>
      <c r="G291" s="3"/>
      <c r="H291" s="156"/>
      <c r="I291" s="156"/>
      <c r="J291" s="156"/>
      <c r="K291" s="165"/>
      <c r="L291" s="165"/>
      <c r="M291" s="1"/>
      <c r="N291" s="164"/>
      <c r="O291" s="1"/>
      <c r="P291" s="153"/>
      <c r="Q291" s="39"/>
      <c r="R291" s="39"/>
      <c r="S291" s="39"/>
      <c r="T291" s="154"/>
      <c r="U291" s="40"/>
    </row>
    <row r="292" spans="1:21" ht="20" customHeight="1" x14ac:dyDescent="0.15">
      <c r="A292" s="284" t="s">
        <v>6188</v>
      </c>
      <c r="B292" s="157"/>
      <c r="C292" s="157"/>
      <c r="D292" s="157"/>
      <c r="E292" s="157"/>
      <c r="F292" s="157"/>
      <c r="G292" s="3"/>
      <c r="H292" s="156"/>
      <c r="I292" s="156"/>
      <c r="J292" s="156"/>
      <c r="K292" s="165"/>
      <c r="L292" s="165"/>
      <c r="M292" s="1"/>
      <c r="N292" s="164"/>
      <c r="O292" s="1"/>
      <c r="P292" s="153"/>
      <c r="Q292" s="39"/>
      <c r="R292" s="39"/>
      <c r="S292" s="39"/>
      <c r="T292" s="154"/>
      <c r="U292" s="40"/>
    </row>
    <row r="293" spans="1:21" ht="20" customHeight="1" x14ac:dyDescent="0.15">
      <c r="A293" s="284" t="s">
        <v>6189</v>
      </c>
      <c r="B293" s="157"/>
      <c r="C293" s="157"/>
      <c r="D293" s="157"/>
      <c r="E293" s="157"/>
      <c r="F293" s="157"/>
      <c r="G293" s="3"/>
      <c r="H293" s="156"/>
      <c r="I293" s="156"/>
      <c r="J293" s="156"/>
      <c r="K293" s="165"/>
      <c r="L293" s="165"/>
      <c r="M293" s="1"/>
      <c r="N293" s="164"/>
      <c r="O293" s="1"/>
      <c r="P293" s="153"/>
      <c r="Q293" s="39"/>
      <c r="R293" s="39"/>
      <c r="S293" s="39"/>
      <c r="T293" s="154"/>
      <c r="U293" s="40"/>
    </row>
    <row r="294" spans="1:21" ht="20" customHeight="1" x14ac:dyDescent="0.15">
      <c r="A294" s="284" t="s">
        <v>6190</v>
      </c>
      <c r="B294" s="157"/>
      <c r="C294" s="157"/>
      <c r="D294" s="157"/>
      <c r="E294" s="157"/>
      <c r="F294" s="157"/>
      <c r="G294" s="3"/>
      <c r="H294" s="156"/>
      <c r="I294" s="156"/>
      <c r="J294" s="156"/>
      <c r="K294" s="165"/>
      <c r="L294" s="165"/>
      <c r="M294" s="1"/>
      <c r="N294" s="164"/>
      <c r="O294" s="1"/>
      <c r="P294" s="153"/>
      <c r="Q294" s="39"/>
      <c r="R294" s="39"/>
      <c r="S294" s="39"/>
      <c r="T294" s="154"/>
      <c r="U294" s="40"/>
    </row>
    <row r="295" spans="1:21" ht="20" customHeight="1" x14ac:dyDescent="0.15">
      <c r="A295" s="284" t="s">
        <v>6191</v>
      </c>
      <c r="B295" s="157"/>
      <c r="C295" s="157"/>
      <c r="D295" s="157"/>
      <c r="E295" s="157"/>
      <c r="F295" s="157"/>
      <c r="G295" s="3"/>
      <c r="H295" s="156"/>
      <c r="I295" s="156"/>
      <c r="J295" s="156"/>
      <c r="K295" s="165"/>
      <c r="L295" s="165"/>
      <c r="M295" s="1"/>
      <c r="N295" s="164"/>
      <c r="O295" s="1"/>
      <c r="P295" s="153"/>
      <c r="Q295" s="39"/>
      <c r="R295" s="39"/>
      <c r="S295" s="39"/>
      <c r="T295" s="154"/>
      <c r="U295" s="40"/>
    </row>
    <row r="296" spans="1:21" ht="20" customHeight="1" x14ac:dyDescent="0.15">
      <c r="A296" s="284" t="s">
        <v>6192</v>
      </c>
      <c r="B296" s="157"/>
      <c r="C296" s="157"/>
      <c r="D296" s="157"/>
      <c r="E296" s="157"/>
      <c r="F296" s="157"/>
      <c r="G296" s="3"/>
      <c r="H296" s="156"/>
      <c r="I296" s="156"/>
      <c r="J296" s="156"/>
      <c r="K296" s="165"/>
      <c r="L296" s="165"/>
      <c r="M296" s="1"/>
      <c r="N296" s="164"/>
      <c r="O296" s="1"/>
      <c r="P296" s="153"/>
      <c r="Q296" s="39"/>
      <c r="R296" s="39"/>
      <c r="S296" s="39"/>
      <c r="T296" s="154"/>
      <c r="U296" s="40"/>
    </row>
    <row r="297" spans="1:21" ht="20" customHeight="1" x14ac:dyDescent="0.15">
      <c r="A297" s="284" t="s">
        <v>6193</v>
      </c>
      <c r="B297" s="157"/>
      <c r="C297" s="157"/>
      <c r="D297" s="157"/>
      <c r="E297" s="157"/>
      <c r="F297" s="157"/>
      <c r="G297" s="3"/>
      <c r="H297" s="156"/>
      <c r="I297" s="156"/>
      <c r="J297" s="156"/>
      <c r="K297" s="165"/>
      <c r="L297" s="165"/>
      <c r="M297" s="1"/>
      <c r="N297" s="164"/>
      <c r="O297" s="1"/>
      <c r="P297" s="153"/>
      <c r="Q297" s="39"/>
      <c r="R297" s="39"/>
      <c r="S297" s="39"/>
      <c r="T297" s="154"/>
      <c r="U297" s="40"/>
    </row>
    <row r="298" spans="1:21" ht="20" customHeight="1" x14ac:dyDescent="0.15">
      <c r="A298" s="284" t="s">
        <v>6194</v>
      </c>
      <c r="B298" s="157"/>
      <c r="C298" s="157"/>
      <c r="D298" s="157"/>
      <c r="E298" s="157"/>
      <c r="F298" s="157"/>
      <c r="G298" s="3"/>
      <c r="H298" s="156"/>
      <c r="I298" s="156"/>
      <c r="J298" s="156"/>
      <c r="K298" s="165"/>
      <c r="L298" s="165"/>
      <c r="M298" s="1"/>
      <c r="N298" s="164"/>
      <c r="O298" s="1"/>
      <c r="P298" s="153"/>
      <c r="Q298" s="39"/>
      <c r="R298" s="39"/>
      <c r="S298" s="39"/>
      <c r="T298" s="154"/>
      <c r="U298" s="40"/>
    </row>
    <row r="299" spans="1:21" ht="20" customHeight="1" x14ac:dyDescent="0.15">
      <c r="A299" s="284" t="s">
        <v>6195</v>
      </c>
      <c r="B299" s="157"/>
      <c r="C299" s="157"/>
      <c r="D299" s="157"/>
      <c r="E299" s="157"/>
      <c r="F299" s="157"/>
      <c r="G299" s="3"/>
      <c r="H299" s="156"/>
      <c r="I299" s="156"/>
      <c r="J299" s="156"/>
      <c r="K299" s="165"/>
      <c r="L299" s="165"/>
      <c r="M299" s="1"/>
      <c r="N299" s="164"/>
      <c r="O299" s="1"/>
      <c r="P299" s="153"/>
      <c r="Q299" s="39"/>
      <c r="R299" s="39"/>
      <c r="S299" s="39"/>
      <c r="T299" s="154"/>
      <c r="U299" s="40"/>
    </row>
    <row r="300" spans="1:21" ht="20" customHeight="1" x14ac:dyDescent="0.15">
      <c r="A300" s="284" t="s">
        <v>6196</v>
      </c>
      <c r="B300" s="157"/>
      <c r="C300" s="157"/>
      <c r="D300" s="157"/>
      <c r="E300" s="157"/>
      <c r="F300" s="157"/>
      <c r="G300" s="3"/>
      <c r="H300" s="156"/>
      <c r="I300" s="156"/>
      <c r="J300" s="156"/>
      <c r="K300" s="165"/>
      <c r="L300" s="165"/>
      <c r="M300" s="1"/>
      <c r="N300" s="164"/>
      <c r="O300" s="1"/>
      <c r="P300" s="153"/>
      <c r="Q300" s="39"/>
      <c r="R300" s="39"/>
      <c r="S300" s="39"/>
      <c r="T300" s="154"/>
      <c r="U300" s="40"/>
    </row>
    <row r="301" spans="1:21" ht="20" customHeight="1" x14ac:dyDescent="0.15">
      <c r="A301" s="284" t="s">
        <v>6197</v>
      </c>
      <c r="B301" s="157"/>
      <c r="C301" s="157"/>
      <c r="D301" s="157"/>
      <c r="E301" s="157"/>
      <c r="F301" s="157"/>
      <c r="G301" s="3"/>
      <c r="H301" s="156"/>
      <c r="I301" s="156"/>
      <c r="J301" s="156"/>
      <c r="K301" s="165"/>
      <c r="L301" s="165"/>
      <c r="M301" s="1"/>
      <c r="N301" s="164"/>
      <c r="O301" s="1"/>
      <c r="P301" s="153"/>
      <c r="Q301" s="39"/>
      <c r="R301" s="39"/>
      <c r="S301" s="39"/>
      <c r="T301" s="154"/>
      <c r="U301" s="40"/>
    </row>
    <row r="302" spans="1:21" ht="20" customHeight="1" x14ac:dyDescent="0.15">
      <c r="A302" s="284" t="s">
        <v>6198</v>
      </c>
      <c r="B302" s="157"/>
      <c r="C302" s="157"/>
      <c r="D302" s="157"/>
      <c r="E302" s="157"/>
      <c r="F302" s="157"/>
      <c r="G302" s="3"/>
      <c r="H302" s="156"/>
      <c r="I302" s="156"/>
      <c r="J302" s="156"/>
      <c r="K302" s="165"/>
      <c r="L302" s="165"/>
      <c r="M302" s="1"/>
      <c r="N302" s="164"/>
      <c r="O302" s="1"/>
      <c r="P302" s="153"/>
      <c r="Q302" s="39"/>
      <c r="R302" s="39"/>
      <c r="S302" s="39"/>
      <c r="T302" s="154"/>
      <c r="U302" s="40"/>
    </row>
    <row r="303" spans="1:21" ht="20" customHeight="1" x14ac:dyDescent="0.15">
      <c r="A303" s="284" t="s">
        <v>6199</v>
      </c>
      <c r="B303" s="157"/>
      <c r="C303" s="157"/>
      <c r="D303" s="157"/>
      <c r="E303" s="157"/>
      <c r="F303" s="157"/>
      <c r="G303" s="3"/>
      <c r="H303" s="156"/>
      <c r="I303" s="156"/>
      <c r="J303" s="156"/>
      <c r="K303" s="165"/>
      <c r="L303" s="165"/>
      <c r="M303" s="1"/>
      <c r="N303" s="164"/>
      <c r="O303" s="1"/>
      <c r="P303" s="153"/>
      <c r="Q303" s="39"/>
      <c r="R303" s="39"/>
      <c r="S303" s="39"/>
      <c r="T303" s="154"/>
      <c r="U303" s="40"/>
    </row>
    <row r="304" spans="1:21" ht="20" customHeight="1" x14ac:dyDescent="0.15">
      <c r="A304" s="284" t="s">
        <v>6200</v>
      </c>
      <c r="B304" s="157"/>
      <c r="C304" s="157"/>
      <c r="D304" s="157"/>
      <c r="E304" s="157"/>
      <c r="F304" s="157"/>
      <c r="G304" s="3"/>
      <c r="H304" s="156"/>
      <c r="I304" s="156"/>
      <c r="J304" s="156"/>
      <c r="K304" s="165"/>
      <c r="L304" s="165"/>
      <c r="M304" s="1"/>
      <c r="N304" s="164"/>
      <c r="O304" s="1"/>
      <c r="P304" s="153"/>
      <c r="Q304" s="39"/>
      <c r="R304" s="39"/>
      <c r="S304" s="39"/>
      <c r="T304" s="154"/>
      <c r="U304" s="40"/>
    </row>
    <row r="305" spans="1:21" ht="20" customHeight="1" x14ac:dyDescent="0.15">
      <c r="A305" s="284" t="s">
        <v>6201</v>
      </c>
      <c r="B305" s="157"/>
      <c r="C305" s="157"/>
      <c r="D305" s="157"/>
      <c r="E305" s="157"/>
      <c r="F305" s="157"/>
      <c r="G305" s="3"/>
      <c r="H305" s="156"/>
      <c r="I305" s="156"/>
      <c r="J305" s="156"/>
      <c r="K305" s="165"/>
      <c r="L305" s="165"/>
      <c r="M305" s="1"/>
      <c r="N305" s="164"/>
      <c r="O305" s="1"/>
      <c r="P305" s="153"/>
      <c r="Q305" s="39"/>
      <c r="R305" s="39"/>
      <c r="S305" s="39"/>
      <c r="T305" s="154"/>
      <c r="U305" s="40"/>
    </row>
    <row r="306" spans="1:21" ht="20" customHeight="1" x14ac:dyDescent="0.15">
      <c r="A306" s="284" t="s">
        <v>6202</v>
      </c>
      <c r="B306" s="157"/>
      <c r="C306" s="157"/>
      <c r="D306" s="157"/>
      <c r="E306" s="157"/>
      <c r="F306" s="157"/>
      <c r="G306" s="3"/>
      <c r="H306" s="156"/>
      <c r="I306" s="156"/>
      <c r="J306" s="156"/>
      <c r="K306" s="165"/>
      <c r="L306" s="165"/>
      <c r="M306" s="1"/>
      <c r="N306" s="164"/>
      <c r="O306" s="1"/>
      <c r="P306" s="153"/>
      <c r="Q306" s="39"/>
      <c r="R306" s="39"/>
      <c r="S306" s="39"/>
      <c r="T306" s="154"/>
      <c r="U306" s="40"/>
    </row>
    <row r="307" spans="1:21" ht="20" customHeight="1" x14ac:dyDescent="0.15">
      <c r="A307" s="284" t="s">
        <v>6203</v>
      </c>
      <c r="B307" s="157"/>
      <c r="C307" s="157"/>
      <c r="D307" s="157"/>
      <c r="E307" s="157"/>
      <c r="F307" s="157"/>
      <c r="G307" s="3"/>
      <c r="H307" s="156"/>
      <c r="I307" s="156"/>
      <c r="J307" s="156"/>
      <c r="K307" s="165"/>
      <c r="L307" s="165"/>
      <c r="M307" s="1"/>
      <c r="N307" s="164"/>
      <c r="O307" s="1"/>
      <c r="P307" s="153"/>
      <c r="Q307" s="39"/>
      <c r="R307" s="39"/>
      <c r="S307" s="39"/>
      <c r="T307" s="154"/>
      <c r="U307" s="40"/>
    </row>
    <row r="308" spans="1:21" ht="20" customHeight="1" x14ac:dyDescent="0.15">
      <c r="A308" s="284" t="s">
        <v>6204</v>
      </c>
      <c r="B308" s="157"/>
      <c r="C308" s="157"/>
      <c r="D308" s="157"/>
      <c r="E308" s="157"/>
      <c r="F308" s="157"/>
      <c r="G308" s="3"/>
      <c r="H308" s="156"/>
      <c r="I308" s="156"/>
      <c r="J308" s="156"/>
      <c r="K308" s="165"/>
      <c r="L308" s="165"/>
      <c r="M308" s="1"/>
      <c r="N308" s="164"/>
      <c r="O308" s="1"/>
      <c r="P308" s="153"/>
      <c r="Q308" s="39"/>
      <c r="R308" s="39"/>
      <c r="S308" s="39"/>
      <c r="T308" s="154"/>
      <c r="U308" s="40"/>
    </row>
    <row r="309" spans="1:21" ht="20" customHeight="1" x14ac:dyDescent="0.15">
      <c r="A309" s="284" t="s">
        <v>6205</v>
      </c>
      <c r="B309" s="157"/>
      <c r="C309" s="157"/>
      <c r="D309" s="157"/>
      <c r="E309" s="157"/>
      <c r="F309" s="157"/>
      <c r="G309" s="3"/>
      <c r="H309" s="156"/>
      <c r="I309" s="156"/>
      <c r="J309" s="156"/>
      <c r="K309" s="165"/>
      <c r="L309" s="165"/>
      <c r="M309" s="1"/>
      <c r="N309" s="164"/>
      <c r="O309" s="1"/>
      <c r="P309" s="153"/>
      <c r="Q309" s="39"/>
      <c r="R309" s="39"/>
      <c r="S309" s="39"/>
      <c r="T309" s="154"/>
      <c r="U309" s="40"/>
    </row>
    <row r="310" spans="1:21" ht="20" customHeight="1" x14ac:dyDescent="0.15">
      <c r="A310" s="284" t="s">
        <v>6206</v>
      </c>
      <c r="B310" s="157"/>
      <c r="C310" s="157"/>
      <c r="D310" s="157"/>
      <c r="E310" s="157"/>
      <c r="F310" s="157"/>
      <c r="G310" s="3"/>
      <c r="H310" s="156"/>
      <c r="I310" s="156"/>
      <c r="J310" s="156"/>
      <c r="K310" s="165"/>
      <c r="L310" s="165"/>
      <c r="M310" s="1"/>
      <c r="N310" s="164"/>
      <c r="O310" s="1"/>
      <c r="P310" s="153"/>
      <c r="Q310" s="39"/>
      <c r="R310" s="39"/>
      <c r="S310" s="39"/>
      <c r="T310" s="154"/>
      <c r="U310" s="40"/>
    </row>
    <row r="311" spans="1:21" ht="20" customHeight="1" x14ac:dyDescent="0.15">
      <c r="A311" s="284" t="s">
        <v>6207</v>
      </c>
      <c r="B311" s="157"/>
      <c r="C311" s="157"/>
      <c r="D311" s="157"/>
      <c r="E311" s="157"/>
      <c r="F311" s="157"/>
      <c r="G311" s="3"/>
      <c r="H311" s="156"/>
      <c r="I311" s="156"/>
      <c r="J311" s="156"/>
      <c r="K311" s="165"/>
      <c r="L311" s="165"/>
      <c r="M311" s="1"/>
      <c r="N311" s="164"/>
      <c r="O311" s="1"/>
      <c r="P311" s="153"/>
      <c r="Q311" s="39"/>
      <c r="R311" s="39"/>
      <c r="S311" s="39"/>
      <c r="T311" s="154"/>
      <c r="U311" s="40"/>
    </row>
    <row r="312" spans="1:21" ht="20" customHeight="1" x14ac:dyDescent="0.15">
      <c r="A312" s="284" t="s">
        <v>6208</v>
      </c>
      <c r="B312" s="157"/>
      <c r="C312" s="157"/>
      <c r="D312" s="157"/>
      <c r="E312" s="157"/>
      <c r="F312" s="157"/>
      <c r="G312" s="3"/>
      <c r="H312" s="156"/>
      <c r="I312" s="156"/>
      <c r="J312" s="156"/>
      <c r="K312" s="165"/>
      <c r="L312" s="165"/>
      <c r="M312" s="1"/>
      <c r="N312" s="164"/>
      <c r="O312" s="1"/>
      <c r="P312" s="153"/>
      <c r="Q312" s="39"/>
      <c r="R312" s="39"/>
      <c r="S312" s="39"/>
      <c r="T312" s="154"/>
      <c r="U312" s="40"/>
    </row>
    <row r="313" spans="1:21" ht="20" customHeight="1" x14ac:dyDescent="0.15">
      <c r="A313" s="284" t="s">
        <v>6209</v>
      </c>
      <c r="B313" s="157"/>
      <c r="C313" s="157"/>
      <c r="D313" s="157"/>
      <c r="E313" s="157"/>
      <c r="F313" s="157"/>
      <c r="G313" s="3"/>
      <c r="H313" s="156"/>
      <c r="I313" s="156"/>
      <c r="J313" s="156"/>
      <c r="K313" s="165"/>
      <c r="L313" s="165"/>
      <c r="M313" s="1"/>
      <c r="N313" s="164"/>
      <c r="O313" s="1"/>
      <c r="P313" s="153"/>
      <c r="Q313" s="39"/>
      <c r="R313" s="39"/>
      <c r="S313" s="39"/>
      <c r="T313" s="154"/>
      <c r="U313" s="40"/>
    </row>
    <row r="314" spans="1:21" ht="20" customHeight="1" x14ac:dyDescent="0.15">
      <c r="A314" s="284" t="s">
        <v>6210</v>
      </c>
      <c r="B314" s="157"/>
      <c r="C314" s="157"/>
      <c r="D314" s="157"/>
      <c r="E314" s="157"/>
      <c r="F314" s="157"/>
      <c r="G314" s="3"/>
      <c r="H314" s="156"/>
      <c r="I314" s="156"/>
      <c r="J314" s="156"/>
      <c r="K314" s="165"/>
      <c r="L314" s="165"/>
      <c r="M314" s="1"/>
      <c r="N314" s="164"/>
      <c r="O314" s="1"/>
      <c r="P314" s="153"/>
      <c r="Q314" s="39"/>
      <c r="R314" s="39"/>
      <c r="S314" s="39"/>
      <c r="T314" s="154"/>
      <c r="U314" s="40"/>
    </row>
    <row r="315" spans="1:21" ht="20" customHeight="1" x14ac:dyDescent="0.15">
      <c r="A315" s="284" t="s">
        <v>6211</v>
      </c>
      <c r="B315" s="157"/>
      <c r="C315" s="157"/>
      <c r="D315" s="157"/>
      <c r="E315" s="157"/>
      <c r="F315" s="157"/>
      <c r="G315" s="3"/>
      <c r="H315" s="156"/>
      <c r="I315" s="156"/>
      <c r="J315" s="156"/>
      <c r="K315" s="165"/>
      <c r="L315" s="165"/>
      <c r="M315" s="1"/>
      <c r="N315" s="164"/>
      <c r="O315" s="1"/>
      <c r="P315" s="153"/>
      <c r="Q315" s="39"/>
      <c r="R315" s="39"/>
      <c r="S315" s="39"/>
      <c r="T315" s="154"/>
      <c r="U315" s="40"/>
    </row>
    <row r="316" spans="1:21" ht="20" customHeight="1" x14ac:dyDescent="0.15">
      <c r="A316" s="284" t="s">
        <v>6212</v>
      </c>
      <c r="B316" s="157"/>
      <c r="C316" s="157"/>
      <c r="D316" s="157"/>
      <c r="E316" s="157"/>
      <c r="F316" s="157"/>
      <c r="G316" s="3"/>
      <c r="H316" s="156"/>
      <c r="I316" s="156"/>
      <c r="J316" s="156"/>
      <c r="K316" s="165"/>
      <c r="L316" s="165"/>
      <c r="M316" s="1"/>
      <c r="N316" s="164"/>
      <c r="O316" s="1"/>
      <c r="P316" s="153"/>
      <c r="Q316" s="39"/>
      <c r="R316" s="39"/>
      <c r="S316" s="39"/>
      <c r="T316" s="154"/>
      <c r="U316" s="40"/>
    </row>
    <row r="317" spans="1:21" ht="20" customHeight="1" x14ac:dyDescent="0.15">
      <c r="A317" s="284" t="s">
        <v>6213</v>
      </c>
      <c r="B317" s="157"/>
      <c r="C317" s="157"/>
      <c r="D317" s="157"/>
      <c r="E317" s="157"/>
      <c r="F317" s="157"/>
      <c r="G317" s="3"/>
      <c r="H317" s="156"/>
      <c r="I317" s="156"/>
      <c r="J317" s="156"/>
      <c r="K317" s="165"/>
      <c r="L317" s="165"/>
      <c r="M317" s="1"/>
      <c r="N317" s="164"/>
      <c r="O317" s="1"/>
      <c r="P317" s="153"/>
      <c r="Q317" s="39"/>
      <c r="R317" s="39"/>
      <c r="S317" s="39"/>
      <c r="T317" s="154"/>
      <c r="U317" s="40"/>
    </row>
    <row r="318" spans="1:21" ht="20" customHeight="1" x14ac:dyDescent="0.15">
      <c r="A318" s="284" t="s">
        <v>6214</v>
      </c>
      <c r="B318" s="157"/>
      <c r="C318" s="157"/>
      <c r="D318" s="157"/>
      <c r="E318" s="157"/>
      <c r="F318" s="157"/>
      <c r="G318" s="3"/>
      <c r="H318" s="156"/>
      <c r="I318" s="156"/>
      <c r="J318" s="156"/>
      <c r="K318" s="165"/>
      <c r="L318" s="165"/>
      <c r="M318" s="1"/>
      <c r="N318" s="164"/>
      <c r="O318" s="1"/>
      <c r="P318" s="153"/>
      <c r="Q318" s="39"/>
      <c r="R318" s="39"/>
      <c r="S318" s="39"/>
      <c r="T318" s="154"/>
      <c r="U318" s="40"/>
    </row>
    <row r="319" spans="1:21" ht="20" customHeight="1" x14ac:dyDescent="0.15">
      <c r="A319" s="284" t="s">
        <v>6215</v>
      </c>
      <c r="B319" s="157"/>
      <c r="C319" s="157"/>
      <c r="D319" s="157"/>
      <c r="E319" s="157"/>
      <c r="F319" s="157"/>
      <c r="G319" s="3"/>
      <c r="H319" s="156"/>
      <c r="I319" s="156"/>
      <c r="J319" s="156"/>
      <c r="K319" s="165"/>
      <c r="L319" s="165"/>
      <c r="M319" s="1"/>
      <c r="N319" s="164"/>
      <c r="O319" s="1"/>
      <c r="P319" s="153"/>
      <c r="Q319" s="39"/>
      <c r="R319" s="39"/>
      <c r="S319" s="39"/>
      <c r="T319" s="154"/>
      <c r="U319" s="40"/>
    </row>
    <row r="320" spans="1:21" ht="20" customHeight="1" x14ac:dyDescent="0.15">
      <c r="A320" s="284" t="s">
        <v>6216</v>
      </c>
      <c r="B320" s="157"/>
      <c r="C320" s="157"/>
      <c r="D320" s="157"/>
      <c r="E320" s="157"/>
      <c r="F320" s="157"/>
      <c r="G320" s="3"/>
      <c r="H320" s="156"/>
      <c r="I320" s="156"/>
      <c r="J320" s="156"/>
      <c r="K320" s="165"/>
      <c r="L320" s="165"/>
      <c r="M320" s="1"/>
      <c r="N320" s="164"/>
      <c r="O320" s="1"/>
      <c r="P320" s="153"/>
      <c r="Q320" s="39"/>
      <c r="R320" s="39"/>
      <c r="S320" s="39"/>
      <c r="T320" s="154"/>
      <c r="U320" s="40"/>
    </row>
    <row r="321" spans="1:21" ht="20" customHeight="1" x14ac:dyDescent="0.15">
      <c r="A321" s="284" t="s">
        <v>6217</v>
      </c>
      <c r="B321" s="157"/>
      <c r="C321" s="157"/>
      <c r="D321" s="157"/>
      <c r="E321" s="157"/>
      <c r="F321" s="157"/>
      <c r="G321" s="3"/>
      <c r="H321" s="156"/>
      <c r="I321" s="156"/>
      <c r="J321" s="156"/>
      <c r="K321" s="165"/>
      <c r="L321" s="165"/>
      <c r="M321" s="1"/>
      <c r="N321" s="164"/>
      <c r="O321" s="1"/>
      <c r="P321" s="153"/>
      <c r="Q321" s="39"/>
      <c r="R321" s="39"/>
      <c r="S321" s="39"/>
      <c r="T321" s="154"/>
      <c r="U321" s="40"/>
    </row>
    <row r="322" spans="1:21" ht="20" customHeight="1" x14ac:dyDescent="0.15">
      <c r="A322" s="284" t="s">
        <v>6218</v>
      </c>
      <c r="B322" s="157"/>
      <c r="C322" s="157"/>
      <c r="D322" s="157"/>
      <c r="E322" s="157"/>
      <c r="F322" s="157"/>
      <c r="G322" s="3"/>
      <c r="H322" s="156"/>
      <c r="I322" s="156"/>
      <c r="J322" s="156"/>
      <c r="K322" s="165"/>
      <c r="L322" s="165"/>
      <c r="M322" s="1"/>
      <c r="N322" s="164"/>
      <c r="O322" s="1"/>
      <c r="P322" s="153"/>
      <c r="Q322" s="39"/>
      <c r="R322" s="39"/>
      <c r="S322" s="39"/>
      <c r="T322" s="154"/>
      <c r="U322" s="40"/>
    </row>
    <row r="323" spans="1:21" ht="20" customHeight="1" x14ac:dyDescent="0.15">
      <c r="A323" s="284" t="s">
        <v>6219</v>
      </c>
      <c r="B323" s="157"/>
      <c r="C323" s="157"/>
      <c r="D323" s="157"/>
      <c r="E323" s="157"/>
      <c r="F323" s="157"/>
      <c r="G323" s="3"/>
      <c r="H323" s="156"/>
      <c r="I323" s="156"/>
      <c r="J323" s="156"/>
      <c r="K323" s="165"/>
      <c r="L323" s="165"/>
      <c r="M323" s="1"/>
      <c r="N323" s="164"/>
      <c r="O323" s="1"/>
      <c r="P323" s="153"/>
      <c r="Q323" s="39"/>
      <c r="R323" s="39"/>
      <c r="S323" s="39"/>
      <c r="T323" s="154"/>
      <c r="U323" s="40"/>
    </row>
    <row r="324" spans="1:21" ht="20" customHeight="1" x14ac:dyDescent="0.15">
      <c r="A324" s="284" t="s">
        <v>6220</v>
      </c>
      <c r="B324" s="157"/>
      <c r="C324" s="157"/>
      <c r="D324" s="157"/>
      <c r="E324" s="157"/>
      <c r="F324" s="157"/>
      <c r="G324" s="3"/>
      <c r="H324" s="156"/>
      <c r="I324" s="156"/>
      <c r="J324" s="156"/>
      <c r="K324" s="165"/>
      <c r="L324" s="165"/>
      <c r="M324" s="1"/>
      <c r="N324" s="164"/>
      <c r="O324" s="1"/>
      <c r="P324" s="153"/>
      <c r="Q324" s="39"/>
      <c r="R324" s="39"/>
      <c r="S324" s="39"/>
      <c r="T324" s="154"/>
      <c r="U324" s="40"/>
    </row>
    <row r="325" spans="1:21" ht="20" customHeight="1" x14ac:dyDescent="0.15">
      <c r="A325" s="284" t="s">
        <v>6221</v>
      </c>
      <c r="B325" s="157"/>
      <c r="C325" s="157"/>
      <c r="D325" s="157"/>
      <c r="E325" s="157"/>
      <c r="F325" s="157"/>
      <c r="G325" s="3"/>
      <c r="H325" s="156"/>
      <c r="I325" s="156"/>
      <c r="J325" s="156"/>
      <c r="K325" s="165"/>
      <c r="L325" s="165"/>
      <c r="M325" s="1"/>
      <c r="N325" s="164"/>
      <c r="O325" s="1"/>
      <c r="P325" s="153"/>
      <c r="Q325" s="39"/>
      <c r="R325" s="39"/>
      <c r="S325" s="39"/>
      <c r="T325" s="154"/>
      <c r="U325" s="40"/>
    </row>
    <row r="326" spans="1:21" ht="20" customHeight="1" x14ac:dyDescent="0.15">
      <c r="A326" s="284" t="s">
        <v>6222</v>
      </c>
      <c r="B326" s="157"/>
      <c r="C326" s="157"/>
      <c r="D326" s="157"/>
      <c r="E326" s="157"/>
      <c r="F326" s="157"/>
      <c r="G326" s="3"/>
      <c r="H326" s="156"/>
      <c r="I326" s="156"/>
      <c r="J326" s="156"/>
      <c r="K326" s="165"/>
      <c r="L326" s="165"/>
      <c r="M326" s="1"/>
      <c r="N326" s="164"/>
      <c r="O326" s="1"/>
      <c r="P326" s="153"/>
      <c r="Q326" s="39"/>
      <c r="R326" s="39"/>
      <c r="S326" s="39"/>
      <c r="T326" s="154"/>
      <c r="U326" s="40"/>
    </row>
    <row r="327" spans="1:21" ht="20" customHeight="1" x14ac:dyDescent="0.15">
      <c r="A327" s="284" t="s">
        <v>6223</v>
      </c>
      <c r="B327" s="157"/>
      <c r="C327" s="157"/>
      <c r="D327" s="157"/>
      <c r="E327" s="157"/>
      <c r="F327" s="157"/>
      <c r="G327" s="3"/>
      <c r="H327" s="156"/>
      <c r="I327" s="156"/>
      <c r="J327" s="156"/>
      <c r="K327" s="165"/>
      <c r="L327" s="165"/>
      <c r="M327" s="1"/>
      <c r="N327" s="164"/>
      <c r="O327" s="1"/>
      <c r="P327" s="153"/>
      <c r="Q327" s="39"/>
      <c r="R327" s="39"/>
      <c r="S327" s="39"/>
      <c r="T327" s="154"/>
      <c r="U327" s="40"/>
    </row>
    <row r="328" spans="1:21" ht="20" customHeight="1" x14ac:dyDescent="0.15">
      <c r="A328" s="284" t="s">
        <v>6224</v>
      </c>
      <c r="B328" s="157"/>
      <c r="C328" s="157"/>
      <c r="D328" s="157"/>
      <c r="E328" s="157"/>
      <c r="F328" s="157"/>
      <c r="G328" s="3"/>
      <c r="H328" s="156"/>
      <c r="I328" s="156"/>
      <c r="J328" s="156"/>
      <c r="K328" s="165"/>
      <c r="L328" s="165"/>
      <c r="M328" s="1"/>
      <c r="N328" s="164"/>
      <c r="O328" s="1"/>
      <c r="P328" s="153"/>
      <c r="Q328" s="39"/>
      <c r="R328" s="39"/>
      <c r="S328" s="39"/>
      <c r="T328" s="154"/>
      <c r="U328" s="40"/>
    </row>
    <row r="329" spans="1:21" ht="20" customHeight="1" x14ac:dyDescent="0.15">
      <c r="A329" s="284" t="s">
        <v>6225</v>
      </c>
      <c r="B329" s="157"/>
      <c r="C329" s="157"/>
      <c r="D329" s="157"/>
      <c r="E329" s="157"/>
      <c r="F329" s="157"/>
      <c r="G329" s="3"/>
      <c r="H329" s="156"/>
      <c r="I329" s="156"/>
      <c r="J329" s="156"/>
      <c r="K329" s="165"/>
      <c r="L329" s="165"/>
      <c r="M329" s="1"/>
      <c r="N329" s="164"/>
      <c r="O329" s="1"/>
      <c r="P329" s="153"/>
      <c r="Q329" s="39"/>
      <c r="R329" s="39"/>
      <c r="S329" s="39"/>
      <c r="T329" s="154"/>
      <c r="U329" s="40"/>
    </row>
    <row r="330" spans="1:21" ht="20" customHeight="1" x14ac:dyDescent="0.15">
      <c r="A330" s="284" t="s">
        <v>6226</v>
      </c>
      <c r="B330" s="157"/>
      <c r="C330" s="157"/>
      <c r="D330" s="157"/>
      <c r="E330" s="157"/>
      <c r="F330" s="157"/>
      <c r="G330" s="3"/>
      <c r="H330" s="156"/>
      <c r="I330" s="156"/>
      <c r="J330" s="156"/>
      <c r="K330" s="165"/>
      <c r="L330" s="165"/>
      <c r="M330" s="1"/>
      <c r="N330" s="164"/>
      <c r="O330" s="1"/>
      <c r="P330" s="153"/>
      <c r="Q330" s="39"/>
      <c r="R330" s="39"/>
      <c r="S330" s="39"/>
      <c r="T330" s="154"/>
      <c r="U330" s="40"/>
    </row>
    <row r="331" spans="1:21" ht="20" customHeight="1" x14ac:dyDescent="0.15">
      <c r="A331" s="284" t="s">
        <v>6227</v>
      </c>
      <c r="B331" s="157"/>
      <c r="C331" s="157"/>
      <c r="D331" s="157"/>
      <c r="E331" s="157"/>
      <c r="F331" s="157"/>
      <c r="G331" s="3"/>
      <c r="H331" s="156"/>
      <c r="I331" s="156"/>
      <c r="J331" s="156"/>
      <c r="K331" s="165"/>
      <c r="L331" s="165"/>
      <c r="M331" s="1"/>
      <c r="N331" s="164"/>
      <c r="O331" s="1"/>
      <c r="P331" s="153"/>
      <c r="Q331" s="39"/>
      <c r="R331" s="39"/>
      <c r="S331" s="39"/>
      <c r="T331" s="154"/>
      <c r="U331" s="40"/>
    </row>
    <row r="332" spans="1:21" ht="20" customHeight="1" x14ac:dyDescent="0.15">
      <c r="A332" s="284" t="s">
        <v>6228</v>
      </c>
      <c r="B332" s="157"/>
      <c r="C332" s="157"/>
      <c r="D332" s="157"/>
      <c r="E332" s="157"/>
      <c r="F332" s="157"/>
      <c r="G332" s="3"/>
      <c r="H332" s="156"/>
      <c r="I332" s="156"/>
      <c r="J332" s="156"/>
      <c r="K332" s="165"/>
      <c r="L332" s="165"/>
      <c r="M332" s="1"/>
      <c r="N332" s="164"/>
      <c r="O332" s="1"/>
      <c r="P332" s="153"/>
      <c r="Q332" s="39"/>
      <c r="R332" s="39"/>
      <c r="S332" s="39"/>
      <c r="T332" s="154"/>
      <c r="U332" s="40"/>
    </row>
    <row r="333" spans="1:21" ht="20" customHeight="1" x14ac:dyDescent="0.15">
      <c r="A333" s="284" t="s">
        <v>6229</v>
      </c>
      <c r="B333" s="157"/>
      <c r="C333" s="157"/>
      <c r="D333" s="157"/>
      <c r="E333" s="157"/>
      <c r="F333" s="157"/>
      <c r="G333" s="3"/>
      <c r="H333" s="156"/>
      <c r="I333" s="156"/>
      <c r="J333" s="156"/>
      <c r="K333" s="165"/>
      <c r="L333" s="165"/>
      <c r="M333" s="1"/>
      <c r="N333" s="164"/>
      <c r="O333" s="1"/>
      <c r="P333" s="153"/>
      <c r="Q333" s="39"/>
      <c r="R333" s="39"/>
      <c r="S333" s="39"/>
      <c r="T333" s="154"/>
      <c r="U333" s="40"/>
    </row>
    <row r="334" spans="1:21" ht="20" customHeight="1" x14ac:dyDescent="0.15">
      <c r="A334" s="284" t="s">
        <v>6230</v>
      </c>
      <c r="B334" s="157"/>
      <c r="C334" s="157"/>
      <c r="D334" s="157"/>
      <c r="E334" s="157"/>
      <c r="F334" s="157"/>
      <c r="G334" s="3"/>
      <c r="H334" s="156"/>
      <c r="I334" s="156"/>
      <c r="J334" s="156"/>
      <c r="K334" s="165"/>
      <c r="L334" s="165"/>
      <c r="M334" s="1"/>
      <c r="N334" s="164"/>
      <c r="O334" s="1"/>
      <c r="P334" s="153"/>
      <c r="Q334" s="39"/>
      <c r="R334" s="39"/>
      <c r="S334" s="39"/>
      <c r="T334" s="154"/>
      <c r="U334" s="40"/>
    </row>
    <row r="335" spans="1:21" ht="20" customHeight="1" x14ac:dyDescent="0.15">
      <c r="A335" s="284" t="s">
        <v>6231</v>
      </c>
      <c r="B335" s="157"/>
      <c r="C335" s="157"/>
      <c r="D335" s="157"/>
      <c r="E335" s="157"/>
      <c r="F335" s="157"/>
      <c r="G335" s="3"/>
      <c r="H335" s="156"/>
      <c r="I335" s="156"/>
      <c r="J335" s="156"/>
      <c r="K335" s="165"/>
      <c r="L335" s="165"/>
      <c r="M335" s="1"/>
      <c r="N335" s="164"/>
      <c r="O335" s="1"/>
      <c r="P335" s="153"/>
      <c r="Q335" s="39"/>
      <c r="R335" s="39"/>
      <c r="S335" s="39"/>
      <c r="T335" s="154"/>
      <c r="U335" s="40"/>
    </row>
    <row r="336" spans="1:21" ht="20" customHeight="1" x14ac:dyDescent="0.15">
      <c r="A336" s="284" t="s">
        <v>6232</v>
      </c>
      <c r="B336" s="157"/>
      <c r="C336" s="157"/>
      <c r="D336" s="157"/>
      <c r="E336" s="157"/>
      <c r="F336" s="157"/>
      <c r="G336" s="3"/>
      <c r="H336" s="156"/>
      <c r="I336" s="156"/>
      <c r="J336" s="156"/>
      <c r="K336" s="165"/>
      <c r="L336" s="165"/>
      <c r="M336" s="1"/>
      <c r="N336" s="164"/>
      <c r="O336" s="1"/>
      <c r="P336" s="153"/>
      <c r="Q336" s="39"/>
      <c r="R336" s="39"/>
      <c r="S336" s="39"/>
      <c r="T336" s="154"/>
      <c r="U336" s="40"/>
    </row>
    <row r="337" spans="1:21" ht="20" customHeight="1" x14ac:dyDescent="0.15">
      <c r="A337" s="284" t="s">
        <v>6233</v>
      </c>
      <c r="B337" s="157"/>
      <c r="C337" s="157"/>
      <c r="D337" s="157"/>
      <c r="E337" s="157"/>
      <c r="F337" s="157"/>
      <c r="G337" s="3"/>
      <c r="H337" s="156"/>
      <c r="I337" s="156"/>
      <c r="J337" s="156"/>
      <c r="K337" s="165"/>
      <c r="L337" s="165"/>
      <c r="M337" s="1"/>
      <c r="N337" s="164"/>
      <c r="O337" s="1"/>
      <c r="P337" s="153"/>
      <c r="Q337" s="39"/>
      <c r="R337" s="39"/>
      <c r="S337" s="39"/>
      <c r="T337" s="154"/>
      <c r="U337" s="40"/>
    </row>
    <row r="338" spans="1:21" ht="20" customHeight="1" x14ac:dyDescent="0.15">
      <c r="A338" s="284" t="s">
        <v>6234</v>
      </c>
      <c r="B338" s="157"/>
      <c r="C338" s="157"/>
      <c r="D338" s="157"/>
      <c r="E338" s="157"/>
      <c r="F338" s="157"/>
      <c r="G338" s="3"/>
      <c r="H338" s="156"/>
      <c r="I338" s="156"/>
      <c r="J338" s="156"/>
      <c r="K338" s="165"/>
      <c r="L338" s="165"/>
      <c r="M338" s="1"/>
      <c r="N338" s="164"/>
      <c r="O338" s="1"/>
      <c r="P338" s="153"/>
      <c r="Q338" s="39"/>
      <c r="R338" s="39"/>
      <c r="S338" s="39"/>
      <c r="T338" s="154"/>
      <c r="U338" s="40"/>
    </row>
    <row r="339" spans="1:21" ht="20" customHeight="1" x14ac:dyDescent="0.15">
      <c r="A339" s="284" t="s">
        <v>6235</v>
      </c>
      <c r="B339" s="157"/>
      <c r="C339" s="157"/>
      <c r="D339" s="157"/>
      <c r="E339" s="157"/>
      <c r="F339" s="157"/>
      <c r="G339" s="3"/>
      <c r="H339" s="156"/>
      <c r="I339" s="156"/>
      <c r="J339" s="156"/>
      <c r="K339" s="165"/>
      <c r="L339" s="165"/>
      <c r="M339" s="1"/>
      <c r="N339" s="164"/>
      <c r="O339" s="1"/>
      <c r="P339" s="153"/>
      <c r="Q339" s="39"/>
      <c r="R339" s="39"/>
      <c r="S339" s="39"/>
      <c r="T339" s="154"/>
      <c r="U339" s="40"/>
    </row>
    <row r="340" spans="1:21" ht="20" customHeight="1" x14ac:dyDescent="0.15">
      <c r="A340" s="284" t="s">
        <v>6236</v>
      </c>
      <c r="B340" s="157"/>
      <c r="C340" s="157"/>
      <c r="D340" s="157"/>
      <c r="E340" s="157"/>
      <c r="F340" s="157"/>
      <c r="G340" s="3"/>
      <c r="H340" s="156"/>
      <c r="I340" s="156"/>
      <c r="J340" s="156"/>
      <c r="K340" s="165"/>
      <c r="L340" s="165"/>
      <c r="M340" s="1"/>
      <c r="N340" s="164"/>
      <c r="O340" s="1"/>
      <c r="P340" s="153"/>
      <c r="Q340" s="39"/>
      <c r="R340" s="39"/>
      <c r="S340" s="39"/>
      <c r="T340" s="154"/>
      <c r="U340" s="40"/>
    </row>
    <row r="341" spans="1:21" ht="20" customHeight="1" x14ac:dyDescent="0.15">
      <c r="A341" s="284" t="s">
        <v>6237</v>
      </c>
      <c r="B341" s="157"/>
      <c r="C341" s="157"/>
      <c r="D341" s="157"/>
      <c r="E341" s="157"/>
      <c r="F341" s="157"/>
      <c r="G341" s="3"/>
      <c r="H341" s="156"/>
      <c r="I341" s="156"/>
      <c r="J341" s="156"/>
      <c r="K341" s="165"/>
      <c r="L341" s="165"/>
      <c r="M341" s="1"/>
      <c r="N341" s="164"/>
      <c r="O341" s="1"/>
      <c r="P341" s="153"/>
      <c r="Q341" s="39"/>
      <c r="R341" s="39"/>
      <c r="S341" s="39"/>
      <c r="T341" s="154"/>
      <c r="U341" s="40"/>
    </row>
    <row r="342" spans="1:21" ht="20" customHeight="1" x14ac:dyDescent="0.15">
      <c r="A342" s="284" t="s">
        <v>6238</v>
      </c>
      <c r="B342" s="157"/>
      <c r="C342" s="157"/>
      <c r="D342" s="157"/>
      <c r="E342" s="157"/>
      <c r="F342" s="157"/>
      <c r="G342" s="3"/>
      <c r="H342" s="156"/>
      <c r="I342" s="156"/>
      <c r="J342" s="156"/>
      <c r="K342" s="165"/>
      <c r="L342" s="165"/>
      <c r="M342" s="1"/>
      <c r="N342" s="164"/>
      <c r="O342" s="1"/>
      <c r="P342" s="153"/>
      <c r="Q342" s="39"/>
      <c r="R342" s="39"/>
      <c r="S342" s="39"/>
      <c r="T342" s="154"/>
      <c r="U342" s="40"/>
    </row>
    <row r="343" spans="1:21" ht="20" customHeight="1" x14ac:dyDescent="0.15">
      <c r="A343" s="284" t="s">
        <v>6239</v>
      </c>
      <c r="B343" s="157"/>
      <c r="C343" s="157"/>
      <c r="D343" s="157"/>
      <c r="E343" s="157"/>
      <c r="F343" s="157"/>
      <c r="G343" s="3"/>
      <c r="H343" s="156"/>
      <c r="I343" s="156"/>
      <c r="J343" s="156"/>
      <c r="K343" s="165"/>
      <c r="L343" s="165"/>
      <c r="M343" s="1"/>
      <c r="N343" s="164"/>
      <c r="O343" s="1"/>
      <c r="P343" s="153"/>
      <c r="Q343" s="39"/>
      <c r="R343" s="39"/>
      <c r="S343" s="39"/>
      <c r="T343" s="154"/>
      <c r="U343" s="40"/>
    </row>
    <row r="344" spans="1:21" ht="20" customHeight="1" x14ac:dyDescent="0.15">
      <c r="A344" s="284" t="s">
        <v>6240</v>
      </c>
      <c r="B344" s="157"/>
      <c r="C344" s="157"/>
      <c r="D344" s="157"/>
      <c r="E344" s="157"/>
      <c r="F344" s="157"/>
      <c r="G344" s="3"/>
      <c r="H344" s="156"/>
      <c r="I344" s="156"/>
      <c r="J344" s="156"/>
      <c r="K344" s="165"/>
      <c r="L344" s="165"/>
      <c r="M344" s="1"/>
      <c r="N344" s="164"/>
      <c r="O344" s="1"/>
      <c r="P344" s="153"/>
      <c r="Q344" s="39"/>
      <c r="R344" s="39"/>
      <c r="S344" s="39"/>
      <c r="T344" s="154"/>
      <c r="U344" s="40"/>
    </row>
    <row r="345" spans="1:21" ht="20" customHeight="1" x14ac:dyDescent="0.15">
      <c r="A345" s="284" t="s">
        <v>6241</v>
      </c>
      <c r="B345" s="157"/>
      <c r="C345" s="157"/>
      <c r="D345" s="157"/>
      <c r="E345" s="157"/>
      <c r="F345" s="157"/>
      <c r="G345" s="3"/>
      <c r="H345" s="156"/>
      <c r="I345" s="156"/>
      <c r="J345" s="156"/>
      <c r="K345" s="165"/>
      <c r="L345" s="165"/>
      <c r="M345" s="1"/>
      <c r="N345" s="164"/>
      <c r="O345" s="1"/>
      <c r="P345" s="153"/>
      <c r="Q345" s="39"/>
      <c r="R345" s="39"/>
      <c r="S345" s="39"/>
      <c r="T345" s="154"/>
      <c r="U345" s="40"/>
    </row>
    <row r="346" spans="1:21" ht="20" customHeight="1" x14ac:dyDescent="0.15">
      <c r="A346" s="284" t="s">
        <v>6242</v>
      </c>
      <c r="B346" s="157"/>
      <c r="C346" s="157"/>
      <c r="D346" s="157"/>
      <c r="E346" s="157"/>
      <c r="F346" s="157"/>
      <c r="G346" s="3"/>
      <c r="H346" s="156"/>
      <c r="I346" s="156"/>
      <c r="J346" s="156"/>
      <c r="K346" s="165"/>
      <c r="L346" s="165"/>
      <c r="M346" s="1"/>
      <c r="N346" s="164"/>
      <c r="O346" s="1"/>
      <c r="P346" s="153"/>
      <c r="Q346" s="39"/>
      <c r="R346" s="39"/>
      <c r="S346" s="39"/>
      <c r="T346" s="154"/>
      <c r="U346" s="40"/>
    </row>
    <row r="347" spans="1:21" ht="20" customHeight="1" x14ac:dyDescent="0.15">
      <c r="A347" s="284" t="s">
        <v>6243</v>
      </c>
      <c r="B347" s="157"/>
      <c r="C347" s="157"/>
      <c r="D347" s="157"/>
      <c r="E347" s="157"/>
      <c r="F347" s="157"/>
      <c r="G347" s="3"/>
      <c r="H347" s="156"/>
      <c r="I347" s="156"/>
      <c r="J347" s="156"/>
      <c r="K347" s="165"/>
      <c r="L347" s="165"/>
      <c r="M347" s="1"/>
      <c r="N347" s="164"/>
      <c r="O347" s="1"/>
      <c r="P347" s="153"/>
      <c r="Q347" s="39"/>
      <c r="R347" s="39"/>
      <c r="S347" s="39"/>
      <c r="T347" s="154"/>
      <c r="U347" s="40"/>
    </row>
    <row r="348" spans="1:21" ht="20" customHeight="1" x14ac:dyDescent="0.15">
      <c r="A348" s="284" t="s">
        <v>6244</v>
      </c>
      <c r="B348" s="157"/>
      <c r="C348" s="157"/>
      <c r="D348" s="157"/>
      <c r="E348" s="157"/>
      <c r="F348" s="157"/>
      <c r="G348" s="3"/>
      <c r="H348" s="156"/>
      <c r="I348" s="156"/>
      <c r="J348" s="156"/>
      <c r="K348" s="165"/>
      <c r="L348" s="165"/>
      <c r="M348" s="1"/>
      <c r="N348" s="164"/>
      <c r="O348" s="1"/>
      <c r="P348" s="153"/>
      <c r="Q348" s="39"/>
      <c r="R348" s="39"/>
      <c r="S348" s="39"/>
      <c r="T348" s="154"/>
      <c r="U348" s="40"/>
    </row>
    <row r="349" spans="1:21" ht="20" customHeight="1" x14ac:dyDescent="0.15">
      <c r="A349" s="284" t="s">
        <v>6245</v>
      </c>
      <c r="B349" s="157"/>
      <c r="C349" s="157"/>
      <c r="D349" s="157"/>
      <c r="E349" s="157"/>
      <c r="F349" s="157"/>
      <c r="G349" s="3"/>
      <c r="H349" s="156"/>
      <c r="I349" s="156"/>
      <c r="J349" s="156"/>
      <c r="K349" s="165"/>
      <c r="L349" s="165"/>
      <c r="M349" s="1"/>
      <c r="N349" s="164"/>
      <c r="O349" s="1"/>
      <c r="P349" s="153"/>
      <c r="Q349" s="39"/>
      <c r="R349" s="39"/>
      <c r="S349" s="39"/>
      <c r="T349" s="154"/>
      <c r="U349" s="40"/>
    </row>
    <row r="350" spans="1:21" ht="20" customHeight="1" x14ac:dyDescent="0.15">
      <c r="A350" s="284" t="s">
        <v>6246</v>
      </c>
      <c r="B350" s="157"/>
      <c r="C350" s="157"/>
      <c r="D350" s="157"/>
      <c r="E350" s="157"/>
      <c r="F350" s="157"/>
      <c r="G350" s="3"/>
      <c r="H350" s="156"/>
      <c r="I350" s="156"/>
      <c r="J350" s="156"/>
      <c r="K350" s="165"/>
      <c r="L350" s="165"/>
      <c r="M350" s="1"/>
      <c r="N350" s="164"/>
      <c r="O350" s="1"/>
      <c r="P350" s="153"/>
      <c r="Q350" s="39"/>
      <c r="R350" s="39"/>
      <c r="S350" s="39"/>
      <c r="T350" s="154"/>
      <c r="U350" s="40"/>
    </row>
    <row r="351" spans="1:21" ht="20" customHeight="1" x14ac:dyDescent="0.15">
      <c r="A351" s="284" t="s">
        <v>6247</v>
      </c>
      <c r="B351" s="157"/>
      <c r="C351" s="157"/>
      <c r="D351" s="157"/>
      <c r="E351" s="157"/>
      <c r="F351" s="157"/>
      <c r="G351" s="3"/>
      <c r="H351" s="156"/>
      <c r="I351" s="156"/>
      <c r="J351" s="156"/>
      <c r="K351" s="165"/>
      <c r="L351" s="165"/>
      <c r="M351" s="1"/>
      <c r="N351" s="164"/>
      <c r="O351" s="1"/>
      <c r="P351" s="153"/>
      <c r="Q351" s="39"/>
      <c r="R351" s="39"/>
      <c r="S351" s="39"/>
      <c r="T351" s="154"/>
      <c r="U351" s="40"/>
    </row>
    <row r="352" spans="1:21" ht="20" customHeight="1" x14ac:dyDescent="0.15">
      <c r="A352" s="284" t="s">
        <v>6248</v>
      </c>
      <c r="B352" s="157"/>
      <c r="C352" s="157"/>
      <c r="D352" s="157"/>
      <c r="E352" s="157"/>
      <c r="F352" s="157"/>
      <c r="G352" s="3"/>
      <c r="H352" s="156"/>
      <c r="I352" s="156"/>
      <c r="J352" s="156"/>
      <c r="K352" s="165"/>
      <c r="L352" s="165"/>
      <c r="M352" s="1"/>
      <c r="N352" s="164"/>
      <c r="O352" s="1"/>
      <c r="P352" s="153"/>
      <c r="Q352" s="39"/>
      <c r="R352" s="39"/>
      <c r="S352" s="39"/>
      <c r="T352" s="154"/>
      <c r="U352" s="40"/>
    </row>
    <row r="353" spans="1:21" ht="20" customHeight="1" x14ac:dyDescent="0.15">
      <c r="A353" s="284" t="s">
        <v>6249</v>
      </c>
      <c r="B353" s="157"/>
      <c r="C353" s="157"/>
      <c r="D353" s="157"/>
      <c r="E353" s="157"/>
      <c r="F353" s="157"/>
      <c r="G353" s="3"/>
      <c r="H353" s="156"/>
      <c r="I353" s="156"/>
      <c r="J353" s="156"/>
      <c r="K353" s="165"/>
      <c r="L353" s="165"/>
      <c r="M353" s="1"/>
      <c r="N353" s="164"/>
      <c r="O353" s="1"/>
      <c r="P353" s="153"/>
      <c r="Q353" s="39"/>
      <c r="R353" s="39"/>
      <c r="S353" s="39"/>
      <c r="T353" s="154"/>
      <c r="U353" s="40"/>
    </row>
    <row r="354" spans="1:21" ht="20" customHeight="1" x14ac:dyDescent="0.15">
      <c r="A354" s="284" t="s">
        <v>6250</v>
      </c>
      <c r="B354" s="157"/>
      <c r="C354" s="157"/>
      <c r="D354" s="157"/>
      <c r="E354" s="157"/>
      <c r="F354" s="157"/>
      <c r="G354" s="3"/>
      <c r="H354" s="156"/>
      <c r="I354" s="156"/>
      <c r="J354" s="156"/>
      <c r="K354" s="165"/>
      <c r="L354" s="165"/>
      <c r="M354" s="1"/>
      <c r="N354" s="164"/>
      <c r="O354" s="1"/>
      <c r="P354" s="153"/>
      <c r="Q354" s="39"/>
      <c r="R354" s="39"/>
      <c r="S354" s="39"/>
      <c r="T354" s="154"/>
      <c r="U354" s="40"/>
    </row>
    <row r="355" spans="1:21" ht="20" customHeight="1" x14ac:dyDescent="0.15">
      <c r="A355" s="284" t="s">
        <v>6251</v>
      </c>
      <c r="B355" s="157"/>
      <c r="C355" s="157"/>
      <c r="D355" s="157"/>
      <c r="E355" s="157"/>
      <c r="F355" s="157"/>
      <c r="G355" s="3"/>
      <c r="H355" s="156"/>
      <c r="I355" s="156"/>
      <c r="J355" s="156"/>
      <c r="K355" s="165"/>
      <c r="L355" s="165"/>
      <c r="M355" s="1"/>
      <c r="N355" s="164"/>
      <c r="O355" s="1"/>
      <c r="P355" s="153"/>
      <c r="Q355" s="39"/>
      <c r="R355" s="39"/>
      <c r="S355" s="39"/>
      <c r="T355" s="154"/>
      <c r="U355" s="40"/>
    </row>
    <row r="356" spans="1:21" ht="20" customHeight="1" x14ac:dyDescent="0.15">
      <c r="A356" s="284" t="s">
        <v>6252</v>
      </c>
      <c r="B356" s="157"/>
      <c r="C356" s="157"/>
      <c r="D356" s="157"/>
      <c r="E356" s="157"/>
      <c r="F356" s="157"/>
      <c r="G356" s="3"/>
      <c r="H356" s="156"/>
      <c r="I356" s="156"/>
      <c r="J356" s="156"/>
      <c r="K356" s="165"/>
      <c r="L356" s="165"/>
      <c r="M356" s="1"/>
      <c r="N356" s="164"/>
      <c r="O356" s="1"/>
      <c r="P356" s="153"/>
      <c r="Q356" s="39"/>
      <c r="R356" s="39"/>
      <c r="S356" s="39"/>
      <c r="T356" s="154"/>
      <c r="U356" s="40"/>
    </row>
    <row r="357" spans="1:21" ht="20" customHeight="1" x14ac:dyDescent="0.15">
      <c r="A357" s="284" t="s">
        <v>6253</v>
      </c>
      <c r="B357" s="157"/>
      <c r="C357" s="157"/>
      <c r="D357" s="157"/>
      <c r="E357" s="157"/>
      <c r="F357" s="157"/>
      <c r="G357" s="3"/>
      <c r="H357" s="156"/>
      <c r="I357" s="156"/>
      <c r="J357" s="156"/>
      <c r="K357" s="165"/>
      <c r="L357" s="165"/>
      <c r="M357" s="1"/>
      <c r="N357" s="164"/>
      <c r="O357" s="1"/>
      <c r="P357" s="153"/>
      <c r="Q357" s="39"/>
      <c r="R357" s="39"/>
      <c r="S357" s="39"/>
      <c r="T357" s="154"/>
      <c r="U357" s="40"/>
    </row>
    <row r="358" spans="1:21" ht="20" customHeight="1" x14ac:dyDescent="0.15">
      <c r="A358" s="284" t="s">
        <v>6254</v>
      </c>
      <c r="B358" s="157"/>
      <c r="C358" s="157"/>
      <c r="D358" s="157"/>
      <c r="E358" s="157"/>
      <c r="F358" s="157"/>
      <c r="G358" s="3"/>
      <c r="H358" s="156"/>
      <c r="I358" s="156"/>
      <c r="J358" s="156"/>
      <c r="K358" s="165"/>
      <c r="L358" s="165"/>
      <c r="M358" s="1"/>
      <c r="N358" s="164"/>
      <c r="O358" s="1"/>
      <c r="P358" s="153"/>
      <c r="Q358" s="39"/>
      <c r="R358" s="39"/>
      <c r="S358" s="39"/>
      <c r="T358" s="154"/>
      <c r="U358" s="40"/>
    </row>
    <row r="359" spans="1:21" ht="20" customHeight="1" x14ac:dyDescent="0.15">
      <c r="A359" s="284" t="s">
        <v>6255</v>
      </c>
      <c r="B359" s="157"/>
      <c r="C359" s="157"/>
      <c r="D359" s="157"/>
      <c r="E359" s="157"/>
      <c r="F359" s="157"/>
      <c r="G359" s="3"/>
      <c r="H359" s="156"/>
      <c r="I359" s="156"/>
      <c r="J359" s="156"/>
      <c r="K359" s="165"/>
      <c r="L359" s="165"/>
      <c r="M359" s="1"/>
      <c r="N359" s="164"/>
      <c r="O359" s="1"/>
      <c r="P359" s="153"/>
      <c r="Q359" s="39"/>
      <c r="R359" s="39"/>
      <c r="S359" s="39"/>
      <c r="T359" s="154"/>
      <c r="U359" s="40"/>
    </row>
    <row r="360" spans="1:21" ht="20" customHeight="1" x14ac:dyDescent="0.15">
      <c r="A360" s="284" t="s">
        <v>6256</v>
      </c>
      <c r="B360" s="157"/>
      <c r="C360" s="157"/>
      <c r="D360" s="157"/>
      <c r="E360" s="157"/>
      <c r="F360" s="157"/>
      <c r="G360" s="3"/>
      <c r="H360" s="156"/>
      <c r="I360" s="156"/>
      <c r="J360" s="156"/>
      <c r="K360" s="165"/>
      <c r="L360" s="165"/>
      <c r="M360" s="1"/>
      <c r="N360" s="164"/>
      <c r="O360" s="1"/>
      <c r="P360" s="153"/>
      <c r="Q360" s="39"/>
      <c r="R360" s="39"/>
      <c r="S360" s="39"/>
      <c r="T360" s="154"/>
      <c r="U360" s="40"/>
    </row>
    <row r="361" spans="1:21" ht="20" customHeight="1" x14ac:dyDescent="0.15">
      <c r="A361" s="284" t="s">
        <v>6257</v>
      </c>
      <c r="B361" s="157"/>
      <c r="C361" s="157"/>
      <c r="D361" s="157"/>
      <c r="E361" s="157"/>
      <c r="F361" s="157"/>
      <c r="G361" s="3"/>
      <c r="H361" s="156"/>
      <c r="I361" s="156"/>
      <c r="J361" s="156"/>
      <c r="K361" s="165"/>
      <c r="L361" s="165"/>
      <c r="M361" s="1"/>
      <c r="N361" s="164"/>
      <c r="O361" s="1"/>
      <c r="P361" s="153"/>
      <c r="Q361" s="39"/>
      <c r="R361" s="39"/>
      <c r="S361" s="39"/>
      <c r="T361" s="154"/>
      <c r="U361" s="40"/>
    </row>
    <row r="362" spans="1:21" ht="20" customHeight="1" x14ac:dyDescent="0.15">
      <c r="A362" s="284" t="s">
        <v>6258</v>
      </c>
      <c r="B362" s="157"/>
      <c r="C362" s="157"/>
      <c r="D362" s="157"/>
      <c r="E362" s="157"/>
      <c r="F362" s="157"/>
      <c r="G362" s="3"/>
      <c r="H362" s="156"/>
      <c r="I362" s="156"/>
      <c r="J362" s="156"/>
      <c r="K362" s="165"/>
      <c r="L362" s="165"/>
      <c r="M362" s="1"/>
      <c r="N362" s="164"/>
      <c r="O362" s="1"/>
      <c r="P362" s="153"/>
      <c r="Q362" s="39"/>
      <c r="R362" s="39"/>
      <c r="S362" s="39"/>
      <c r="T362" s="154"/>
      <c r="U362" s="40"/>
    </row>
    <row r="363" spans="1:21" ht="20" customHeight="1" x14ac:dyDescent="0.15">
      <c r="A363" s="284" t="s">
        <v>6259</v>
      </c>
      <c r="B363" s="157"/>
      <c r="C363" s="157"/>
      <c r="D363" s="157"/>
      <c r="E363" s="157"/>
      <c r="F363" s="157"/>
      <c r="G363" s="3"/>
      <c r="H363" s="156"/>
      <c r="I363" s="156"/>
      <c r="J363" s="156"/>
      <c r="K363" s="165"/>
      <c r="L363" s="165"/>
      <c r="M363" s="1"/>
      <c r="N363" s="164"/>
      <c r="O363" s="1"/>
      <c r="P363" s="153"/>
      <c r="Q363" s="39"/>
      <c r="R363" s="39"/>
      <c r="S363" s="39"/>
      <c r="T363" s="154"/>
      <c r="U363" s="40"/>
    </row>
    <row r="364" spans="1:21" ht="20" customHeight="1" x14ac:dyDescent="0.15">
      <c r="A364" s="284" t="s">
        <v>6260</v>
      </c>
      <c r="B364" s="157"/>
      <c r="C364" s="157"/>
      <c r="D364" s="157"/>
      <c r="E364" s="157"/>
      <c r="F364" s="157"/>
      <c r="G364" s="3"/>
      <c r="H364" s="156"/>
      <c r="I364" s="156"/>
      <c r="J364" s="156"/>
      <c r="K364" s="165"/>
      <c r="L364" s="165"/>
      <c r="M364" s="1"/>
      <c r="N364" s="164"/>
      <c r="O364" s="1"/>
      <c r="P364" s="153"/>
      <c r="Q364" s="39"/>
      <c r="R364" s="39"/>
      <c r="S364" s="39"/>
      <c r="T364" s="154"/>
      <c r="U364" s="40"/>
    </row>
    <row r="365" spans="1:21" ht="20" customHeight="1" x14ac:dyDescent="0.15">
      <c r="A365" s="284" t="s">
        <v>6261</v>
      </c>
      <c r="B365" s="157"/>
      <c r="C365" s="157"/>
      <c r="D365" s="157"/>
      <c r="E365" s="157"/>
      <c r="F365" s="157"/>
      <c r="G365" s="3"/>
      <c r="H365" s="156"/>
      <c r="I365" s="156"/>
      <c r="J365" s="156"/>
      <c r="K365" s="165"/>
      <c r="L365" s="165"/>
      <c r="M365" s="1"/>
      <c r="N365" s="164"/>
      <c r="O365" s="1"/>
      <c r="P365" s="153"/>
      <c r="Q365" s="39"/>
      <c r="R365" s="39"/>
      <c r="S365" s="39"/>
      <c r="T365" s="154"/>
      <c r="U365" s="40"/>
    </row>
    <row r="366" spans="1:21" ht="20" customHeight="1" x14ac:dyDescent="0.15">
      <c r="A366" s="284" t="s">
        <v>6262</v>
      </c>
      <c r="B366" s="157"/>
      <c r="C366" s="157"/>
      <c r="D366" s="157"/>
      <c r="E366" s="157"/>
      <c r="F366" s="157"/>
      <c r="G366" s="3"/>
      <c r="H366" s="156"/>
      <c r="I366" s="156"/>
      <c r="J366" s="156"/>
      <c r="K366" s="165"/>
      <c r="L366" s="165"/>
      <c r="M366" s="1"/>
      <c r="N366" s="164"/>
      <c r="O366" s="1"/>
      <c r="P366" s="153"/>
      <c r="Q366" s="39"/>
      <c r="R366" s="39"/>
      <c r="S366" s="39"/>
      <c r="T366" s="154"/>
      <c r="U366" s="40"/>
    </row>
    <row r="367" spans="1:21" ht="20" customHeight="1" x14ac:dyDescent="0.15">
      <c r="A367" s="284" t="s">
        <v>6263</v>
      </c>
      <c r="B367" s="157"/>
      <c r="C367" s="157"/>
      <c r="D367" s="157"/>
      <c r="E367" s="157"/>
      <c r="F367" s="157"/>
      <c r="G367" s="3"/>
      <c r="H367" s="156"/>
      <c r="I367" s="156"/>
      <c r="J367" s="156"/>
      <c r="K367" s="165"/>
      <c r="L367" s="165"/>
      <c r="M367" s="1"/>
      <c r="N367" s="164"/>
      <c r="O367" s="1"/>
      <c r="P367" s="153"/>
      <c r="Q367" s="39"/>
      <c r="R367" s="39"/>
      <c r="S367" s="39"/>
      <c r="T367" s="154"/>
      <c r="U367" s="40"/>
    </row>
    <row r="368" spans="1:21" ht="20" customHeight="1" x14ac:dyDescent="0.15">
      <c r="A368" s="284" t="s">
        <v>6264</v>
      </c>
      <c r="B368" s="157"/>
      <c r="C368" s="157"/>
      <c r="D368" s="157"/>
      <c r="E368" s="157"/>
      <c r="F368" s="157"/>
      <c r="G368" s="3"/>
      <c r="H368" s="156"/>
      <c r="I368" s="156"/>
      <c r="J368" s="156"/>
      <c r="K368" s="165"/>
      <c r="L368" s="165"/>
      <c r="M368" s="1"/>
      <c r="N368" s="164"/>
      <c r="O368" s="1"/>
      <c r="P368" s="153"/>
      <c r="Q368" s="39"/>
      <c r="R368" s="39"/>
      <c r="S368" s="39"/>
      <c r="T368" s="154"/>
      <c r="U368" s="40"/>
    </row>
    <row r="369" spans="1:21" ht="20" customHeight="1" x14ac:dyDescent="0.15">
      <c r="A369" s="284" t="s">
        <v>6265</v>
      </c>
      <c r="B369" s="157"/>
      <c r="C369" s="157"/>
      <c r="D369" s="157"/>
      <c r="E369" s="157"/>
      <c r="F369" s="157"/>
      <c r="G369" s="3"/>
      <c r="H369" s="156"/>
      <c r="I369" s="156"/>
      <c r="J369" s="156"/>
      <c r="K369" s="165"/>
      <c r="L369" s="165"/>
      <c r="M369" s="1"/>
      <c r="N369" s="164"/>
      <c r="O369" s="1"/>
      <c r="P369" s="153"/>
      <c r="Q369" s="39"/>
      <c r="R369" s="39"/>
      <c r="S369" s="39"/>
      <c r="T369" s="154"/>
      <c r="U369" s="40"/>
    </row>
    <row r="370" spans="1:21" ht="20" customHeight="1" x14ac:dyDescent="0.15">
      <c r="A370" s="284" t="s">
        <v>6266</v>
      </c>
      <c r="B370" s="157"/>
      <c r="C370" s="157"/>
      <c r="D370" s="157"/>
      <c r="E370" s="157"/>
      <c r="F370" s="157"/>
      <c r="G370" s="3"/>
      <c r="H370" s="156"/>
      <c r="I370" s="156"/>
      <c r="J370" s="156"/>
      <c r="K370" s="165"/>
      <c r="L370" s="165"/>
      <c r="M370" s="1"/>
      <c r="N370" s="164"/>
      <c r="O370" s="1"/>
      <c r="P370" s="153"/>
      <c r="Q370" s="39"/>
      <c r="R370" s="39"/>
      <c r="S370" s="39"/>
      <c r="T370" s="154"/>
      <c r="U370" s="40"/>
    </row>
    <row r="371" spans="1:21" ht="20" customHeight="1" x14ac:dyDescent="0.15">
      <c r="A371" s="284" t="s">
        <v>6267</v>
      </c>
      <c r="B371" s="157"/>
      <c r="C371" s="157"/>
      <c r="D371" s="157"/>
      <c r="E371" s="157"/>
      <c r="F371" s="157"/>
      <c r="G371" s="3"/>
      <c r="H371" s="156"/>
      <c r="I371" s="156"/>
      <c r="J371" s="156"/>
      <c r="K371" s="165"/>
      <c r="L371" s="165"/>
      <c r="M371" s="1"/>
      <c r="N371" s="164"/>
      <c r="O371" s="1"/>
      <c r="P371" s="153"/>
      <c r="Q371" s="39"/>
      <c r="R371" s="39"/>
      <c r="S371" s="39"/>
      <c r="T371" s="154"/>
      <c r="U371" s="40"/>
    </row>
    <row r="372" spans="1:21" ht="20" customHeight="1" x14ac:dyDescent="0.15">
      <c r="A372" s="284" t="s">
        <v>6268</v>
      </c>
      <c r="B372" s="157"/>
      <c r="C372" s="157"/>
      <c r="D372" s="157"/>
      <c r="E372" s="157"/>
      <c r="F372" s="157"/>
      <c r="G372" s="3"/>
      <c r="H372" s="156"/>
      <c r="I372" s="156"/>
      <c r="J372" s="156"/>
      <c r="K372" s="165"/>
      <c r="L372" s="165"/>
      <c r="M372" s="1"/>
      <c r="N372" s="164"/>
      <c r="O372" s="1"/>
      <c r="P372" s="153"/>
      <c r="Q372" s="39"/>
      <c r="R372" s="39"/>
      <c r="S372" s="39"/>
      <c r="T372" s="154"/>
      <c r="U372" s="40"/>
    </row>
    <row r="373" spans="1:21" ht="20" customHeight="1" x14ac:dyDescent="0.15">
      <c r="A373" s="284" t="s">
        <v>6269</v>
      </c>
      <c r="B373" s="157"/>
      <c r="C373" s="157"/>
      <c r="D373" s="157"/>
      <c r="E373" s="157"/>
      <c r="F373" s="157"/>
      <c r="G373" s="3"/>
      <c r="H373" s="156"/>
      <c r="I373" s="156"/>
      <c r="J373" s="156"/>
      <c r="K373" s="165"/>
      <c r="L373" s="165"/>
      <c r="M373" s="1"/>
      <c r="N373" s="164"/>
      <c r="O373" s="1"/>
      <c r="P373" s="153"/>
      <c r="Q373" s="39"/>
      <c r="R373" s="39"/>
      <c r="S373" s="39"/>
      <c r="T373" s="154"/>
      <c r="U373" s="40"/>
    </row>
    <row r="374" spans="1:21" ht="20" customHeight="1" x14ac:dyDescent="0.15">
      <c r="A374" s="284" t="s">
        <v>6270</v>
      </c>
      <c r="B374" s="157"/>
      <c r="C374" s="157"/>
      <c r="D374" s="157"/>
      <c r="E374" s="157"/>
      <c r="F374" s="157"/>
      <c r="G374" s="3"/>
      <c r="H374" s="156"/>
      <c r="I374" s="156"/>
      <c r="J374" s="156"/>
      <c r="K374" s="165"/>
      <c r="L374" s="165"/>
      <c r="M374" s="1"/>
      <c r="N374" s="164"/>
      <c r="O374" s="1"/>
      <c r="P374" s="153"/>
      <c r="Q374" s="39"/>
      <c r="R374" s="39"/>
      <c r="S374" s="39"/>
      <c r="T374" s="154"/>
      <c r="U374" s="40"/>
    </row>
    <row r="375" spans="1:21" ht="20" customHeight="1" x14ac:dyDescent="0.15">
      <c r="A375" s="284" t="s">
        <v>6271</v>
      </c>
      <c r="B375" s="157"/>
      <c r="C375" s="157"/>
      <c r="D375" s="157"/>
      <c r="E375" s="157"/>
      <c r="F375" s="157"/>
      <c r="G375" s="3"/>
      <c r="H375" s="156"/>
      <c r="I375" s="156"/>
      <c r="J375" s="156"/>
      <c r="K375" s="165"/>
      <c r="L375" s="165"/>
      <c r="M375" s="1"/>
      <c r="N375" s="164"/>
      <c r="O375" s="1"/>
      <c r="P375" s="153"/>
      <c r="Q375" s="39"/>
      <c r="R375" s="39"/>
      <c r="S375" s="39"/>
      <c r="T375" s="154"/>
      <c r="U375" s="40"/>
    </row>
    <row r="376" spans="1:21" ht="20" customHeight="1" x14ac:dyDescent="0.15">
      <c r="A376" s="284" t="s">
        <v>6272</v>
      </c>
      <c r="B376" s="157"/>
      <c r="C376" s="157"/>
      <c r="D376" s="157"/>
      <c r="E376" s="157"/>
      <c r="F376" s="157"/>
      <c r="G376" s="3"/>
      <c r="H376" s="156"/>
      <c r="I376" s="156"/>
      <c r="J376" s="156"/>
      <c r="K376" s="165"/>
      <c r="L376" s="165"/>
      <c r="M376" s="1"/>
      <c r="N376" s="164"/>
      <c r="O376" s="1"/>
      <c r="P376" s="153"/>
      <c r="Q376" s="39"/>
      <c r="R376" s="39"/>
      <c r="S376" s="39"/>
      <c r="T376" s="154"/>
      <c r="U376" s="40"/>
    </row>
    <row r="377" spans="1:21" ht="20" customHeight="1" x14ac:dyDescent="0.15">
      <c r="A377" s="284" t="s">
        <v>6273</v>
      </c>
      <c r="B377" s="157"/>
      <c r="C377" s="157"/>
      <c r="D377" s="157"/>
      <c r="E377" s="157"/>
      <c r="F377" s="157"/>
      <c r="G377" s="3"/>
      <c r="H377" s="156"/>
      <c r="I377" s="156"/>
      <c r="J377" s="156"/>
      <c r="K377" s="165"/>
      <c r="L377" s="165"/>
      <c r="M377" s="1"/>
      <c r="N377" s="164"/>
      <c r="O377" s="1"/>
      <c r="P377" s="153"/>
      <c r="Q377" s="39"/>
      <c r="R377" s="39"/>
      <c r="S377" s="39"/>
      <c r="T377" s="154"/>
      <c r="U377" s="40"/>
    </row>
    <row r="378" spans="1:21" ht="20" customHeight="1" x14ac:dyDescent="0.15">
      <c r="A378" s="284" t="s">
        <v>6274</v>
      </c>
      <c r="B378" s="157"/>
      <c r="C378" s="157"/>
      <c r="D378" s="157"/>
      <c r="E378" s="157"/>
      <c r="F378" s="157"/>
      <c r="G378" s="3"/>
      <c r="H378" s="156"/>
      <c r="I378" s="156"/>
      <c r="J378" s="156"/>
      <c r="K378" s="165"/>
      <c r="L378" s="165"/>
      <c r="M378" s="1"/>
      <c r="N378" s="164"/>
      <c r="O378" s="1"/>
      <c r="P378" s="153"/>
      <c r="Q378" s="39"/>
      <c r="R378" s="39"/>
      <c r="S378" s="39"/>
      <c r="T378" s="154"/>
      <c r="U378" s="40"/>
    </row>
    <row r="379" spans="1:21" ht="20" customHeight="1" x14ac:dyDescent="0.15">
      <c r="A379" s="284" t="s">
        <v>6275</v>
      </c>
      <c r="B379" s="157"/>
      <c r="C379" s="157"/>
      <c r="D379" s="157"/>
      <c r="E379" s="157"/>
      <c r="F379" s="157"/>
      <c r="G379" s="3"/>
      <c r="H379" s="156"/>
      <c r="I379" s="156"/>
      <c r="J379" s="156"/>
      <c r="K379" s="165"/>
      <c r="L379" s="165"/>
      <c r="M379" s="1"/>
      <c r="N379" s="164"/>
      <c r="O379" s="1"/>
      <c r="P379" s="153"/>
      <c r="Q379" s="39"/>
      <c r="R379" s="39"/>
      <c r="S379" s="39"/>
      <c r="T379" s="154"/>
      <c r="U379" s="40"/>
    </row>
    <row r="380" spans="1:21" ht="20" customHeight="1" x14ac:dyDescent="0.15">
      <c r="A380" s="284" t="s">
        <v>6276</v>
      </c>
      <c r="B380" s="157"/>
      <c r="C380" s="157"/>
      <c r="D380" s="157"/>
      <c r="E380" s="157"/>
      <c r="F380" s="157"/>
      <c r="G380" s="3"/>
      <c r="H380" s="156"/>
      <c r="I380" s="156"/>
      <c r="J380" s="156"/>
      <c r="K380" s="165"/>
      <c r="L380" s="165"/>
      <c r="M380" s="1"/>
      <c r="N380" s="164"/>
      <c r="O380" s="1"/>
      <c r="P380" s="153"/>
      <c r="Q380" s="39"/>
      <c r="R380" s="39"/>
      <c r="S380" s="39"/>
      <c r="T380" s="154"/>
      <c r="U380" s="40"/>
    </row>
    <row r="381" spans="1:21" ht="20" customHeight="1" x14ac:dyDescent="0.15">
      <c r="A381" s="284" t="s">
        <v>6277</v>
      </c>
      <c r="B381" s="157"/>
      <c r="C381" s="157"/>
      <c r="D381" s="157"/>
      <c r="E381" s="157"/>
      <c r="F381" s="157"/>
      <c r="G381" s="3"/>
      <c r="H381" s="156"/>
      <c r="I381" s="156"/>
      <c r="J381" s="156"/>
      <c r="K381" s="165"/>
      <c r="L381" s="165"/>
      <c r="M381" s="1"/>
      <c r="N381" s="164"/>
      <c r="O381" s="1"/>
      <c r="P381" s="153"/>
      <c r="Q381" s="39"/>
      <c r="R381" s="39"/>
      <c r="S381" s="39"/>
      <c r="T381" s="154"/>
      <c r="U381" s="40"/>
    </row>
    <row r="382" spans="1:21" ht="20" customHeight="1" x14ac:dyDescent="0.15">
      <c r="A382" s="284" t="s">
        <v>6278</v>
      </c>
      <c r="B382" s="157"/>
      <c r="C382" s="157"/>
      <c r="D382" s="157"/>
      <c r="E382" s="157"/>
      <c r="F382" s="157"/>
      <c r="G382" s="3"/>
      <c r="H382" s="156"/>
      <c r="I382" s="156"/>
      <c r="J382" s="156"/>
      <c r="K382" s="165"/>
      <c r="L382" s="165"/>
      <c r="M382" s="1"/>
      <c r="N382" s="164"/>
      <c r="O382" s="1"/>
      <c r="P382" s="153"/>
      <c r="Q382" s="39"/>
      <c r="R382" s="39"/>
      <c r="S382" s="39"/>
      <c r="T382" s="154"/>
      <c r="U382" s="40"/>
    </row>
    <row r="383" spans="1:21" ht="20" customHeight="1" x14ac:dyDescent="0.15">
      <c r="A383" s="284" t="s">
        <v>6279</v>
      </c>
      <c r="B383" s="157"/>
      <c r="C383" s="157"/>
      <c r="D383" s="157"/>
      <c r="E383" s="157"/>
      <c r="F383" s="157"/>
      <c r="G383" s="3"/>
      <c r="H383" s="156"/>
      <c r="I383" s="156"/>
      <c r="J383" s="156"/>
      <c r="K383" s="165"/>
      <c r="L383" s="165"/>
      <c r="M383" s="1"/>
      <c r="N383" s="164"/>
      <c r="O383" s="1"/>
      <c r="P383" s="153"/>
      <c r="Q383" s="39"/>
      <c r="R383" s="39"/>
      <c r="S383" s="39"/>
      <c r="T383" s="154"/>
      <c r="U383" s="40"/>
    </row>
    <row r="384" spans="1:21" ht="20" customHeight="1" x14ac:dyDescent="0.15">
      <c r="A384" s="284" t="s">
        <v>6280</v>
      </c>
      <c r="B384" s="157"/>
      <c r="C384" s="157"/>
      <c r="D384" s="157"/>
      <c r="E384" s="157"/>
      <c r="F384" s="157"/>
      <c r="G384" s="3"/>
      <c r="H384" s="156"/>
      <c r="I384" s="156"/>
      <c r="J384" s="156"/>
      <c r="K384" s="165"/>
      <c r="L384" s="165"/>
      <c r="M384" s="1"/>
      <c r="N384" s="164"/>
      <c r="O384" s="1"/>
      <c r="P384" s="153"/>
      <c r="Q384" s="39"/>
      <c r="R384" s="39"/>
      <c r="S384" s="39"/>
      <c r="T384" s="154"/>
      <c r="U384" s="40"/>
    </row>
    <row r="385" spans="1:21" ht="20" customHeight="1" x14ac:dyDescent="0.15">
      <c r="A385" s="284" t="s">
        <v>6281</v>
      </c>
      <c r="B385" s="157"/>
      <c r="C385" s="157"/>
      <c r="D385" s="157"/>
      <c r="E385" s="157"/>
      <c r="F385" s="157"/>
      <c r="G385" s="3"/>
      <c r="H385" s="156"/>
      <c r="I385" s="156"/>
      <c r="J385" s="156"/>
      <c r="K385" s="165"/>
      <c r="L385" s="165"/>
      <c r="M385" s="1"/>
      <c r="N385" s="164"/>
      <c r="O385" s="1"/>
      <c r="P385" s="153"/>
      <c r="Q385" s="39"/>
      <c r="R385" s="39"/>
      <c r="S385" s="39"/>
      <c r="T385" s="154"/>
      <c r="U385" s="40"/>
    </row>
    <row r="386" spans="1:21" ht="20" customHeight="1" x14ac:dyDescent="0.15">
      <c r="A386" s="284" t="s">
        <v>6282</v>
      </c>
      <c r="B386" s="157"/>
      <c r="C386" s="157"/>
      <c r="D386" s="157"/>
      <c r="E386" s="157"/>
      <c r="F386" s="157"/>
      <c r="G386" s="3"/>
      <c r="H386" s="156"/>
      <c r="I386" s="156"/>
      <c r="J386" s="156"/>
      <c r="K386" s="165"/>
      <c r="L386" s="165"/>
      <c r="M386" s="1"/>
      <c r="N386" s="164"/>
      <c r="O386" s="1"/>
      <c r="P386" s="153"/>
      <c r="Q386" s="39"/>
      <c r="R386" s="39"/>
      <c r="S386" s="39"/>
      <c r="T386" s="154"/>
      <c r="U386" s="40"/>
    </row>
    <row r="387" spans="1:21" ht="20" customHeight="1" x14ac:dyDescent="0.15">
      <c r="A387" s="284" t="s">
        <v>6283</v>
      </c>
      <c r="B387" s="157"/>
      <c r="C387" s="157"/>
      <c r="D387" s="157"/>
      <c r="E387" s="157"/>
      <c r="F387" s="157"/>
      <c r="G387" s="3"/>
      <c r="H387" s="156"/>
      <c r="I387" s="156"/>
      <c r="J387" s="156"/>
      <c r="K387" s="165"/>
      <c r="L387" s="165"/>
      <c r="M387" s="1"/>
      <c r="N387" s="164"/>
      <c r="O387" s="1"/>
      <c r="P387" s="153"/>
      <c r="Q387" s="39"/>
      <c r="R387" s="39"/>
      <c r="S387" s="39"/>
      <c r="T387" s="154"/>
      <c r="U387" s="40"/>
    </row>
    <row r="388" spans="1:21" ht="20" customHeight="1" x14ac:dyDescent="0.15">
      <c r="A388" s="284" t="s">
        <v>6284</v>
      </c>
      <c r="B388" s="157"/>
      <c r="C388" s="157"/>
      <c r="D388" s="157"/>
      <c r="E388" s="157"/>
      <c r="F388" s="157"/>
      <c r="G388" s="3"/>
      <c r="H388" s="156"/>
      <c r="I388" s="156"/>
      <c r="J388" s="156"/>
      <c r="K388" s="165"/>
      <c r="L388" s="165"/>
      <c r="M388" s="1"/>
      <c r="N388" s="164"/>
      <c r="O388" s="1"/>
      <c r="P388" s="153"/>
      <c r="Q388" s="39"/>
      <c r="R388" s="39"/>
      <c r="S388" s="39"/>
      <c r="T388" s="154"/>
      <c r="U388" s="40"/>
    </row>
    <row r="389" spans="1:21" ht="20" customHeight="1" x14ac:dyDescent="0.15">
      <c r="A389" s="284" t="s">
        <v>6285</v>
      </c>
      <c r="B389" s="157"/>
      <c r="C389" s="157"/>
      <c r="D389" s="157"/>
      <c r="E389" s="157"/>
      <c r="F389" s="157"/>
      <c r="G389" s="3"/>
      <c r="H389" s="156"/>
      <c r="I389" s="156"/>
      <c r="J389" s="156"/>
      <c r="K389" s="165"/>
      <c r="L389" s="165"/>
      <c r="M389" s="1"/>
      <c r="N389" s="164"/>
      <c r="O389" s="1"/>
      <c r="P389" s="153"/>
      <c r="Q389" s="39"/>
      <c r="R389" s="39"/>
      <c r="S389" s="39"/>
      <c r="T389" s="154"/>
      <c r="U389" s="40"/>
    </row>
    <row r="390" spans="1:21" ht="20" customHeight="1" x14ac:dyDescent="0.15">
      <c r="A390" s="284" t="s">
        <v>6286</v>
      </c>
      <c r="B390" s="157"/>
      <c r="C390" s="157"/>
      <c r="D390" s="157"/>
      <c r="E390" s="157"/>
      <c r="F390" s="157"/>
      <c r="G390" s="3"/>
      <c r="H390" s="156"/>
      <c r="I390" s="156"/>
      <c r="J390" s="156"/>
      <c r="K390" s="165"/>
      <c r="L390" s="165"/>
      <c r="M390" s="1"/>
      <c r="N390" s="164"/>
      <c r="O390" s="1"/>
      <c r="P390" s="153"/>
      <c r="Q390" s="39"/>
      <c r="R390" s="39"/>
      <c r="S390" s="39"/>
      <c r="T390" s="154"/>
      <c r="U390" s="40"/>
    </row>
    <row r="391" spans="1:21" ht="20" customHeight="1" x14ac:dyDescent="0.15">
      <c r="A391" s="284" t="s">
        <v>6287</v>
      </c>
      <c r="B391" s="157"/>
      <c r="C391" s="157"/>
      <c r="D391" s="157"/>
      <c r="E391" s="157"/>
      <c r="F391" s="157"/>
      <c r="G391" s="3"/>
      <c r="H391" s="156"/>
      <c r="I391" s="156"/>
      <c r="J391" s="156"/>
      <c r="K391" s="165"/>
      <c r="L391" s="165"/>
      <c r="M391" s="1"/>
      <c r="N391" s="164"/>
      <c r="O391" s="1"/>
      <c r="P391" s="153"/>
      <c r="Q391" s="39"/>
      <c r="R391" s="39"/>
      <c r="S391" s="39"/>
      <c r="T391" s="154"/>
      <c r="U391" s="40"/>
    </row>
    <row r="392" spans="1:21" ht="20" customHeight="1" x14ac:dyDescent="0.15">
      <c r="A392" s="284" t="s">
        <v>6288</v>
      </c>
      <c r="B392" s="157"/>
      <c r="C392" s="157"/>
      <c r="D392" s="157"/>
      <c r="E392" s="157"/>
      <c r="F392" s="157"/>
      <c r="G392" s="3"/>
      <c r="H392" s="156"/>
      <c r="I392" s="156"/>
      <c r="J392" s="156"/>
      <c r="K392" s="165"/>
      <c r="L392" s="165"/>
      <c r="M392" s="1"/>
      <c r="N392" s="164"/>
      <c r="O392" s="1"/>
      <c r="P392" s="153"/>
      <c r="Q392" s="39"/>
      <c r="R392" s="39"/>
      <c r="S392" s="39"/>
      <c r="T392" s="154"/>
      <c r="U392" s="40"/>
    </row>
    <row r="393" spans="1:21" ht="20" customHeight="1" x14ac:dyDescent="0.15">
      <c r="A393" s="284" t="s">
        <v>6289</v>
      </c>
      <c r="B393" s="157"/>
      <c r="C393" s="157"/>
      <c r="D393" s="157"/>
      <c r="E393" s="157"/>
      <c r="F393" s="157"/>
      <c r="G393" s="3"/>
      <c r="H393" s="156"/>
      <c r="I393" s="156"/>
      <c r="J393" s="156"/>
      <c r="K393" s="165"/>
      <c r="L393" s="165"/>
      <c r="M393" s="1"/>
      <c r="N393" s="164"/>
      <c r="O393" s="1"/>
      <c r="P393" s="153"/>
      <c r="Q393" s="39"/>
      <c r="R393" s="39"/>
      <c r="S393" s="39"/>
      <c r="T393" s="154"/>
      <c r="U393" s="40"/>
    </row>
    <row r="394" spans="1:21" ht="20" customHeight="1" x14ac:dyDescent="0.15">
      <c r="A394" s="284" t="s">
        <v>6290</v>
      </c>
      <c r="B394" s="157"/>
      <c r="C394" s="157"/>
      <c r="D394" s="157"/>
      <c r="E394" s="157"/>
      <c r="F394" s="157"/>
      <c r="G394" s="3"/>
      <c r="H394" s="156"/>
      <c r="I394" s="156"/>
      <c r="J394" s="156"/>
      <c r="K394" s="165"/>
      <c r="L394" s="165"/>
      <c r="M394" s="1"/>
      <c r="N394" s="164"/>
      <c r="O394" s="1"/>
      <c r="P394" s="153"/>
      <c r="Q394" s="39"/>
      <c r="R394" s="39"/>
      <c r="S394" s="39"/>
      <c r="T394" s="154"/>
      <c r="U394" s="40"/>
    </row>
    <row r="395" spans="1:21" ht="20" customHeight="1" x14ac:dyDescent="0.15">
      <c r="A395" s="284" t="s">
        <v>6291</v>
      </c>
      <c r="B395" s="157"/>
      <c r="C395" s="157"/>
      <c r="D395" s="157"/>
      <c r="E395" s="157"/>
      <c r="F395" s="157"/>
      <c r="G395" s="3"/>
      <c r="H395" s="156"/>
      <c r="I395" s="156"/>
      <c r="J395" s="156"/>
      <c r="K395" s="165"/>
      <c r="L395" s="165"/>
      <c r="M395" s="1"/>
      <c r="N395" s="164"/>
      <c r="O395" s="1"/>
      <c r="P395" s="153"/>
      <c r="Q395" s="39"/>
      <c r="R395" s="39"/>
      <c r="S395" s="39"/>
      <c r="T395" s="154"/>
      <c r="U395" s="40"/>
    </row>
    <row r="396" spans="1:21" ht="20" customHeight="1" x14ac:dyDescent="0.15">
      <c r="A396" s="284" t="s">
        <v>6292</v>
      </c>
      <c r="B396" s="157"/>
      <c r="C396" s="157"/>
      <c r="D396" s="157"/>
      <c r="E396" s="157"/>
      <c r="F396" s="157"/>
      <c r="G396" s="3"/>
      <c r="H396" s="156"/>
      <c r="I396" s="156"/>
      <c r="J396" s="156"/>
      <c r="K396" s="165"/>
      <c r="L396" s="165"/>
      <c r="M396" s="1"/>
      <c r="N396" s="164"/>
      <c r="O396" s="1"/>
      <c r="P396" s="153"/>
      <c r="Q396" s="39"/>
      <c r="R396" s="39"/>
      <c r="S396" s="39"/>
      <c r="T396" s="154"/>
      <c r="U396" s="40"/>
    </row>
    <row r="397" spans="1:21" ht="20" customHeight="1" x14ac:dyDescent="0.15">
      <c r="A397" s="284" t="s">
        <v>6293</v>
      </c>
      <c r="B397" s="157"/>
      <c r="C397" s="157"/>
      <c r="D397" s="157"/>
      <c r="E397" s="157"/>
      <c r="F397" s="157"/>
      <c r="G397" s="3"/>
      <c r="H397" s="156"/>
      <c r="I397" s="156"/>
      <c r="J397" s="156"/>
      <c r="K397" s="165"/>
      <c r="L397" s="165"/>
      <c r="M397" s="1"/>
      <c r="N397" s="164"/>
      <c r="O397" s="1"/>
      <c r="P397" s="153"/>
      <c r="Q397" s="39"/>
      <c r="R397" s="39"/>
      <c r="S397" s="39"/>
      <c r="T397" s="154"/>
      <c r="U397" s="40"/>
    </row>
    <row r="398" spans="1:21" ht="20" customHeight="1" x14ac:dyDescent="0.15">
      <c r="A398" s="284" t="s">
        <v>6294</v>
      </c>
      <c r="B398" s="157"/>
      <c r="C398" s="157"/>
      <c r="D398" s="157"/>
      <c r="E398" s="157"/>
      <c r="F398" s="157"/>
      <c r="G398" s="3"/>
      <c r="H398" s="156"/>
      <c r="I398" s="156"/>
      <c r="J398" s="156"/>
      <c r="K398" s="165"/>
      <c r="L398" s="165"/>
      <c r="M398" s="1"/>
      <c r="N398" s="164"/>
      <c r="O398" s="1"/>
      <c r="P398" s="153"/>
      <c r="Q398" s="39"/>
      <c r="R398" s="39"/>
      <c r="S398" s="39"/>
      <c r="T398" s="154"/>
      <c r="U398" s="40"/>
    </row>
    <row r="399" spans="1:21" ht="20" customHeight="1" x14ac:dyDescent="0.15">
      <c r="A399" s="284" t="s">
        <v>6295</v>
      </c>
      <c r="B399" s="157"/>
      <c r="C399" s="157"/>
      <c r="D399" s="157"/>
      <c r="E399" s="157"/>
      <c r="F399" s="157"/>
      <c r="G399" s="3"/>
      <c r="H399" s="156"/>
      <c r="I399" s="156"/>
      <c r="J399" s="156"/>
      <c r="K399" s="165"/>
      <c r="L399" s="165"/>
      <c r="M399" s="1"/>
      <c r="N399" s="164"/>
      <c r="O399" s="1"/>
      <c r="P399" s="153"/>
      <c r="Q399" s="39"/>
      <c r="R399" s="39"/>
      <c r="S399" s="39"/>
      <c r="T399" s="154"/>
      <c r="U399" s="40"/>
    </row>
    <row r="400" spans="1:21" ht="20" customHeight="1" x14ac:dyDescent="0.15">
      <c r="A400" s="284" t="s">
        <v>6296</v>
      </c>
      <c r="B400" s="157"/>
      <c r="C400" s="157"/>
      <c r="D400" s="157"/>
      <c r="E400" s="157"/>
      <c r="F400" s="157"/>
      <c r="G400" s="3"/>
      <c r="H400" s="156"/>
      <c r="I400" s="156"/>
      <c r="J400" s="156"/>
      <c r="K400" s="165"/>
      <c r="L400" s="165"/>
      <c r="M400" s="1"/>
      <c r="N400" s="164"/>
      <c r="O400" s="1"/>
      <c r="P400" s="153"/>
      <c r="Q400" s="39"/>
      <c r="R400" s="39"/>
      <c r="S400" s="39"/>
      <c r="T400" s="154"/>
      <c r="U400" s="40"/>
    </row>
    <row r="401" spans="1:21" ht="20" customHeight="1" x14ac:dyDescent="0.15">
      <c r="A401" s="284" t="s">
        <v>6297</v>
      </c>
      <c r="B401" s="157"/>
      <c r="C401" s="157"/>
      <c r="D401" s="157"/>
      <c r="E401" s="157"/>
      <c r="F401" s="157"/>
      <c r="G401" s="3"/>
      <c r="H401" s="156"/>
      <c r="I401" s="156"/>
      <c r="J401" s="156"/>
      <c r="K401" s="165"/>
      <c r="L401" s="165"/>
      <c r="M401" s="1"/>
      <c r="N401" s="164"/>
      <c r="O401" s="1"/>
      <c r="P401" s="153"/>
      <c r="Q401" s="39"/>
      <c r="R401" s="39"/>
      <c r="S401" s="39"/>
      <c r="T401" s="154"/>
      <c r="U401" s="40"/>
    </row>
    <row r="402" spans="1:21" ht="20" customHeight="1" x14ac:dyDescent="0.15">
      <c r="A402" s="284" t="s">
        <v>6298</v>
      </c>
      <c r="B402" s="157"/>
      <c r="C402" s="157"/>
      <c r="D402" s="157"/>
      <c r="E402" s="157"/>
      <c r="F402" s="157"/>
      <c r="G402" s="3"/>
      <c r="H402" s="156"/>
      <c r="I402" s="156"/>
      <c r="J402" s="156"/>
      <c r="K402" s="165"/>
      <c r="L402" s="165"/>
      <c r="M402" s="1"/>
      <c r="N402" s="164"/>
      <c r="O402" s="1"/>
      <c r="P402" s="153"/>
      <c r="Q402" s="39"/>
      <c r="R402" s="39"/>
      <c r="S402" s="39"/>
      <c r="T402" s="154"/>
      <c r="U402" s="40"/>
    </row>
    <row r="403" spans="1:21" ht="20" customHeight="1" x14ac:dyDescent="0.15">
      <c r="A403" s="284" t="s">
        <v>6299</v>
      </c>
      <c r="B403" s="157"/>
      <c r="C403" s="157"/>
      <c r="D403" s="157"/>
      <c r="E403" s="157"/>
      <c r="F403" s="157"/>
      <c r="G403" s="3"/>
      <c r="H403" s="156"/>
      <c r="I403" s="156"/>
      <c r="J403" s="156"/>
      <c r="K403" s="165"/>
      <c r="L403" s="165"/>
      <c r="M403" s="1"/>
      <c r="N403" s="164"/>
      <c r="O403" s="1"/>
      <c r="P403" s="153"/>
      <c r="Q403" s="39"/>
      <c r="R403" s="39"/>
      <c r="S403" s="39"/>
      <c r="T403" s="154"/>
      <c r="U403" s="40"/>
    </row>
    <row r="404" spans="1:21" ht="20" customHeight="1" x14ac:dyDescent="0.15">
      <c r="A404" s="284" t="s">
        <v>6300</v>
      </c>
      <c r="B404" s="157"/>
      <c r="C404" s="157"/>
      <c r="D404" s="157"/>
      <c r="E404" s="157"/>
      <c r="F404" s="157"/>
      <c r="G404" s="3"/>
      <c r="H404" s="156"/>
      <c r="I404" s="156"/>
      <c r="J404" s="156"/>
      <c r="K404" s="165"/>
      <c r="L404" s="165"/>
      <c r="M404" s="1"/>
      <c r="N404" s="164"/>
      <c r="O404" s="1"/>
      <c r="P404" s="153"/>
      <c r="Q404" s="39"/>
      <c r="R404" s="39"/>
      <c r="S404" s="39"/>
      <c r="T404" s="154"/>
      <c r="U404" s="40"/>
    </row>
    <row r="405" spans="1:21" ht="20" customHeight="1" x14ac:dyDescent="0.15">
      <c r="A405" s="284" t="s">
        <v>6301</v>
      </c>
      <c r="B405" s="157"/>
      <c r="C405" s="157"/>
      <c r="D405" s="157"/>
      <c r="E405" s="157"/>
      <c r="F405" s="157"/>
      <c r="G405" s="3"/>
      <c r="H405" s="156"/>
      <c r="I405" s="156"/>
      <c r="J405" s="156"/>
      <c r="K405" s="165"/>
      <c r="L405" s="165"/>
      <c r="M405" s="1"/>
      <c r="N405" s="164"/>
      <c r="O405" s="1"/>
      <c r="P405" s="153"/>
      <c r="Q405" s="39"/>
      <c r="R405" s="39"/>
      <c r="S405" s="39"/>
      <c r="T405" s="154"/>
      <c r="U405" s="40"/>
    </row>
    <row r="406" spans="1:21" ht="20" customHeight="1" x14ac:dyDescent="0.15">
      <c r="A406" s="284" t="s">
        <v>6302</v>
      </c>
      <c r="B406" s="157"/>
      <c r="C406" s="157"/>
      <c r="D406" s="157"/>
      <c r="E406" s="157"/>
      <c r="F406" s="157"/>
      <c r="G406" s="3"/>
      <c r="H406" s="156"/>
      <c r="I406" s="156"/>
      <c r="J406" s="156"/>
      <c r="K406" s="165"/>
      <c r="L406" s="165"/>
      <c r="M406" s="1"/>
      <c r="N406" s="164"/>
      <c r="O406" s="1"/>
      <c r="P406" s="153"/>
      <c r="Q406" s="39"/>
      <c r="R406" s="39"/>
      <c r="S406" s="39"/>
      <c r="T406" s="154"/>
      <c r="U406" s="40"/>
    </row>
    <row r="407" spans="1:21" ht="20" customHeight="1" x14ac:dyDescent="0.15">
      <c r="A407" s="284" t="s">
        <v>6303</v>
      </c>
      <c r="B407" s="157"/>
      <c r="C407" s="157"/>
      <c r="D407" s="157"/>
      <c r="E407" s="157"/>
      <c r="F407" s="157"/>
      <c r="G407" s="3"/>
      <c r="H407" s="156"/>
      <c r="I407" s="156"/>
      <c r="J407" s="156"/>
      <c r="K407" s="165"/>
      <c r="L407" s="165"/>
      <c r="M407" s="1"/>
      <c r="N407" s="164"/>
      <c r="O407" s="1"/>
      <c r="P407" s="153"/>
      <c r="Q407" s="39"/>
      <c r="R407" s="39"/>
      <c r="S407" s="39"/>
      <c r="T407" s="154"/>
      <c r="U407" s="40"/>
    </row>
    <row r="408" spans="1:21" ht="20" customHeight="1" x14ac:dyDescent="0.15">
      <c r="A408" s="284" t="s">
        <v>6304</v>
      </c>
      <c r="B408" s="157"/>
      <c r="C408" s="157"/>
      <c r="D408" s="157"/>
      <c r="E408" s="157"/>
      <c r="F408" s="157"/>
      <c r="G408" s="3"/>
      <c r="H408" s="156"/>
      <c r="I408" s="156"/>
      <c r="J408" s="156"/>
      <c r="K408" s="165"/>
      <c r="L408" s="165"/>
      <c r="M408" s="1"/>
      <c r="N408" s="164"/>
      <c r="O408" s="1"/>
      <c r="P408" s="153"/>
      <c r="Q408" s="39"/>
      <c r="R408" s="39"/>
      <c r="S408" s="39"/>
      <c r="T408" s="154"/>
      <c r="U408" s="40"/>
    </row>
    <row r="409" spans="1:21" ht="20" customHeight="1" x14ac:dyDescent="0.15">
      <c r="A409" s="284" t="s">
        <v>6305</v>
      </c>
      <c r="B409" s="157"/>
      <c r="C409" s="157"/>
      <c r="D409" s="157"/>
      <c r="E409" s="157"/>
      <c r="F409" s="157"/>
      <c r="G409" s="3"/>
      <c r="H409" s="156"/>
      <c r="I409" s="156"/>
      <c r="J409" s="156"/>
      <c r="K409" s="165"/>
      <c r="L409" s="165"/>
      <c r="M409" s="1"/>
      <c r="N409" s="164"/>
      <c r="O409" s="1"/>
      <c r="P409" s="153"/>
      <c r="Q409" s="39"/>
      <c r="R409" s="39"/>
      <c r="S409" s="39"/>
      <c r="T409" s="154"/>
      <c r="U409" s="40"/>
    </row>
    <row r="410" spans="1:21" ht="20" customHeight="1" x14ac:dyDescent="0.15">
      <c r="A410" s="284" t="s">
        <v>6306</v>
      </c>
      <c r="B410" s="157"/>
      <c r="C410" s="157"/>
      <c r="D410" s="157"/>
      <c r="E410" s="157"/>
      <c r="F410" s="157"/>
      <c r="G410" s="3"/>
      <c r="H410" s="156"/>
      <c r="I410" s="156"/>
      <c r="J410" s="156"/>
      <c r="K410" s="165"/>
      <c r="L410" s="165"/>
      <c r="M410" s="1"/>
      <c r="N410" s="164"/>
      <c r="O410" s="1"/>
      <c r="P410" s="153"/>
      <c r="Q410" s="39"/>
      <c r="R410" s="39"/>
      <c r="S410" s="39"/>
      <c r="T410" s="154"/>
      <c r="U410" s="40"/>
    </row>
    <row r="411" spans="1:21" ht="20" customHeight="1" x14ac:dyDescent="0.15">
      <c r="A411" s="284" t="s">
        <v>6307</v>
      </c>
      <c r="B411" s="157"/>
      <c r="C411" s="157"/>
      <c r="D411" s="157"/>
      <c r="E411" s="157"/>
      <c r="F411" s="157"/>
      <c r="G411" s="3"/>
      <c r="H411" s="156"/>
      <c r="I411" s="156"/>
      <c r="J411" s="156"/>
      <c r="K411" s="165"/>
      <c r="L411" s="165"/>
      <c r="M411" s="1"/>
      <c r="N411" s="164"/>
      <c r="O411" s="1"/>
      <c r="P411" s="153"/>
      <c r="Q411" s="39"/>
      <c r="R411" s="39"/>
      <c r="S411" s="39"/>
      <c r="T411" s="154"/>
      <c r="U411" s="40"/>
    </row>
    <row r="412" spans="1:21" ht="20" customHeight="1" x14ac:dyDescent="0.15">
      <c r="A412" s="284" t="s">
        <v>6308</v>
      </c>
      <c r="B412" s="157"/>
      <c r="C412" s="157"/>
      <c r="D412" s="157"/>
      <c r="E412" s="157"/>
      <c r="F412" s="157"/>
      <c r="G412" s="3"/>
      <c r="H412" s="156"/>
      <c r="I412" s="156"/>
      <c r="J412" s="156"/>
      <c r="K412" s="165"/>
      <c r="L412" s="165"/>
      <c r="M412" s="1"/>
      <c r="N412" s="164"/>
      <c r="O412" s="1"/>
      <c r="P412" s="153"/>
      <c r="Q412" s="39"/>
      <c r="R412" s="39"/>
      <c r="S412" s="39"/>
      <c r="T412" s="154"/>
      <c r="U412" s="40"/>
    </row>
    <row r="413" spans="1:21" ht="20" customHeight="1" x14ac:dyDescent="0.15">
      <c r="A413" s="284" t="s">
        <v>6309</v>
      </c>
      <c r="B413" s="157"/>
      <c r="C413" s="157"/>
      <c r="D413" s="157"/>
      <c r="E413" s="157"/>
      <c r="F413" s="157"/>
      <c r="G413" s="3"/>
      <c r="H413" s="156"/>
      <c r="I413" s="156"/>
      <c r="J413" s="156"/>
      <c r="K413" s="165"/>
      <c r="L413" s="165"/>
      <c r="M413" s="1"/>
      <c r="N413" s="164"/>
      <c r="O413" s="1"/>
      <c r="P413" s="153"/>
      <c r="Q413" s="39"/>
      <c r="R413" s="39"/>
      <c r="S413" s="39"/>
      <c r="T413" s="154"/>
      <c r="U413" s="40"/>
    </row>
    <row r="414" spans="1:21" ht="20" customHeight="1" x14ac:dyDescent="0.15">
      <c r="A414" s="284" t="s">
        <v>6310</v>
      </c>
      <c r="B414" s="157"/>
      <c r="C414" s="157"/>
      <c r="D414" s="157"/>
      <c r="E414" s="157"/>
      <c r="F414" s="157"/>
      <c r="G414" s="3"/>
      <c r="H414" s="156"/>
      <c r="I414" s="156"/>
      <c r="J414" s="156"/>
      <c r="K414" s="165"/>
      <c r="L414" s="165"/>
      <c r="M414" s="1"/>
      <c r="N414" s="164"/>
      <c r="O414" s="1"/>
      <c r="P414" s="153"/>
      <c r="Q414" s="39"/>
      <c r="R414" s="39"/>
      <c r="S414" s="39"/>
      <c r="T414" s="154"/>
      <c r="U414" s="40"/>
    </row>
    <row r="415" spans="1:21" ht="20" customHeight="1" x14ac:dyDescent="0.15">
      <c r="A415" s="284" t="s">
        <v>6311</v>
      </c>
      <c r="B415" s="157"/>
      <c r="C415" s="157"/>
      <c r="D415" s="157"/>
      <c r="E415" s="157"/>
      <c r="F415" s="157"/>
      <c r="G415" s="3"/>
      <c r="H415" s="156"/>
      <c r="I415" s="156"/>
      <c r="J415" s="156"/>
      <c r="K415" s="165"/>
      <c r="L415" s="165"/>
      <c r="M415" s="1"/>
      <c r="N415" s="164"/>
      <c r="O415" s="1"/>
      <c r="P415" s="153"/>
      <c r="Q415" s="39"/>
      <c r="R415" s="39"/>
      <c r="S415" s="39"/>
      <c r="T415" s="154"/>
      <c r="U415" s="40"/>
    </row>
    <row r="416" spans="1:21" ht="20" customHeight="1" x14ac:dyDescent="0.15">
      <c r="A416" s="284" t="s">
        <v>6312</v>
      </c>
      <c r="B416" s="157"/>
      <c r="C416" s="157"/>
      <c r="D416" s="157"/>
      <c r="E416" s="157"/>
      <c r="F416" s="157"/>
      <c r="G416" s="3"/>
      <c r="H416" s="156"/>
      <c r="I416" s="156"/>
      <c r="J416" s="156"/>
      <c r="K416" s="165"/>
      <c r="L416" s="165"/>
      <c r="M416" s="1"/>
      <c r="N416" s="164"/>
      <c r="O416" s="1"/>
      <c r="P416" s="153"/>
      <c r="Q416" s="39"/>
      <c r="R416" s="39"/>
      <c r="S416" s="39"/>
      <c r="T416" s="154"/>
      <c r="U416" s="40"/>
    </row>
    <row r="417" spans="1:21" ht="20" customHeight="1" x14ac:dyDescent="0.15">
      <c r="A417" s="284" t="s">
        <v>6313</v>
      </c>
      <c r="B417" s="157"/>
      <c r="C417" s="157"/>
      <c r="D417" s="157"/>
      <c r="E417" s="157"/>
      <c r="F417" s="157"/>
      <c r="G417" s="3"/>
      <c r="H417" s="156"/>
      <c r="I417" s="156"/>
      <c r="J417" s="156"/>
      <c r="K417" s="165"/>
      <c r="L417" s="165"/>
      <c r="M417" s="1"/>
      <c r="N417" s="164"/>
      <c r="O417" s="1"/>
      <c r="P417" s="153"/>
      <c r="Q417" s="39"/>
      <c r="R417" s="39"/>
      <c r="S417" s="39"/>
      <c r="T417" s="154"/>
      <c r="U417" s="40"/>
    </row>
    <row r="418" spans="1:21" ht="20" customHeight="1" x14ac:dyDescent="0.15">
      <c r="A418" s="284" t="s">
        <v>6314</v>
      </c>
      <c r="B418" s="157"/>
      <c r="C418" s="157"/>
      <c r="D418" s="157"/>
      <c r="E418" s="157"/>
      <c r="F418" s="157"/>
      <c r="G418" s="3"/>
      <c r="H418" s="156"/>
      <c r="I418" s="156"/>
      <c r="J418" s="156"/>
      <c r="K418" s="165"/>
      <c r="L418" s="165"/>
      <c r="M418" s="1"/>
      <c r="N418" s="164"/>
      <c r="O418" s="1"/>
      <c r="P418" s="153"/>
      <c r="Q418" s="39"/>
      <c r="R418" s="39"/>
      <c r="S418" s="39"/>
      <c r="T418" s="154"/>
      <c r="U418" s="40"/>
    </row>
    <row r="419" spans="1:21" ht="20" customHeight="1" x14ac:dyDescent="0.15">
      <c r="A419" s="284" t="s">
        <v>6315</v>
      </c>
      <c r="B419" s="157"/>
      <c r="C419" s="157"/>
      <c r="D419" s="157"/>
      <c r="E419" s="157"/>
      <c r="F419" s="157"/>
      <c r="G419" s="3"/>
      <c r="H419" s="156"/>
      <c r="I419" s="156"/>
      <c r="J419" s="156"/>
      <c r="K419" s="165"/>
      <c r="L419" s="165"/>
      <c r="M419" s="1"/>
      <c r="N419" s="164"/>
      <c r="O419" s="1"/>
      <c r="P419" s="153"/>
      <c r="Q419" s="39"/>
      <c r="R419" s="39"/>
      <c r="S419" s="39"/>
      <c r="T419" s="154"/>
      <c r="U419" s="40"/>
    </row>
    <row r="420" spans="1:21" ht="20" customHeight="1" x14ac:dyDescent="0.15">
      <c r="A420" s="284" t="s">
        <v>6316</v>
      </c>
      <c r="B420" s="157"/>
      <c r="C420" s="157"/>
      <c r="D420" s="157"/>
      <c r="E420" s="157"/>
      <c r="F420" s="157"/>
      <c r="G420" s="3"/>
      <c r="H420" s="156"/>
      <c r="I420" s="156"/>
      <c r="J420" s="156"/>
      <c r="K420" s="165"/>
      <c r="L420" s="165"/>
      <c r="M420" s="1"/>
      <c r="N420" s="164"/>
      <c r="O420" s="1"/>
      <c r="P420" s="153"/>
      <c r="Q420" s="39"/>
      <c r="R420" s="39"/>
      <c r="S420" s="39"/>
      <c r="T420" s="154"/>
      <c r="U420" s="40"/>
    </row>
    <row r="421" spans="1:21" ht="20" customHeight="1" x14ac:dyDescent="0.15">
      <c r="A421" s="284" t="s">
        <v>6317</v>
      </c>
      <c r="B421" s="157"/>
      <c r="C421" s="157"/>
      <c r="D421" s="157"/>
      <c r="E421" s="157"/>
      <c r="F421" s="157"/>
      <c r="G421" s="3"/>
      <c r="H421" s="156"/>
      <c r="I421" s="156"/>
      <c r="J421" s="156"/>
      <c r="K421" s="165"/>
      <c r="L421" s="165"/>
      <c r="M421" s="1"/>
      <c r="N421" s="164"/>
      <c r="O421" s="1"/>
      <c r="P421" s="153"/>
      <c r="Q421" s="39"/>
      <c r="R421" s="39"/>
      <c r="S421" s="39"/>
      <c r="T421" s="154"/>
      <c r="U421" s="40"/>
    </row>
    <row r="422" spans="1:21" ht="20" customHeight="1" x14ac:dyDescent="0.15">
      <c r="A422" s="284" t="s">
        <v>6318</v>
      </c>
      <c r="B422" s="157"/>
      <c r="C422" s="157"/>
      <c r="D422" s="157"/>
      <c r="E422" s="157"/>
      <c r="F422" s="157"/>
      <c r="G422" s="3"/>
      <c r="H422" s="156"/>
      <c r="I422" s="156"/>
      <c r="J422" s="156"/>
      <c r="K422" s="165"/>
      <c r="L422" s="165"/>
      <c r="M422" s="1"/>
      <c r="N422" s="164"/>
      <c r="O422" s="1"/>
      <c r="P422" s="153"/>
      <c r="Q422" s="39"/>
      <c r="R422" s="39"/>
      <c r="S422" s="39"/>
      <c r="T422" s="154"/>
      <c r="U422" s="40"/>
    </row>
    <row r="423" spans="1:21" ht="20" customHeight="1" x14ac:dyDescent="0.15">
      <c r="A423" s="284" t="s">
        <v>6319</v>
      </c>
      <c r="B423" s="157"/>
      <c r="C423" s="157"/>
      <c r="D423" s="157"/>
      <c r="E423" s="157"/>
      <c r="F423" s="157"/>
      <c r="G423" s="3"/>
      <c r="H423" s="156"/>
      <c r="I423" s="156"/>
      <c r="J423" s="156"/>
      <c r="K423" s="165"/>
      <c r="L423" s="165"/>
      <c r="M423" s="1"/>
      <c r="N423" s="164"/>
      <c r="O423" s="1"/>
      <c r="P423" s="153"/>
      <c r="Q423" s="39"/>
      <c r="R423" s="39"/>
      <c r="S423" s="39"/>
      <c r="T423" s="154"/>
      <c r="U423" s="40"/>
    </row>
    <row r="424" spans="1:21" ht="20" customHeight="1" x14ac:dyDescent="0.15">
      <c r="A424" s="284" t="s">
        <v>6320</v>
      </c>
      <c r="B424" s="157"/>
      <c r="C424" s="157"/>
      <c r="D424" s="157"/>
      <c r="E424" s="157"/>
      <c r="F424" s="157"/>
      <c r="G424" s="3"/>
      <c r="H424" s="156"/>
      <c r="I424" s="156"/>
      <c r="J424" s="156"/>
      <c r="K424" s="165"/>
      <c r="L424" s="165"/>
      <c r="M424" s="1"/>
      <c r="N424" s="164"/>
      <c r="O424" s="1"/>
      <c r="P424" s="153"/>
      <c r="Q424" s="39"/>
      <c r="R424" s="39"/>
      <c r="S424" s="39"/>
      <c r="T424" s="154"/>
      <c r="U424" s="40"/>
    </row>
    <row r="425" spans="1:21" ht="20" customHeight="1" x14ac:dyDescent="0.15">
      <c r="A425" s="284" t="s">
        <v>6321</v>
      </c>
      <c r="B425" s="157"/>
      <c r="C425" s="157"/>
      <c r="D425" s="157"/>
      <c r="E425" s="157"/>
      <c r="F425" s="157"/>
      <c r="G425" s="3"/>
      <c r="H425" s="156"/>
      <c r="I425" s="156"/>
      <c r="J425" s="156"/>
      <c r="K425" s="165"/>
      <c r="L425" s="165"/>
      <c r="M425" s="1"/>
      <c r="N425" s="164"/>
      <c r="O425" s="1"/>
      <c r="P425" s="153"/>
      <c r="Q425" s="39"/>
      <c r="R425" s="39"/>
      <c r="S425" s="39"/>
      <c r="T425" s="154"/>
      <c r="U425" s="40"/>
    </row>
    <row r="426" spans="1:21" ht="20" customHeight="1" x14ac:dyDescent="0.15">
      <c r="A426" s="284" t="s">
        <v>6322</v>
      </c>
      <c r="B426" s="157"/>
      <c r="C426" s="157"/>
      <c r="D426" s="157"/>
      <c r="E426" s="157"/>
      <c r="F426" s="157"/>
      <c r="G426" s="3"/>
      <c r="H426" s="156"/>
      <c r="I426" s="156"/>
      <c r="J426" s="156"/>
      <c r="K426" s="165"/>
      <c r="L426" s="165"/>
      <c r="M426" s="1"/>
      <c r="N426" s="164"/>
      <c r="O426" s="1"/>
      <c r="P426" s="153"/>
      <c r="Q426" s="39"/>
      <c r="R426" s="39"/>
      <c r="S426" s="39"/>
      <c r="T426" s="154"/>
      <c r="U426" s="40"/>
    </row>
    <row r="427" spans="1:21" ht="20" customHeight="1" x14ac:dyDescent="0.15">
      <c r="A427" s="284" t="s">
        <v>6323</v>
      </c>
      <c r="B427" s="157"/>
      <c r="C427" s="157"/>
      <c r="D427" s="157"/>
      <c r="E427" s="157"/>
      <c r="F427" s="157"/>
      <c r="G427" s="3"/>
      <c r="H427" s="156"/>
      <c r="I427" s="156"/>
      <c r="J427" s="156"/>
      <c r="K427" s="165"/>
      <c r="L427" s="165"/>
      <c r="M427" s="1"/>
      <c r="N427" s="164"/>
      <c r="O427" s="1"/>
      <c r="P427" s="153"/>
      <c r="Q427" s="39"/>
      <c r="R427" s="39"/>
      <c r="S427" s="39"/>
      <c r="T427" s="154"/>
      <c r="U427" s="40"/>
    </row>
    <row r="428" spans="1:21" ht="20" customHeight="1" x14ac:dyDescent="0.15">
      <c r="A428" s="284" t="s">
        <v>6324</v>
      </c>
      <c r="B428" s="157"/>
      <c r="C428" s="157"/>
      <c r="D428" s="157"/>
      <c r="E428" s="157"/>
      <c r="F428" s="157"/>
      <c r="G428" s="3"/>
      <c r="H428" s="156"/>
      <c r="I428" s="156"/>
      <c r="J428" s="156"/>
      <c r="K428" s="165"/>
      <c r="L428" s="165"/>
      <c r="M428" s="1"/>
      <c r="N428" s="164"/>
      <c r="O428" s="1"/>
      <c r="P428" s="153"/>
      <c r="Q428" s="39"/>
      <c r="R428" s="39"/>
      <c r="S428" s="39"/>
      <c r="T428" s="154"/>
      <c r="U428" s="40"/>
    </row>
    <row r="429" spans="1:21" ht="20" customHeight="1" x14ac:dyDescent="0.15">
      <c r="A429" s="284" t="s">
        <v>6325</v>
      </c>
      <c r="B429" s="157"/>
      <c r="C429" s="157"/>
      <c r="D429" s="157"/>
      <c r="E429" s="157"/>
      <c r="F429" s="157"/>
      <c r="G429" s="3"/>
      <c r="H429" s="156"/>
      <c r="I429" s="156"/>
      <c r="J429" s="156"/>
      <c r="K429" s="165"/>
      <c r="L429" s="165"/>
      <c r="M429" s="1"/>
      <c r="N429" s="164"/>
      <c r="O429" s="1"/>
      <c r="P429" s="153"/>
      <c r="Q429" s="39"/>
      <c r="R429" s="39"/>
      <c r="S429" s="39"/>
      <c r="T429" s="154"/>
      <c r="U429" s="40"/>
    </row>
    <row r="430" spans="1:21" ht="20" customHeight="1" x14ac:dyDescent="0.15">
      <c r="A430" s="284" t="s">
        <v>6326</v>
      </c>
      <c r="B430" s="157"/>
      <c r="C430" s="157"/>
      <c r="D430" s="157"/>
      <c r="E430" s="157"/>
      <c r="F430" s="157"/>
      <c r="G430" s="3"/>
      <c r="H430" s="156"/>
      <c r="I430" s="156"/>
      <c r="J430" s="156"/>
      <c r="K430" s="165"/>
      <c r="L430" s="165"/>
      <c r="M430" s="1"/>
      <c r="N430" s="164"/>
      <c r="O430" s="1"/>
      <c r="P430" s="153"/>
      <c r="Q430" s="39"/>
      <c r="R430" s="39"/>
      <c r="S430" s="39"/>
      <c r="T430" s="154"/>
      <c r="U430" s="40"/>
    </row>
    <row r="431" spans="1:21" ht="20" customHeight="1" x14ac:dyDescent="0.15">
      <c r="A431" s="284" t="s">
        <v>6327</v>
      </c>
      <c r="B431" s="157"/>
      <c r="C431" s="157"/>
      <c r="D431" s="157"/>
      <c r="E431" s="157"/>
      <c r="F431" s="157"/>
      <c r="G431" s="3"/>
      <c r="H431" s="156"/>
      <c r="I431" s="156"/>
      <c r="J431" s="156"/>
      <c r="K431" s="165"/>
      <c r="L431" s="165"/>
      <c r="M431" s="1"/>
      <c r="N431" s="164"/>
      <c r="O431" s="1"/>
      <c r="P431" s="153"/>
      <c r="Q431" s="39"/>
      <c r="R431" s="39"/>
      <c r="S431" s="39"/>
      <c r="T431" s="154"/>
      <c r="U431" s="40"/>
    </row>
    <row r="432" spans="1:21" ht="20" customHeight="1" x14ac:dyDescent="0.15">
      <c r="A432" s="284" t="s">
        <v>6328</v>
      </c>
      <c r="B432" s="157"/>
      <c r="C432" s="157"/>
      <c r="D432" s="157"/>
      <c r="E432" s="157"/>
      <c r="F432" s="157"/>
      <c r="G432" s="3"/>
      <c r="H432" s="156"/>
      <c r="I432" s="156"/>
      <c r="J432" s="156"/>
      <c r="K432" s="165"/>
      <c r="L432" s="165"/>
      <c r="M432" s="1"/>
      <c r="N432" s="164"/>
      <c r="O432" s="1"/>
      <c r="P432" s="153"/>
      <c r="Q432" s="39"/>
      <c r="R432" s="39"/>
      <c r="S432" s="39"/>
      <c r="T432" s="154"/>
      <c r="U432" s="40"/>
    </row>
    <row r="433" spans="1:21" ht="20" customHeight="1" x14ac:dyDescent="0.15">
      <c r="A433" s="284" t="s">
        <v>6329</v>
      </c>
      <c r="B433" s="157"/>
      <c r="C433" s="157"/>
      <c r="D433" s="157"/>
      <c r="E433" s="157"/>
      <c r="F433" s="157"/>
      <c r="G433" s="3"/>
      <c r="H433" s="156"/>
      <c r="I433" s="156"/>
      <c r="J433" s="156"/>
      <c r="K433" s="165"/>
      <c r="L433" s="165"/>
      <c r="M433" s="1"/>
      <c r="N433" s="164"/>
      <c r="O433" s="1"/>
      <c r="P433" s="153"/>
      <c r="Q433" s="39"/>
      <c r="R433" s="39"/>
      <c r="S433" s="39"/>
      <c r="T433" s="154"/>
      <c r="U433" s="40"/>
    </row>
    <row r="434" spans="1:21" ht="20" customHeight="1" x14ac:dyDescent="0.15">
      <c r="A434" s="284" t="s">
        <v>6330</v>
      </c>
      <c r="B434" s="157"/>
      <c r="C434" s="157"/>
      <c r="D434" s="157"/>
      <c r="E434" s="157"/>
      <c r="F434" s="157"/>
      <c r="G434" s="3"/>
      <c r="H434" s="156"/>
      <c r="I434" s="156"/>
      <c r="J434" s="156"/>
      <c r="K434" s="165"/>
      <c r="L434" s="165"/>
      <c r="M434" s="1"/>
      <c r="N434" s="164"/>
      <c r="O434" s="1"/>
      <c r="P434" s="153"/>
      <c r="Q434" s="39"/>
      <c r="R434" s="39"/>
      <c r="S434" s="39"/>
      <c r="T434" s="154"/>
      <c r="U434" s="40"/>
    </row>
    <row r="435" spans="1:21" ht="20" customHeight="1" x14ac:dyDescent="0.15">
      <c r="A435" s="284" t="s">
        <v>6331</v>
      </c>
      <c r="B435" s="157"/>
      <c r="C435" s="157"/>
      <c r="D435" s="157"/>
      <c r="E435" s="157"/>
      <c r="F435" s="157"/>
      <c r="G435" s="3"/>
      <c r="H435" s="156"/>
      <c r="I435" s="156"/>
      <c r="J435" s="156"/>
      <c r="K435" s="165"/>
      <c r="L435" s="165"/>
      <c r="M435" s="1"/>
      <c r="N435" s="164"/>
      <c r="O435" s="1"/>
      <c r="P435" s="153"/>
      <c r="Q435" s="39"/>
      <c r="R435" s="39"/>
      <c r="S435" s="39"/>
      <c r="T435" s="154"/>
      <c r="U435" s="40"/>
    </row>
    <row r="436" spans="1:21" ht="20" customHeight="1" x14ac:dyDescent="0.15">
      <c r="A436" s="284" t="s">
        <v>6332</v>
      </c>
      <c r="B436" s="157"/>
      <c r="C436" s="157"/>
      <c r="D436" s="157"/>
      <c r="E436" s="157"/>
      <c r="F436" s="157"/>
      <c r="G436" s="3"/>
      <c r="H436" s="156"/>
      <c r="I436" s="156"/>
      <c r="J436" s="156"/>
      <c r="K436" s="165"/>
      <c r="L436" s="165"/>
      <c r="M436" s="1"/>
      <c r="N436" s="164"/>
      <c r="O436" s="1"/>
      <c r="P436" s="153"/>
      <c r="Q436" s="39"/>
      <c r="R436" s="39"/>
      <c r="S436" s="39"/>
      <c r="T436" s="154"/>
      <c r="U436" s="40"/>
    </row>
    <row r="437" spans="1:21" ht="20" customHeight="1" x14ac:dyDescent="0.15">
      <c r="A437" s="284" t="s">
        <v>6333</v>
      </c>
      <c r="B437" s="157"/>
      <c r="C437" s="157"/>
      <c r="D437" s="157"/>
      <c r="E437" s="157"/>
      <c r="F437" s="157"/>
      <c r="G437" s="3"/>
      <c r="H437" s="156"/>
      <c r="I437" s="156"/>
      <c r="J437" s="156"/>
      <c r="K437" s="165"/>
      <c r="L437" s="165"/>
      <c r="M437" s="1"/>
      <c r="N437" s="164"/>
      <c r="O437" s="1"/>
      <c r="P437" s="153"/>
      <c r="Q437" s="39"/>
      <c r="R437" s="39"/>
      <c r="S437" s="39"/>
      <c r="T437" s="154"/>
      <c r="U437" s="40"/>
    </row>
    <row r="438" spans="1:21" ht="20" customHeight="1" x14ac:dyDescent="0.15">
      <c r="A438" s="284" t="s">
        <v>6334</v>
      </c>
      <c r="B438" s="157"/>
      <c r="C438" s="157"/>
      <c r="D438" s="157"/>
      <c r="E438" s="157"/>
      <c r="F438" s="157"/>
      <c r="G438" s="3"/>
      <c r="H438" s="156"/>
      <c r="I438" s="156"/>
      <c r="J438" s="156"/>
      <c r="K438" s="165"/>
      <c r="L438" s="165"/>
      <c r="M438" s="1"/>
      <c r="N438" s="164"/>
      <c r="O438" s="1"/>
      <c r="P438" s="153"/>
      <c r="Q438" s="39"/>
      <c r="R438" s="39"/>
      <c r="S438" s="39"/>
      <c r="T438" s="154"/>
      <c r="U438" s="40"/>
    </row>
    <row r="439" spans="1:21" ht="20" customHeight="1" x14ac:dyDescent="0.15">
      <c r="A439" s="284" t="s">
        <v>6335</v>
      </c>
      <c r="B439" s="157"/>
      <c r="C439" s="157"/>
      <c r="D439" s="157"/>
      <c r="E439" s="157"/>
      <c r="F439" s="157"/>
      <c r="G439" s="3"/>
      <c r="H439" s="156"/>
      <c r="I439" s="156"/>
      <c r="J439" s="156"/>
      <c r="K439" s="165"/>
      <c r="L439" s="165"/>
      <c r="M439" s="1"/>
      <c r="N439" s="164"/>
      <c r="O439" s="1"/>
      <c r="P439" s="153"/>
      <c r="Q439" s="39"/>
      <c r="R439" s="39"/>
      <c r="S439" s="39"/>
      <c r="T439" s="154"/>
      <c r="U439" s="40"/>
    </row>
    <row r="440" spans="1:21" ht="20" customHeight="1" x14ac:dyDescent="0.15">
      <c r="A440" s="284" t="s">
        <v>6336</v>
      </c>
      <c r="B440" s="157"/>
      <c r="C440" s="157"/>
      <c r="D440" s="157"/>
      <c r="E440" s="157"/>
      <c r="F440" s="157"/>
      <c r="G440" s="3"/>
      <c r="H440" s="156"/>
      <c r="I440" s="156"/>
      <c r="J440" s="156"/>
      <c r="K440" s="165"/>
      <c r="L440" s="165"/>
      <c r="M440" s="1"/>
      <c r="N440" s="164"/>
      <c r="O440" s="1"/>
      <c r="P440" s="153"/>
      <c r="Q440" s="39"/>
      <c r="R440" s="39"/>
      <c r="S440" s="39"/>
      <c r="T440" s="154"/>
      <c r="U440" s="40"/>
    </row>
    <row r="441" spans="1:21" ht="20" customHeight="1" x14ac:dyDescent="0.15">
      <c r="A441" s="284" t="s">
        <v>6337</v>
      </c>
      <c r="B441" s="157"/>
      <c r="C441" s="157"/>
      <c r="D441" s="157"/>
      <c r="E441" s="157"/>
      <c r="F441" s="157"/>
      <c r="G441" s="3"/>
      <c r="H441" s="156"/>
      <c r="I441" s="156"/>
      <c r="J441" s="156"/>
      <c r="K441" s="165"/>
      <c r="L441" s="165"/>
      <c r="M441" s="1"/>
      <c r="N441" s="164"/>
      <c r="O441" s="1"/>
      <c r="P441" s="153"/>
      <c r="Q441" s="39"/>
      <c r="R441" s="39"/>
      <c r="S441" s="39"/>
      <c r="T441" s="154"/>
      <c r="U441" s="40"/>
    </row>
    <row r="442" spans="1:21" ht="20" customHeight="1" x14ac:dyDescent="0.15">
      <c r="A442" s="284" t="s">
        <v>6338</v>
      </c>
      <c r="B442" s="157"/>
      <c r="C442" s="157"/>
      <c r="D442" s="157"/>
      <c r="E442" s="157"/>
      <c r="F442" s="157"/>
      <c r="G442" s="3"/>
      <c r="H442" s="156"/>
      <c r="I442" s="156"/>
      <c r="J442" s="156"/>
      <c r="K442" s="165"/>
      <c r="L442" s="165"/>
      <c r="M442" s="1"/>
      <c r="N442" s="164"/>
      <c r="O442" s="1"/>
      <c r="P442" s="153"/>
      <c r="Q442" s="39"/>
      <c r="R442" s="39"/>
      <c r="S442" s="39"/>
      <c r="T442" s="154"/>
      <c r="U442" s="40"/>
    </row>
    <row r="443" spans="1:21" ht="20" customHeight="1" x14ac:dyDescent="0.15">
      <c r="A443" s="284" t="s">
        <v>6339</v>
      </c>
      <c r="B443" s="157"/>
      <c r="C443" s="157"/>
      <c r="D443" s="157"/>
      <c r="E443" s="157"/>
      <c r="F443" s="157"/>
      <c r="G443" s="3"/>
      <c r="H443" s="156"/>
      <c r="I443" s="156"/>
      <c r="J443" s="156"/>
      <c r="K443" s="165"/>
      <c r="L443" s="165"/>
      <c r="M443" s="1"/>
      <c r="N443" s="164"/>
      <c r="O443" s="1"/>
      <c r="P443" s="153"/>
      <c r="Q443" s="39"/>
      <c r="R443" s="39"/>
      <c r="S443" s="39"/>
      <c r="T443" s="154"/>
      <c r="U443" s="40"/>
    </row>
    <row r="444" spans="1:21" ht="20" customHeight="1" x14ac:dyDescent="0.15">
      <c r="A444" s="284" t="s">
        <v>6340</v>
      </c>
      <c r="B444" s="157"/>
      <c r="C444" s="157"/>
      <c r="D444" s="157"/>
      <c r="E444" s="157"/>
      <c r="F444" s="157"/>
      <c r="G444" s="3"/>
      <c r="H444" s="156"/>
      <c r="I444" s="156"/>
      <c r="J444" s="156"/>
      <c r="K444" s="165"/>
      <c r="L444" s="165"/>
      <c r="M444" s="1"/>
      <c r="N444" s="164"/>
      <c r="O444" s="1"/>
      <c r="P444" s="153"/>
      <c r="Q444" s="39"/>
      <c r="R444" s="39"/>
      <c r="S444" s="39"/>
      <c r="T444" s="154"/>
      <c r="U444" s="40"/>
    </row>
    <row r="445" spans="1:21" ht="20" customHeight="1" x14ac:dyDescent="0.15">
      <c r="A445" s="284" t="s">
        <v>6341</v>
      </c>
      <c r="B445" s="157"/>
      <c r="C445" s="157"/>
      <c r="D445" s="157"/>
      <c r="E445" s="157"/>
      <c r="F445" s="157"/>
      <c r="G445" s="3"/>
      <c r="H445" s="156"/>
      <c r="I445" s="156"/>
      <c r="J445" s="156"/>
      <c r="K445" s="165"/>
      <c r="L445" s="165"/>
      <c r="M445" s="1"/>
      <c r="N445" s="164"/>
      <c r="O445" s="1"/>
      <c r="P445" s="153"/>
      <c r="Q445" s="39"/>
      <c r="R445" s="39"/>
      <c r="S445" s="39"/>
      <c r="T445" s="154"/>
      <c r="U445" s="40"/>
    </row>
    <row r="446" spans="1:21" ht="20" customHeight="1" x14ac:dyDescent="0.15">
      <c r="A446" s="284" t="s">
        <v>6342</v>
      </c>
      <c r="B446" s="157"/>
      <c r="C446" s="157"/>
      <c r="D446" s="157"/>
      <c r="E446" s="157"/>
      <c r="F446" s="157"/>
      <c r="G446" s="3"/>
      <c r="H446" s="156"/>
      <c r="I446" s="156"/>
      <c r="J446" s="156"/>
      <c r="K446" s="165"/>
      <c r="L446" s="165"/>
      <c r="M446" s="1"/>
      <c r="N446" s="164"/>
      <c r="O446" s="1"/>
      <c r="P446" s="153"/>
      <c r="Q446" s="39"/>
      <c r="R446" s="39"/>
      <c r="S446" s="39"/>
      <c r="T446" s="154"/>
      <c r="U446" s="40"/>
    </row>
    <row r="447" spans="1:21" ht="20" customHeight="1" x14ac:dyDescent="0.15">
      <c r="A447" s="284" t="s">
        <v>6343</v>
      </c>
      <c r="B447" s="157"/>
      <c r="C447" s="157"/>
      <c r="D447" s="157"/>
      <c r="E447" s="157"/>
      <c r="F447" s="157"/>
      <c r="G447" s="3"/>
      <c r="H447" s="156"/>
      <c r="I447" s="156"/>
      <c r="J447" s="156"/>
      <c r="K447" s="165"/>
      <c r="L447" s="165"/>
      <c r="M447" s="1"/>
      <c r="N447" s="164"/>
      <c r="O447" s="1"/>
      <c r="P447" s="153"/>
      <c r="Q447" s="39"/>
      <c r="R447" s="39"/>
      <c r="S447" s="39"/>
      <c r="T447" s="154"/>
      <c r="U447" s="40"/>
    </row>
    <row r="448" spans="1:21" ht="20" customHeight="1" x14ac:dyDescent="0.15">
      <c r="A448" s="284" t="s">
        <v>6344</v>
      </c>
      <c r="B448" s="157"/>
      <c r="C448" s="157"/>
      <c r="D448" s="157"/>
      <c r="E448" s="157"/>
      <c r="F448" s="157"/>
      <c r="G448" s="3"/>
      <c r="H448" s="156"/>
      <c r="I448" s="156"/>
      <c r="J448" s="156"/>
      <c r="K448" s="165"/>
      <c r="L448" s="165"/>
      <c r="M448" s="1"/>
      <c r="N448" s="164"/>
      <c r="O448" s="1"/>
      <c r="P448" s="153"/>
      <c r="Q448" s="39"/>
      <c r="R448" s="39"/>
      <c r="S448" s="39"/>
      <c r="T448" s="154"/>
      <c r="U448" s="40"/>
    </row>
    <row r="449" spans="1:21" ht="20" customHeight="1" x14ac:dyDescent="0.15">
      <c r="A449" s="284" t="s">
        <v>6345</v>
      </c>
      <c r="B449" s="157"/>
      <c r="C449" s="157"/>
      <c r="D449" s="157"/>
      <c r="E449" s="157"/>
      <c r="F449" s="157"/>
      <c r="G449" s="3"/>
      <c r="H449" s="156"/>
      <c r="I449" s="156"/>
      <c r="J449" s="156"/>
      <c r="K449" s="165"/>
      <c r="L449" s="165"/>
      <c r="M449" s="1"/>
      <c r="N449" s="164"/>
      <c r="O449" s="1"/>
      <c r="P449" s="153"/>
      <c r="Q449" s="39"/>
      <c r="R449" s="39"/>
      <c r="S449" s="39"/>
      <c r="T449" s="154"/>
      <c r="U449" s="40"/>
    </row>
    <row r="450" spans="1:21" ht="20" customHeight="1" x14ac:dyDescent="0.15">
      <c r="A450" s="284" t="s">
        <v>6346</v>
      </c>
      <c r="B450" s="157"/>
      <c r="C450" s="157"/>
      <c r="D450" s="157"/>
      <c r="E450" s="157"/>
      <c r="F450" s="157"/>
      <c r="G450" s="3"/>
      <c r="H450" s="156"/>
      <c r="I450" s="156"/>
      <c r="J450" s="156"/>
      <c r="K450" s="165"/>
      <c r="L450" s="165"/>
      <c r="M450" s="1"/>
      <c r="N450" s="164"/>
      <c r="O450" s="1"/>
      <c r="P450" s="153"/>
      <c r="Q450" s="39"/>
      <c r="R450" s="39"/>
      <c r="S450" s="39"/>
      <c r="T450" s="154"/>
      <c r="U450" s="40"/>
    </row>
    <row r="451" spans="1:21" ht="20" customHeight="1" x14ac:dyDescent="0.15">
      <c r="A451" s="284" t="s">
        <v>6347</v>
      </c>
      <c r="B451" s="157"/>
      <c r="C451" s="157"/>
      <c r="D451" s="157"/>
      <c r="E451" s="157"/>
      <c r="F451" s="157"/>
      <c r="G451" s="3"/>
      <c r="H451" s="156"/>
      <c r="I451" s="156"/>
      <c r="J451" s="156"/>
      <c r="K451" s="165"/>
      <c r="L451" s="165"/>
      <c r="M451" s="1"/>
      <c r="N451" s="164"/>
      <c r="O451" s="1"/>
      <c r="P451" s="153"/>
      <c r="Q451" s="39"/>
      <c r="R451" s="39"/>
      <c r="S451" s="39"/>
      <c r="T451" s="154"/>
      <c r="U451" s="40"/>
    </row>
    <row r="452" spans="1:21" ht="20" customHeight="1" x14ac:dyDescent="0.15">
      <c r="A452" s="284" t="s">
        <v>6348</v>
      </c>
      <c r="B452" s="157"/>
      <c r="C452" s="157"/>
      <c r="D452" s="157"/>
      <c r="E452" s="157"/>
      <c r="F452" s="157"/>
      <c r="G452" s="3"/>
      <c r="H452" s="156"/>
      <c r="I452" s="156"/>
      <c r="J452" s="156"/>
      <c r="K452" s="165"/>
      <c r="L452" s="165"/>
      <c r="M452" s="1"/>
      <c r="N452" s="164"/>
      <c r="O452" s="1"/>
      <c r="P452" s="153"/>
      <c r="Q452" s="39"/>
      <c r="R452" s="39"/>
      <c r="S452" s="39"/>
      <c r="T452" s="154"/>
      <c r="U452" s="40"/>
    </row>
    <row r="453" spans="1:21" ht="20" customHeight="1" x14ac:dyDescent="0.15">
      <c r="A453" s="284" t="s">
        <v>6349</v>
      </c>
      <c r="B453" s="157"/>
      <c r="C453" s="157"/>
      <c r="D453" s="157"/>
      <c r="E453" s="157"/>
      <c r="F453" s="157"/>
      <c r="G453" s="3"/>
      <c r="H453" s="156"/>
      <c r="I453" s="156"/>
      <c r="J453" s="156"/>
      <c r="K453" s="165"/>
      <c r="L453" s="165"/>
      <c r="M453" s="1"/>
      <c r="N453" s="164"/>
      <c r="O453" s="1"/>
      <c r="P453" s="153"/>
      <c r="Q453" s="39"/>
      <c r="R453" s="39"/>
      <c r="S453" s="39"/>
      <c r="T453" s="154"/>
      <c r="U453" s="40"/>
    </row>
    <row r="454" spans="1:21" ht="20" customHeight="1" x14ac:dyDescent="0.15">
      <c r="A454" s="284" t="s">
        <v>6350</v>
      </c>
      <c r="B454" s="157"/>
      <c r="C454" s="157"/>
      <c r="D454" s="157"/>
      <c r="E454" s="157"/>
      <c r="F454" s="157"/>
      <c r="G454" s="3"/>
      <c r="H454" s="156"/>
      <c r="I454" s="156"/>
      <c r="J454" s="156"/>
      <c r="K454" s="165"/>
      <c r="L454" s="165"/>
      <c r="M454" s="1"/>
      <c r="N454" s="164"/>
      <c r="O454" s="1"/>
      <c r="P454" s="153"/>
      <c r="Q454" s="39"/>
      <c r="R454" s="39"/>
      <c r="S454" s="39"/>
      <c r="T454" s="154"/>
      <c r="U454" s="40"/>
    </row>
    <row r="455" spans="1:21" ht="20" customHeight="1" x14ac:dyDescent="0.15">
      <c r="A455" s="284" t="s">
        <v>6351</v>
      </c>
      <c r="B455" s="157"/>
      <c r="C455" s="157"/>
      <c r="D455" s="157"/>
      <c r="E455" s="157"/>
      <c r="F455" s="157"/>
      <c r="G455" s="3"/>
      <c r="H455" s="156"/>
      <c r="I455" s="156"/>
      <c r="J455" s="156"/>
      <c r="K455" s="165"/>
      <c r="L455" s="165"/>
      <c r="M455" s="1"/>
      <c r="N455" s="164"/>
      <c r="O455" s="1"/>
      <c r="P455" s="153"/>
      <c r="Q455" s="39"/>
      <c r="R455" s="39"/>
      <c r="S455" s="39"/>
      <c r="T455" s="154"/>
      <c r="U455" s="40"/>
    </row>
    <row r="456" spans="1:21" ht="20" customHeight="1" x14ac:dyDescent="0.15">
      <c r="A456" s="284" t="s">
        <v>6352</v>
      </c>
      <c r="B456" s="157"/>
      <c r="C456" s="157"/>
      <c r="D456" s="157"/>
      <c r="E456" s="157"/>
      <c r="F456" s="157"/>
      <c r="G456" s="3"/>
      <c r="H456" s="156"/>
      <c r="I456" s="156"/>
      <c r="J456" s="156"/>
      <c r="K456" s="165"/>
      <c r="L456" s="165"/>
      <c r="M456" s="1"/>
      <c r="N456" s="164"/>
      <c r="O456" s="1"/>
      <c r="P456" s="153"/>
      <c r="Q456" s="39"/>
      <c r="R456" s="39"/>
      <c r="S456" s="39"/>
      <c r="T456" s="154"/>
      <c r="U456" s="40"/>
    </row>
    <row r="457" spans="1:21" ht="20" customHeight="1" x14ac:dyDescent="0.15">
      <c r="A457" s="284" t="s">
        <v>6353</v>
      </c>
      <c r="B457" s="157"/>
      <c r="C457" s="157"/>
      <c r="D457" s="157"/>
      <c r="E457" s="157"/>
      <c r="F457" s="157"/>
      <c r="G457" s="3"/>
      <c r="H457" s="156"/>
      <c r="I457" s="156"/>
      <c r="J457" s="156"/>
      <c r="K457" s="165"/>
      <c r="L457" s="165"/>
      <c r="M457" s="1"/>
      <c r="N457" s="164"/>
      <c r="O457" s="1"/>
      <c r="P457" s="153"/>
      <c r="Q457" s="39"/>
      <c r="R457" s="39"/>
      <c r="S457" s="39"/>
      <c r="T457" s="154"/>
      <c r="U457" s="40"/>
    </row>
    <row r="458" spans="1:21" ht="20" customHeight="1" x14ac:dyDescent="0.15">
      <c r="A458" s="284" t="s">
        <v>6354</v>
      </c>
      <c r="B458" s="157"/>
      <c r="C458" s="157"/>
      <c r="D458" s="157"/>
      <c r="E458" s="157"/>
      <c r="F458" s="157"/>
      <c r="G458" s="3"/>
      <c r="H458" s="156"/>
      <c r="I458" s="156"/>
      <c r="J458" s="156"/>
      <c r="K458" s="165"/>
      <c r="L458" s="165"/>
      <c r="M458" s="1"/>
      <c r="N458" s="164"/>
      <c r="O458" s="1"/>
      <c r="P458" s="153"/>
      <c r="Q458" s="39"/>
      <c r="R458" s="39"/>
      <c r="S458" s="39"/>
      <c r="T458" s="154"/>
      <c r="U458" s="40"/>
    </row>
    <row r="459" spans="1:21" ht="20" customHeight="1" x14ac:dyDescent="0.15">
      <c r="A459" s="284" t="s">
        <v>6355</v>
      </c>
      <c r="B459" s="157"/>
      <c r="C459" s="157"/>
      <c r="D459" s="157"/>
      <c r="E459" s="157"/>
      <c r="F459" s="157"/>
      <c r="G459" s="3"/>
      <c r="H459" s="156"/>
      <c r="I459" s="156"/>
      <c r="J459" s="156"/>
      <c r="K459" s="165"/>
      <c r="L459" s="165"/>
      <c r="M459" s="1"/>
      <c r="N459" s="164"/>
      <c r="O459" s="1"/>
      <c r="P459" s="153"/>
      <c r="Q459" s="39"/>
      <c r="R459" s="39"/>
      <c r="S459" s="39"/>
      <c r="T459" s="154"/>
      <c r="U459" s="40"/>
    </row>
    <row r="460" spans="1:21" ht="20" customHeight="1" x14ac:dyDescent="0.15">
      <c r="A460" s="284" t="s">
        <v>6356</v>
      </c>
      <c r="B460" s="157"/>
      <c r="C460" s="157"/>
      <c r="D460" s="157"/>
      <c r="E460" s="157"/>
      <c r="F460" s="157"/>
      <c r="G460" s="3"/>
      <c r="H460" s="156"/>
      <c r="I460" s="156"/>
      <c r="J460" s="156"/>
      <c r="K460" s="165"/>
      <c r="L460" s="165"/>
      <c r="M460" s="1"/>
      <c r="N460" s="164"/>
      <c r="O460" s="1"/>
      <c r="P460" s="153"/>
      <c r="Q460" s="39"/>
      <c r="R460" s="39"/>
      <c r="S460" s="39"/>
      <c r="T460" s="154"/>
      <c r="U460" s="40"/>
    </row>
    <row r="461" spans="1:21" ht="20" customHeight="1" x14ac:dyDescent="0.15">
      <c r="A461" s="284" t="s">
        <v>6357</v>
      </c>
      <c r="B461" s="157"/>
      <c r="C461" s="157"/>
      <c r="D461" s="157"/>
      <c r="E461" s="157"/>
      <c r="F461" s="157"/>
      <c r="G461" s="3"/>
      <c r="H461" s="156"/>
      <c r="I461" s="156"/>
      <c r="J461" s="156"/>
      <c r="K461" s="165"/>
      <c r="L461" s="165"/>
      <c r="M461" s="1"/>
      <c r="N461" s="164"/>
      <c r="O461" s="1"/>
      <c r="P461" s="153"/>
      <c r="Q461" s="39"/>
      <c r="R461" s="39"/>
      <c r="S461" s="39"/>
      <c r="T461" s="154"/>
      <c r="U461" s="40"/>
    </row>
    <row r="462" spans="1:21" ht="20" customHeight="1" x14ac:dyDescent="0.15">
      <c r="A462" s="284" t="s">
        <v>6358</v>
      </c>
      <c r="B462" s="157"/>
      <c r="C462" s="157"/>
      <c r="D462" s="157"/>
      <c r="E462" s="157"/>
      <c r="F462" s="157"/>
      <c r="G462" s="3"/>
      <c r="H462" s="156"/>
      <c r="I462" s="156"/>
      <c r="J462" s="156"/>
      <c r="K462" s="165"/>
      <c r="L462" s="165"/>
      <c r="M462" s="1"/>
      <c r="N462" s="164"/>
      <c r="O462" s="1"/>
      <c r="P462" s="153"/>
      <c r="Q462" s="39"/>
      <c r="R462" s="39"/>
      <c r="S462" s="39"/>
      <c r="T462" s="154"/>
      <c r="U462" s="40"/>
    </row>
    <row r="463" spans="1:21" ht="20" customHeight="1" x14ac:dyDescent="0.15">
      <c r="A463" s="284" t="s">
        <v>6359</v>
      </c>
      <c r="B463" s="157"/>
      <c r="C463" s="157"/>
      <c r="D463" s="157"/>
      <c r="E463" s="157"/>
      <c r="F463" s="157"/>
      <c r="G463" s="3"/>
      <c r="H463" s="156"/>
      <c r="I463" s="156"/>
      <c r="J463" s="156"/>
      <c r="K463" s="165"/>
      <c r="L463" s="165"/>
      <c r="M463" s="1"/>
      <c r="N463" s="164"/>
      <c r="O463" s="1"/>
      <c r="P463" s="153"/>
      <c r="Q463" s="39"/>
      <c r="R463" s="39"/>
      <c r="S463" s="39"/>
      <c r="T463" s="154"/>
      <c r="U463" s="40"/>
    </row>
    <row r="464" spans="1:21" ht="20" customHeight="1" x14ac:dyDescent="0.15">
      <c r="A464" s="284" t="s">
        <v>6360</v>
      </c>
      <c r="B464" s="157"/>
      <c r="C464" s="157"/>
      <c r="D464" s="157"/>
      <c r="E464" s="157"/>
      <c r="F464" s="157"/>
      <c r="G464" s="3"/>
      <c r="H464" s="156"/>
      <c r="I464" s="156"/>
      <c r="J464" s="156"/>
      <c r="K464" s="165"/>
      <c r="L464" s="165"/>
      <c r="M464" s="1"/>
      <c r="N464" s="164"/>
      <c r="O464" s="1"/>
      <c r="P464" s="153"/>
      <c r="Q464" s="39"/>
      <c r="R464" s="39"/>
      <c r="S464" s="39"/>
      <c r="T464" s="154"/>
      <c r="U464" s="40"/>
    </row>
    <row r="465" spans="1:21" ht="20" customHeight="1" x14ac:dyDescent="0.15">
      <c r="A465" s="284" t="s">
        <v>6361</v>
      </c>
      <c r="B465" s="157"/>
      <c r="C465" s="157"/>
      <c r="D465" s="157"/>
      <c r="E465" s="157"/>
      <c r="F465" s="157"/>
      <c r="G465" s="3"/>
      <c r="H465" s="156"/>
      <c r="I465" s="156"/>
      <c r="J465" s="156"/>
      <c r="K465" s="165"/>
      <c r="L465" s="165"/>
      <c r="M465" s="1"/>
      <c r="N465" s="164"/>
      <c r="O465" s="1"/>
      <c r="P465" s="153"/>
      <c r="Q465" s="39"/>
      <c r="R465" s="39"/>
      <c r="S465" s="39"/>
      <c r="T465" s="154"/>
      <c r="U465" s="40"/>
    </row>
    <row r="466" spans="1:21" ht="20" customHeight="1" x14ac:dyDescent="0.15">
      <c r="A466" s="284" t="s">
        <v>6362</v>
      </c>
      <c r="B466" s="157"/>
      <c r="C466" s="157"/>
      <c r="D466" s="157"/>
      <c r="E466" s="157"/>
      <c r="F466" s="157"/>
      <c r="G466" s="3"/>
      <c r="H466" s="156"/>
      <c r="I466" s="156"/>
      <c r="J466" s="156"/>
      <c r="K466" s="165"/>
      <c r="L466" s="165"/>
      <c r="M466" s="1"/>
      <c r="N466" s="164"/>
      <c r="O466" s="1"/>
      <c r="P466" s="153"/>
      <c r="Q466" s="39"/>
      <c r="R466" s="39"/>
      <c r="S466" s="39"/>
      <c r="T466" s="154"/>
      <c r="U466" s="40"/>
    </row>
    <row r="467" spans="1:21" ht="20" customHeight="1" x14ac:dyDescent="0.15">
      <c r="A467" s="284" t="s">
        <v>6363</v>
      </c>
      <c r="B467" s="157"/>
      <c r="C467" s="157"/>
      <c r="D467" s="157"/>
      <c r="E467" s="157"/>
      <c r="F467" s="157"/>
      <c r="G467" s="3"/>
      <c r="H467" s="156"/>
      <c r="I467" s="156"/>
      <c r="J467" s="156"/>
      <c r="K467" s="165"/>
      <c r="L467" s="165"/>
      <c r="M467" s="1"/>
      <c r="N467" s="164"/>
      <c r="O467" s="1"/>
      <c r="P467" s="153"/>
      <c r="Q467" s="39"/>
      <c r="R467" s="39"/>
      <c r="S467" s="39"/>
      <c r="T467" s="154"/>
      <c r="U467" s="40"/>
    </row>
    <row r="468" spans="1:21" ht="20" customHeight="1" x14ac:dyDescent="0.15">
      <c r="A468" s="284" t="s">
        <v>6364</v>
      </c>
      <c r="B468" s="157"/>
      <c r="C468" s="157"/>
      <c r="D468" s="157"/>
      <c r="E468" s="157"/>
      <c r="F468" s="157"/>
      <c r="G468" s="3"/>
      <c r="H468" s="156"/>
      <c r="I468" s="156"/>
      <c r="J468" s="156"/>
      <c r="K468" s="165"/>
      <c r="L468" s="165"/>
      <c r="M468" s="1"/>
      <c r="N468" s="164"/>
      <c r="O468" s="1"/>
      <c r="P468" s="153"/>
      <c r="Q468" s="39"/>
      <c r="R468" s="39"/>
      <c r="S468" s="39"/>
      <c r="T468" s="154"/>
      <c r="U468" s="40"/>
    </row>
    <row r="469" spans="1:21" ht="20" customHeight="1" x14ac:dyDescent="0.15">
      <c r="A469" s="284" t="s">
        <v>6365</v>
      </c>
      <c r="B469" s="157"/>
      <c r="C469" s="157"/>
      <c r="D469" s="157"/>
      <c r="E469" s="157"/>
      <c r="F469" s="157"/>
      <c r="G469" s="3"/>
      <c r="H469" s="156"/>
      <c r="I469" s="156"/>
      <c r="J469" s="156"/>
      <c r="K469" s="165"/>
      <c r="L469" s="165"/>
      <c r="M469" s="1"/>
      <c r="N469" s="164"/>
      <c r="O469" s="1"/>
      <c r="P469" s="153"/>
      <c r="Q469" s="39"/>
      <c r="R469" s="39"/>
      <c r="S469" s="39"/>
      <c r="T469" s="154"/>
      <c r="U469" s="40"/>
    </row>
    <row r="470" spans="1:21" ht="20" customHeight="1" x14ac:dyDescent="0.15">
      <c r="A470" s="284" t="s">
        <v>6366</v>
      </c>
      <c r="B470" s="157"/>
      <c r="C470" s="157"/>
      <c r="D470" s="157"/>
      <c r="E470" s="157"/>
      <c r="F470" s="157"/>
      <c r="G470" s="3"/>
      <c r="H470" s="156"/>
      <c r="I470" s="156"/>
      <c r="J470" s="156"/>
      <c r="K470" s="165"/>
      <c r="L470" s="165"/>
      <c r="M470" s="1"/>
      <c r="N470" s="164"/>
      <c r="O470" s="1"/>
      <c r="P470" s="153"/>
      <c r="Q470" s="39"/>
      <c r="R470" s="39"/>
      <c r="S470" s="39"/>
      <c r="T470" s="154"/>
      <c r="U470" s="40"/>
    </row>
    <row r="471" spans="1:21" ht="20" customHeight="1" x14ac:dyDescent="0.15">
      <c r="A471" s="284" t="s">
        <v>6367</v>
      </c>
      <c r="B471" s="157"/>
      <c r="C471" s="157"/>
      <c r="D471" s="157"/>
      <c r="E471" s="157"/>
      <c r="F471" s="157"/>
      <c r="G471" s="3"/>
      <c r="H471" s="156"/>
      <c r="I471" s="156"/>
      <c r="J471" s="156"/>
      <c r="K471" s="165"/>
      <c r="L471" s="165"/>
      <c r="M471" s="1"/>
      <c r="N471" s="164"/>
      <c r="O471" s="1"/>
      <c r="P471" s="153"/>
      <c r="Q471" s="39"/>
      <c r="R471" s="39"/>
      <c r="S471" s="39"/>
      <c r="T471" s="154"/>
      <c r="U471" s="40"/>
    </row>
    <row r="472" spans="1:21" ht="20" customHeight="1" x14ac:dyDescent="0.15">
      <c r="A472" s="284" t="s">
        <v>6368</v>
      </c>
      <c r="B472" s="157"/>
      <c r="C472" s="157"/>
      <c r="D472" s="157"/>
      <c r="E472" s="157"/>
      <c r="F472" s="157"/>
      <c r="G472" s="3"/>
      <c r="H472" s="156"/>
      <c r="I472" s="156"/>
      <c r="J472" s="156"/>
      <c r="K472" s="165"/>
      <c r="L472" s="165"/>
      <c r="M472" s="1"/>
      <c r="N472" s="164"/>
      <c r="O472" s="1"/>
      <c r="P472" s="153"/>
      <c r="Q472" s="39"/>
      <c r="R472" s="39"/>
      <c r="S472" s="39"/>
      <c r="T472" s="154"/>
      <c r="U472" s="40"/>
    </row>
    <row r="473" spans="1:21" ht="20" customHeight="1" x14ac:dyDescent="0.15">
      <c r="A473" s="284" t="s">
        <v>6369</v>
      </c>
      <c r="B473" s="157"/>
      <c r="C473" s="157"/>
      <c r="D473" s="157"/>
      <c r="E473" s="157"/>
      <c r="F473" s="157"/>
      <c r="G473" s="3"/>
      <c r="H473" s="156"/>
      <c r="I473" s="156"/>
      <c r="J473" s="156"/>
      <c r="K473" s="165"/>
      <c r="L473" s="165"/>
      <c r="M473" s="1"/>
      <c r="N473" s="164"/>
      <c r="O473" s="1"/>
      <c r="P473" s="153"/>
      <c r="Q473" s="39"/>
      <c r="R473" s="39"/>
      <c r="S473" s="39"/>
      <c r="T473" s="154"/>
      <c r="U473" s="40"/>
    </row>
    <row r="474" spans="1:21" ht="20" customHeight="1" x14ac:dyDescent="0.15">
      <c r="A474" s="284" t="s">
        <v>6370</v>
      </c>
      <c r="B474" s="157"/>
      <c r="C474" s="157"/>
      <c r="D474" s="157"/>
      <c r="E474" s="157"/>
      <c r="F474" s="157"/>
      <c r="G474" s="3"/>
      <c r="H474" s="156"/>
      <c r="I474" s="156"/>
      <c r="J474" s="156"/>
      <c r="K474" s="165"/>
      <c r="L474" s="165"/>
      <c r="M474" s="1"/>
      <c r="N474" s="164"/>
      <c r="O474" s="1"/>
      <c r="P474" s="153"/>
      <c r="Q474" s="39"/>
      <c r="R474" s="39"/>
      <c r="S474" s="39"/>
      <c r="T474" s="154"/>
      <c r="U474" s="40"/>
    </row>
    <row r="475" spans="1:21" ht="20" customHeight="1" x14ac:dyDescent="0.15">
      <c r="A475" s="284" t="s">
        <v>6371</v>
      </c>
      <c r="B475" s="157"/>
      <c r="C475" s="157"/>
      <c r="D475" s="157"/>
      <c r="E475" s="157"/>
      <c r="F475" s="157"/>
      <c r="G475" s="3"/>
      <c r="H475" s="156"/>
      <c r="I475" s="156"/>
      <c r="J475" s="156"/>
      <c r="K475" s="165"/>
      <c r="L475" s="165"/>
      <c r="M475" s="1"/>
      <c r="N475" s="164"/>
      <c r="O475" s="1"/>
      <c r="P475" s="153"/>
      <c r="Q475" s="39"/>
      <c r="R475" s="39"/>
      <c r="S475" s="39"/>
      <c r="T475" s="154"/>
      <c r="U475" s="40"/>
    </row>
    <row r="476" spans="1:21" ht="20" customHeight="1" x14ac:dyDescent="0.15">
      <c r="A476" s="284" t="s">
        <v>6372</v>
      </c>
      <c r="B476" s="157"/>
      <c r="C476" s="157"/>
      <c r="D476" s="157"/>
      <c r="E476" s="157"/>
      <c r="F476" s="157"/>
      <c r="G476" s="3"/>
      <c r="H476" s="156"/>
      <c r="I476" s="156"/>
      <c r="J476" s="156"/>
      <c r="K476" s="165"/>
      <c r="L476" s="165"/>
      <c r="M476" s="1"/>
      <c r="N476" s="164"/>
      <c r="O476" s="1"/>
      <c r="P476" s="153"/>
      <c r="Q476" s="39"/>
      <c r="R476" s="39"/>
      <c r="S476" s="39"/>
      <c r="T476" s="154"/>
      <c r="U476" s="40"/>
    </row>
    <row r="477" spans="1:21" ht="20" customHeight="1" x14ac:dyDescent="0.15">
      <c r="A477" s="284" t="s">
        <v>6373</v>
      </c>
      <c r="B477" s="157"/>
      <c r="C477" s="157"/>
      <c r="D477" s="157"/>
      <c r="E477" s="157"/>
      <c r="F477" s="157"/>
      <c r="G477" s="3"/>
      <c r="H477" s="156"/>
      <c r="I477" s="156"/>
      <c r="J477" s="156"/>
      <c r="K477" s="165"/>
      <c r="L477" s="165"/>
      <c r="M477" s="1"/>
      <c r="N477" s="164"/>
      <c r="O477" s="1"/>
      <c r="P477" s="153"/>
      <c r="Q477" s="39"/>
      <c r="R477" s="39"/>
      <c r="S477" s="39"/>
      <c r="T477" s="154"/>
      <c r="U477" s="40"/>
    </row>
    <row r="478" spans="1:21" ht="20" customHeight="1" x14ac:dyDescent="0.15">
      <c r="A478" s="284" t="s">
        <v>6374</v>
      </c>
      <c r="B478" s="157"/>
      <c r="C478" s="157"/>
      <c r="D478" s="157"/>
      <c r="E478" s="157"/>
      <c r="F478" s="157"/>
      <c r="G478" s="3"/>
      <c r="H478" s="156"/>
      <c r="I478" s="156"/>
      <c r="J478" s="156"/>
      <c r="K478" s="165"/>
      <c r="L478" s="165"/>
      <c r="M478" s="1"/>
      <c r="N478" s="164"/>
      <c r="O478" s="1"/>
      <c r="P478" s="153"/>
      <c r="Q478" s="39"/>
      <c r="R478" s="39"/>
      <c r="S478" s="39"/>
      <c r="T478" s="154"/>
      <c r="U478" s="40"/>
    </row>
    <row r="479" spans="1:21" ht="20" customHeight="1" x14ac:dyDescent="0.15">
      <c r="A479" s="284" t="s">
        <v>6375</v>
      </c>
      <c r="B479" s="157"/>
      <c r="C479" s="157"/>
      <c r="D479" s="157"/>
      <c r="E479" s="157"/>
      <c r="F479" s="157"/>
      <c r="G479" s="3"/>
      <c r="H479" s="156"/>
      <c r="I479" s="156"/>
      <c r="J479" s="156"/>
      <c r="K479" s="165"/>
      <c r="L479" s="165"/>
      <c r="M479" s="1"/>
      <c r="N479" s="164"/>
      <c r="O479" s="1"/>
      <c r="P479" s="153"/>
      <c r="Q479" s="39"/>
      <c r="R479" s="39"/>
      <c r="S479" s="39"/>
      <c r="T479" s="154"/>
      <c r="U479" s="40"/>
    </row>
    <row r="480" spans="1:21" ht="20" customHeight="1" x14ac:dyDescent="0.15">
      <c r="A480" s="284" t="s">
        <v>6376</v>
      </c>
      <c r="B480" s="157"/>
      <c r="C480" s="157"/>
      <c r="D480" s="157"/>
      <c r="E480" s="157"/>
      <c r="F480" s="157"/>
      <c r="G480" s="3"/>
      <c r="H480" s="156"/>
      <c r="I480" s="156"/>
      <c r="J480" s="156"/>
      <c r="K480" s="165"/>
      <c r="L480" s="165"/>
      <c r="M480" s="1"/>
      <c r="N480" s="164"/>
      <c r="O480" s="1"/>
      <c r="P480" s="153"/>
      <c r="Q480" s="39"/>
      <c r="R480" s="39"/>
      <c r="S480" s="39"/>
      <c r="T480" s="154"/>
      <c r="U480" s="40"/>
    </row>
    <row r="481" spans="1:21" ht="20" customHeight="1" x14ac:dyDescent="0.15">
      <c r="A481" s="284" t="s">
        <v>6377</v>
      </c>
      <c r="B481" s="157"/>
      <c r="C481" s="157"/>
      <c r="D481" s="157"/>
      <c r="E481" s="157"/>
      <c r="F481" s="157"/>
      <c r="G481" s="3"/>
      <c r="H481" s="156"/>
      <c r="I481" s="156"/>
      <c r="J481" s="156"/>
      <c r="K481" s="165"/>
      <c r="L481" s="165"/>
      <c r="M481" s="1"/>
      <c r="N481" s="164"/>
      <c r="O481" s="1"/>
      <c r="P481" s="153"/>
      <c r="Q481" s="39"/>
      <c r="R481" s="39"/>
      <c r="S481" s="39"/>
      <c r="T481" s="154"/>
      <c r="U481" s="40"/>
    </row>
    <row r="482" spans="1:21" ht="20" customHeight="1" x14ac:dyDescent="0.15">
      <c r="A482" s="284" t="s">
        <v>6378</v>
      </c>
      <c r="B482" s="157"/>
      <c r="C482" s="157"/>
      <c r="D482" s="157"/>
      <c r="E482" s="157"/>
      <c r="F482" s="157"/>
      <c r="G482" s="3"/>
      <c r="H482" s="156"/>
      <c r="I482" s="156"/>
      <c r="J482" s="156"/>
      <c r="K482" s="165"/>
      <c r="L482" s="165"/>
      <c r="M482" s="1"/>
      <c r="N482" s="164"/>
      <c r="O482" s="1"/>
      <c r="P482" s="153"/>
      <c r="Q482" s="39"/>
      <c r="R482" s="39"/>
      <c r="S482" s="39"/>
      <c r="T482" s="154"/>
      <c r="U482" s="40"/>
    </row>
    <row r="483" spans="1:21" ht="20" customHeight="1" x14ac:dyDescent="0.15">
      <c r="A483" s="284" t="s">
        <v>6379</v>
      </c>
      <c r="B483" s="157"/>
      <c r="C483" s="157"/>
      <c r="D483" s="157"/>
      <c r="E483" s="157"/>
      <c r="F483" s="157"/>
      <c r="G483" s="3"/>
      <c r="H483" s="156"/>
      <c r="I483" s="156"/>
      <c r="J483" s="156"/>
      <c r="K483" s="165"/>
      <c r="L483" s="165"/>
      <c r="M483" s="1"/>
      <c r="N483" s="164"/>
      <c r="O483" s="1"/>
      <c r="P483" s="153"/>
      <c r="Q483" s="39"/>
      <c r="R483" s="39"/>
      <c r="S483" s="39"/>
      <c r="T483" s="154"/>
      <c r="U483" s="40"/>
    </row>
    <row r="484" spans="1:21" ht="20" customHeight="1" x14ac:dyDescent="0.15">
      <c r="A484" s="284" t="s">
        <v>6380</v>
      </c>
      <c r="B484" s="157"/>
      <c r="C484" s="157"/>
      <c r="D484" s="157"/>
      <c r="E484" s="157"/>
      <c r="F484" s="157"/>
      <c r="G484" s="3"/>
      <c r="H484" s="156"/>
      <c r="I484" s="156"/>
      <c r="J484" s="156"/>
      <c r="K484" s="165"/>
      <c r="L484" s="165"/>
      <c r="M484" s="1"/>
      <c r="N484" s="164"/>
      <c r="O484" s="1"/>
      <c r="P484" s="153"/>
      <c r="Q484" s="39"/>
      <c r="R484" s="39"/>
      <c r="S484" s="39"/>
      <c r="T484" s="154"/>
      <c r="U484" s="40"/>
    </row>
    <row r="485" spans="1:21" ht="20" customHeight="1" x14ac:dyDescent="0.15">
      <c r="A485" s="284" t="s">
        <v>6381</v>
      </c>
      <c r="B485" s="157"/>
      <c r="C485" s="157"/>
      <c r="D485" s="157"/>
      <c r="E485" s="157"/>
      <c r="F485" s="157"/>
      <c r="G485" s="3"/>
      <c r="H485" s="156"/>
      <c r="I485" s="156"/>
      <c r="J485" s="156"/>
      <c r="K485" s="165"/>
      <c r="L485" s="165"/>
      <c r="M485" s="1"/>
      <c r="N485" s="164"/>
      <c r="O485" s="1"/>
      <c r="P485" s="153"/>
      <c r="Q485" s="39"/>
      <c r="R485" s="39"/>
      <c r="S485" s="39"/>
      <c r="T485" s="154"/>
      <c r="U485" s="40"/>
    </row>
    <row r="486" spans="1:21" ht="20" customHeight="1" x14ac:dyDescent="0.15">
      <c r="A486" s="284" t="s">
        <v>6382</v>
      </c>
      <c r="B486" s="157"/>
      <c r="C486" s="157"/>
      <c r="D486" s="157"/>
      <c r="E486" s="157"/>
      <c r="F486" s="157"/>
      <c r="G486" s="3"/>
      <c r="H486" s="156"/>
      <c r="I486" s="156"/>
      <c r="J486" s="156"/>
      <c r="K486" s="165"/>
      <c r="L486" s="165"/>
      <c r="M486" s="1"/>
      <c r="N486" s="164"/>
      <c r="O486" s="1"/>
      <c r="P486" s="153"/>
      <c r="Q486" s="39"/>
      <c r="R486" s="39"/>
      <c r="S486" s="39"/>
      <c r="T486" s="154"/>
      <c r="U486" s="40"/>
    </row>
    <row r="487" spans="1:21" ht="20" customHeight="1" x14ac:dyDescent="0.15">
      <c r="A487" s="284" t="s">
        <v>6383</v>
      </c>
      <c r="B487" s="157"/>
      <c r="C487" s="157"/>
      <c r="D487" s="157"/>
      <c r="E487" s="157"/>
      <c r="F487" s="157"/>
      <c r="G487" s="3"/>
      <c r="H487" s="156"/>
      <c r="I487" s="156"/>
      <c r="J487" s="156"/>
      <c r="K487" s="165"/>
      <c r="L487" s="165"/>
      <c r="M487" s="1"/>
      <c r="N487" s="164"/>
      <c r="O487" s="1"/>
      <c r="P487" s="153"/>
      <c r="Q487" s="39"/>
      <c r="R487" s="39"/>
      <c r="S487" s="39"/>
      <c r="T487" s="154"/>
      <c r="U487" s="40"/>
    </row>
    <row r="488" spans="1:21" ht="20" customHeight="1" x14ac:dyDescent="0.15">
      <c r="A488" s="284" t="s">
        <v>6384</v>
      </c>
      <c r="B488" s="157"/>
      <c r="C488" s="157"/>
      <c r="D488" s="157"/>
      <c r="E488" s="157"/>
      <c r="F488" s="157"/>
      <c r="G488" s="3"/>
      <c r="H488" s="156"/>
      <c r="I488" s="156"/>
      <c r="J488" s="156"/>
      <c r="K488" s="165"/>
      <c r="L488" s="165"/>
      <c r="M488" s="1"/>
      <c r="N488" s="164"/>
      <c r="O488" s="1"/>
      <c r="P488" s="153"/>
      <c r="Q488" s="39"/>
      <c r="R488" s="39"/>
      <c r="S488" s="39"/>
      <c r="T488" s="154"/>
      <c r="U488" s="40"/>
    </row>
    <row r="489" spans="1:21" ht="20" customHeight="1" x14ac:dyDescent="0.15">
      <c r="A489" s="284" t="s">
        <v>6385</v>
      </c>
      <c r="B489" s="157"/>
      <c r="C489" s="157"/>
      <c r="D489" s="157"/>
      <c r="E489" s="157"/>
      <c r="F489" s="157"/>
      <c r="G489" s="3"/>
      <c r="H489" s="156"/>
      <c r="I489" s="156"/>
      <c r="J489" s="156"/>
      <c r="K489" s="165"/>
      <c r="L489" s="165"/>
      <c r="M489" s="1"/>
      <c r="N489" s="164"/>
      <c r="O489" s="1"/>
      <c r="P489" s="153"/>
      <c r="Q489" s="39"/>
      <c r="R489" s="39"/>
      <c r="S489" s="39"/>
      <c r="T489" s="154"/>
      <c r="U489" s="40"/>
    </row>
    <row r="490" spans="1:21" ht="20" customHeight="1" x14ac:dyDescent="0.15">
      <c r="A490" s="284" t="s">
        <v>6386</v>
      </c>
      <c r="B490" s="157"/>
      <c r="C490" s="157"/>
      <c r="D490" s="157"/>
      <c r="E490" s="157"/>
      <c r="F490" s="157"/>
      <c r="G490" s="3"/>
      <c r="H490" s="156"/>
      <c r="I490" s="156"/>
      <c r="J490" s="156"/>
      <c r="K490" s="165"/>
      <c r="L490" s="165"/>
      <c r="M490" s="1"/>
      <c r="N490" s="164"/>
      <c r="O490" s="1"/>
      <c r="P490" s="153"/>
      <c r="Q490" s="39"/>
      <c r="R490" s="39"/>
      <c r="S490" s="39"/>
      <c r="T490" s="154"/>
      <c r="U490" s="40"/>
    </row>
    <row r="491" spans="1:21" ht="20" customHeight="1" x14ac:dyDescent="0.15">
      <c r="A491" s="284" t="s">
        <v>6387</v>
      </c>
      <c r="B491" s="157"/>
      <c r="C491" s="157"/>
      <c r="D491" s="157"/>
      <c r="E491" s="157"/>
      <c r="F491" s="157"/>
      <c r="G491" s="3"/>
      <c r="H491" s="156"/>
      <c r="I491" s="156"/>
      <c r="J491" s="156"/>
      <c r="K491" s="165"/>
      <c r="L491" s="165"/>
      <c r="M491" s="1"/>
      <c r="N491" s="164"/>
      <c r="O491" s="1"/>
      <c r="P491" s="153"/>
      <c r="Q491" s="39"/>
      <c r="R491" s="39"/>
      <c r="S491" s="39"/>
      <c r="T491" s="154"/>
      <c r="U491" s="40"/>
    </row>
    <row r="492" spans="1:21" ht="20" customHeight="1" x14ac:dyDescent="0.15">
      <c r="A492" s="284" t="s">
        <v>6388</v>
      </c>
      <c r="B492" s="157"/>
      <c r="C492" s="157"/>
      <c r="D492" s="157"/>
      <c r="E492" s="157"/>
      <c r="F492" s="157"/>
      <c r="G492" s="3"/>
      <c r="H492" s="156"/>
      <c r="I492" s="156"/>
      <c r="J492" s="156"/>
      <c r="K492" s="165"/>
      <c r="L492" s="165"/>
      <c r="M492" s="1"/>
      <c r="N492" s="164"/>
      <c r="O492" s="1"/>
      <c r="P492" s="153"/>
      <c r="Q492" s="39"/>
      <c r="R492" s="39"/>
      <c r="S492" s="39"/>
      <c r="T492" s="154"/>
      <c r="U492" s="40"/>
    </row>
    <row r="493" spans="1:21" ht="20" customHeight="1" x14ac:dyDescent="0.15">
      <c r="A493" s="284" t="s">
        <v>6389</v>
      </c>
      <c r="B493" s="157"/>
      <c r="C493" s="157"/>
      <c r="D493" s="157"/>
      <c r="E493" s="157"/>
      <c r="F493" s="157"/>
      <c r="G493" s="3"/>
      <c r="H493" s="156"/>
      <c r="I493" s="156"/>
      <c r="J493" s="156"/>
      <c r="K493" s="165"/>
      <c r="L493" s="165"/>
      <c r="M493" s="1"/>
      <c r="N493" s="164"/>
      <c r="O493" s="1"/>
      <c r="P493" s="153"/>
      <c r="Q493" s="39"/>
      <c r="R493" s="39"/>
      <c r="S493" s="39"/>
      <c r="T493" s="154"/>
      <c r="U493" s="40"/>
    </row>
    <row r="494" spans="1:21" ht="20" customHeight="1" x14ac:dyDescent="0.15">
      <c r="A494" s="284" t="s">
        <v>6390</v>
      </c>
      <c r="B494" s="157"/>
      <c r="C494" s="157"/>
      <c r="D494" s="157"/>
      <c r="E494" s="157"/>
      <c r="F494" s="157"/>
      <c r="G494" s="3"/>
      <c r="H494" s="156"/>
      <c r="I494" s="156"/>
      <c r="J494" s="156"/>
      <c r="K494" s="165"/>
      <c r="L494" s="165"/>
      <c r="M494" s="1"/>
      <c r="N494" s="164"/>
      <c r="O494" s="1"/>
      <c r="P494" s="153"/>
      <c r="Q494" s="39"/>
      <c r="R494" s="39"/>
      <c r="S494" s="39"/>
      <c r="T494" s="154"/>
      <c r="U494" s="40"/>
    </row>
    <row r="495" spans="1:21" ht="20" customHeight="1" x14ac:dyDescent="0.15">
      <c r="A495" s="284" t="s">
        <v>6391</v>
      </c>
      <c r="B495" s="157"/>
      <c r="C495" s="157"/>
      <c r="D495" s="157"/>
      <c r="E495" s="157"/>
      <c r="F495" s="157"/>
      <c r="G495" s="3"/>
      <c r="H495" s="156"/>
      <c r="I495" s="156"/>
      <c r="J495" s="156"/>
      <c r="K495" s="165"/>
      <c r="L495" s="165"/>
      <c r="M495" s="1"/>
      <c r="N495" s="164"/>
      <c r="O495" s="1"/>
      <c r="P495" s="153"/>
      <c r="Q495" s="39"/>
      <c r="R495" s="39"/>
      <c r="S495" s="39"/>
      <c r="T495" s="154"/>
      <c r="U495" s="40"/>
    </row>
    <row r="496" spans="1:21" ht="20" customHeight="1" x14ac:dyDescent="0.15">
      <c r="A496" s="284" t="s">
        <v>6392</v>
      </c>
      <c r="B496" s="157"/>
      <c r="C496" s="157"/>
      <c r="D496" s="157"/>
      <c r="E496" s="157"/>
      <c r="F496" s="157"/>
      <c r="G496" s="3"/>
      <c r="H496" s="156"/>
      <c r="I496" s="156"/>
      <c r="J496" s="156"/>
      <c r="K496" s="165"/>
      <c r="L496" s="165"/>
      <c r="M496" s="1"/>
      <c r="N496" s="164"/>
      <c r="O496" s="1"/>
      <c r="P496" s="153"/>
      <c r="Q496" s="39"/>
      <c r="R496" s="39"/>
      <c r="S496" s="39"/>
      <c r="T496" s="154"/>
      <c r="U496" s="40"/>
    </row>
    <row r="497" spans="1:21" ht="20" customHeight="1" x14ac:dyDescent="0.15">
      <c r="A497" s="284" t="s">
        <v>6393</v>
      </c>
      <c r="B497" s="157"/>
      <c r="C497" s="157"/>
      <c r="D497" s="157"/>
      <c r="E497" s="157"/>
      <c r="F497" s="157"/>
      <c r="G497" s="3"/>
      <c r="H497" s="156"/>
      <c r="I497" s="156"/>
      <c r="J497" s="156"/>
      <c r="K497" s="165"/>
      <c r="L497" s="165"/>
      <c r="M497" s="1"/>
      <c r="N497" s="164"/>
      <c r="O497" s="1"/>
      <c r="P497" s="153"/>
      <c r="Q497" s="39"/>
      <c r="R497" s="39"/>
      <c r="S497" s="39"/>
      <c r="T497" s="154"/>
      <c r="U497" s="40"/>
    </row>
    <row r="498" spans="1:21" ht="20" customHeight="1" x14ac:dyDescent="0.15">
      <c r="A498" s="284" t="s">
        <v>6394</v>
      </c>
      <c r="B498" s="157"/>
      <c r="C498" s="157"/>
      <c r="D498" s="157"/>
      <c r="E498" s="157"/>
      <c r="F498" s="157"/>
      <c r="G498" s="3"/>
      <c r="H498" s="156"/>
      <c r="I498" s="156"/>
      <c r="J498" s="156"/>
      <c r="K498" s="165"/>
      <c r="L498" s="165"/>
      <c r="M498" s="1"/>
      <c r="N498" s="164"/>
      <c r="O498" s="1"/>
      <c r="P498" s="153"/>
      <c r="Q498" s="39"/>
      <c r="R498" s="39"/>
      <c r="S498" s="39"/>
      <c r="T498" s="154"/>
      <c r="U498" s="40"/>
    </row>
    <row r="499" spans="1:21" ht="20" customHeight="1" x14ac:dyDescent="0.15">
      <c r="A499" s="284" t="s">
        <v>6395</v>
      </c>
      <c r="B499" s="157"/>
      <c r="C499" s="157"/>
      <c r="D499" s="157"/>
      <c r="E499" s="157"/>
      <c r="F499" s="157"/>
      <c r="G499" s="3"/>
      <c r="H499" s="156"/>
      <c r="I499" s="156"/>
      <c r="J499" s="156"/>
      <c r="K499" s="165"/>
      <c r="L499" s="165"/>
      <c r="M499" s="1"/>
      <c r="N499" s="164"/>
      <c r="O499" s="1"/>
      <c r="P499" s="153"/>
      <c r="Q499" s="39"/>
      <c r="R499" s="39"/>
      <c r="S499" s="39"/>
      <c r="T499" s="154"/>
      <c r="U499" s="40"/>
    </row>
    <row r="500" spans="1:21" ht="20" customHeight="1" x14ac:dyDescent="0.15">
      <c r="A500" s="284" t="s">
        <v>6396</v>
      </c>
      <c r="B500" s="157"/>
      <c r="C500" s="157"/>
      <c r="D500" s="157"/>
      <c r="E500" s="157"/>
      <c r="F500" s="157"/>
      <c r="G500" s="3"/>
      <c r="H500" s="156"/>
      <c r="I500" s="156"/>
      <c r="J500" s="156"/>
      <c r="K500" s="165"/>
      <c r="L500" s="165"/>
      <c r="M500" s="1"/>
      <c r="N500" s="164"/>
      <c r="O500" s="1"/>
      <c r="P500" s="153"/>
      <c r="Q500" s="39"/>
      <c r="R500" s="39"/>
      <c r="S500" s="39"/>
      <c r="T500" s="154"/>
      <c r="U500" s="40"/>
    </row>
    <row r="501" spans="1:21" ht="20" customHeight="1" x14ac:dyDescent="0.15">
      <c r="A501" s="284" t="s">
        <v>6397</v>
      </c>
      <c r="B501" s="157"/>
      <c r="C501" s="157"/>
      <c r="D501" s="157"/>
      <c r="E501" s="157"/>
      <c r="F501" s="157"/>
      <c r="G501" s="3"/>
      <c r="H501" s="156"/>
      <c r="I501" s="156"/>
      <c r="J501" s="156"/>
      <c r="K501" s="165"/>
      <c r="L501" s="165"/>
      <c r="M501" s="1"/>
      <c r="N501" s="164"/>
      <c r="O501" s="1"/>
      <c r="P501" s="153"/>
      <c r="Q501" s="39"/>
      <c r="R501" s="39"/>
      <c r="S501" s="39"/>
      <c r="T501" s="154"/>
      <c r="U501" s="40"/>
    </row>
    <row r="502" spans="1:21" ht="20" customHeight="1" x14ac:dyDescent="0.15">
      <c r="A502" s="284" t="s">
        <v>6398</v>
      </c>
      <c r="B502" s="157"/>
      <c r="C502" s="157"/>
      <c r="D502" s="157"/>
      <c r="E502" s="157"/>
      <c r="F502" s="157"/>
      <c r="G502" s="3"/>
      <c r="H502" s="156"/>
      <c r="I502" s="156"/>
      <c r="J502" s="156"/>
      <c r="K502" s="165"/>
      <c r="L502" s="165"/>
      <c r="M502" s="1"/>
      <c r="N502" s="164"/>
      <c r="O502" s="1"/>
      <c r="P502" s="153"/>
      <c r="Q502" s="39"/>
      <c r="R502" s="39"/>
      <c r="S502" s="39"/>
      <c r="T502" s="154"/>
      <c r="U502" s="40"/>
    </row>
    <row r="503" spans="1:21" ht="20" customHeight="1" x14ac:dyDescent="0.15">
      <c r="A503" s="284" t="s">
        <v>6399</v>
      </c>
      <c r="B503" s="157"/>
      <c r="C503" s="157"/>
      <c r="D503" s="157"/>
      <c r="E503" s="157"/>
      <c r="F503" s="157"/>
      <c r="G503" s="3"/>
      <c r="H503" s="156"/>
      <c r="I503" s="156"/>
      <c r="J503" s="156"/>
      <c r="K503" s="165"/>
      <c r="L503" s="165"/>
      <c r="M503" s="1"/>
      <c r="N503" s="164"/>
      <c r="O503" s="1"/>
      <c r="P503" s="153"/>
      <c r="Q503" s="39"/>
      <c r="R503" s="39"/>
      <c r="S503" s="39"/>
      <c r="T503" s="154"/>
      <c r="U503" s="40"/>
    </row>
    <row r="504" spans="1:21" ht="20" customHeight="1" x14ac:dyDescent="0.15">
      <c r="A504" s="284" t="s">
        <v>6400</v>
      </c>
      <c r="B504" s="157"/>
      <c r="C504" s="157"/>
      <c r="D504" s="157"/>
      <c r="E504" s="157"/>
      <c r="F504" s="157"/>
      <c r="G504" s="3"/>
      <c r="H504" s="156"/>
      <c r="I504" s="156"/>
      <c r="J504" s="156"/>
      <c r="K504" s="165"/>
      <c r="L504" s="165"/>
      <c r="M504" s="1"/>
      <c r="N504" s="164"/>
      <c r="O504" s="1"/>
      <c r="P504" s="153"/>
      <c r="Q504" s="39"/>
      <c r="R504" s="39"/>
      <c r="S504" s="39"/>
      <c r="T504" s="154"/>
      <c r="U504" s="40"/>
    </row>
    <row r="505" spans="1:21" ht="20" customHeight="1" x14ac:dyDescent="0.15">
      <c r="A505" s="284" t="s">
        <v>6401</v>
      </c>
      <c r="B505" s="157"/>
      <c r="C505" s="157"/>
      <c r="D505" s="157"/>
      <c r="E505" s="157"/>
      <c r="F505" s="157"/>
      <c r="G505" s="3"/>
      <c r="H505" s="156"/>
      <c r="I505" s="156"/>
      <c r="J505" s="156"/>
      <c r="K505" s="165"/>
      <c r="L505" s="165"/>
      <c r="M505" s="1"/>
      <c r="N505" s="164"/>
      <c r="O505" s="1"/>
      <c r="P505" s="153"/>
      <c r="Q505" s="39"/>
      <c r="R505" s="39"/>
      <c r="S505" s="39"/>
      <c r="T505" s="154"/>
      <c r="U505" s="40"/>
    </row>
    <row r="506" spans="1:21" ht="20" customHeight="1" x14ac:dyDescent="0.15">
      <c r="A506" s="284" t="s">
        <v>6402</v>
      </c>
      <c r="B506" s="157"/>
      <c r="C506" s="157"/>
      <c r="D506" s="157"/>
      <c r="E506" s="157"/>
      <c r="F506" s="157"/>
      <c r="G506" s="3"/>
      <c r="H506" s="156"/>
      <c r="I506" s="156"/>
      <c r="J506" s="156"/>
      <c r="K506" s="165"/>
      <c r="L506" s="165"/>
      <c r="M506" s="1"/>
      <c r="N506" s="164"/>
      <c r="O506" s="1"/>
      <c r="P506" s="153"/>
      <c r="Q506" s="39"/>
      <c r="R506" s="39"/>
      <c r="S506" s="39"/>
      <c r="T506" s="154"/>
      <c r="U506" s="40"/>
    </row>
    <row r="507" spans="1:21" ht="20" customHeight="1" x14ac:dyDescent="0.15">
      <c r="A507" s="284" t="s">
        <v>6403</v>
      </c>
      <c r="B507" s="157"/>
      <c r="C507" s="157"/>
      <c r="D507" s="157"/>
      <c r="E507" s="157"/>
      <c r="F507" s="157"/>
      <c r="G507" s="3"/>
      <c r="H507" s="156"/>
      <c r="I507" s="156"/>
      <c r="J507" s="156"/>
      <c r="K507" s="165"/>
      <c r="L507" s="165"/>
      <c r="M507" s="1"/>
      <c r="N507" s="164"/>
      <c r="O507" s="1"/>
      <c r="P507" s="153"/>
      <c r="Q507" s="39"/>
      <c r="R507" s="39"/>
      <c r="S507" s="39"/>
      <c r="T507" s="154"/>
      <c r="U507" s="40"/>
    </row>
    <row r="508" spans="1:21" ht="20" customHeight="1" x14ac:dyDescent="0.15">
      <c r="A508" s="284" t="s">
        <v>6404</v>
      </c>
      <c r="B508" s="157"/>
      <c r="C508" s="157"/>
      <c r="D508" s="157"/>
      <c r="E508" s="157"/>
      <c r="F508" s="157"/>
      <c r="G508" s="3"/>
      <c r="H508" s="156"/>
      <c r="I508" s="156"/>
      <c r="J508" s="156"/>
      <c r="K508" s="165"/>
      <c r="L508" s="165"/>
      <c r="M508" s="1"/>
      <c r="N508" s="164"/>
      <c r="O508" s="1"/>
      <c r="P508" s="153"/>
      <c r="Q508" s="39"/>
      <c r="R508" s="39"/>
      <c r="S508" s="39"/>
      <c r="T508" s="154"/>
      <c r="U508" s="40"/>
    </row>
    <row r="509" spans="1:21" ht="20" customHeight="1" x14ac:dyDescent="0.15">
      <c r="A509" s="284" t="s">
        <v>6405</v>
      </c>
      <c r="B509" s="157"/>
      <c r="C509" s="157"/>
      <c r="D509" s="157"/>
      <c r="E509" s="157"/>
      <c r="F509" s="157"/>
      <c r="G509" s="3"/>
      <c r="H509" s="156"/>
      <c r="I509" s="156"/>
      <c r="J509" s="156"/>
      <c r="K509" s="165"/>
      <c r="L509" s="165"/>
      <c r="M509" s="1"/>
      <c r="N509" s="164"/>
      <c r="O509" s="1"/>
      <c r="P509" s="153"/>
      <c r="Q509" s="39"/>
      <c r="R509" s="39"/>
      <c r="S509" s="39"/>
      <c r="T509" s="154"/>
      <c r="U509" s="40"/>
    </row>
    <row r="510" spans="1:21" ht="20" customHeight="1" x14ac:dyDescent="0.15">
      <c r="A510" s="284" t="s">
        <v>6406</v>
      </c>
      <c r="B510" s="157"/>
      <c r="C510" s="157"/>
      <c r="D510" s="157"/>
      <c r="E510" s="157"/>
      <c r="F510" s="157"/>
      <c r="G510" s="3"/>
      <c r="H510" s="156"/>
      <c r="I510" s="156"/>
      <c r="J510" s="156"/>
      <c r="K510" s="165"/>
      <c r="L510" s="165"/>
      <c r="M510" s="1"/>
      <c r="N510" s="164"/>
      <c r="O510" s="1"/>
      <c r="P510" s="153"/>
      <c r="Q510" s="39"/>
      <c r="R510" s="39"/>
      <c r="S510" s="39"/>
      <c r="T510" s="154"/>
      <c r="U510" s="40"/>
    </row>
    <row r="511" spans="1:21" ht="20" customHeight="1" x14ac:dyDescent="0.15">
      <c r="A511" s="284" t="s">
        <v>6407</v>
      </c>
      <c r="B511" s="157"/>
      <c r="C511" s="157"/>
      <c r="D511" s="157"/>
      <c r="E511" s="157"/>
      <c r="F511" s="157"/>
      <c r="G511" s="3"/>
      <c r="H511" s="156"/>
      <c r="I511" s="156"/>
      <c r="J511" s="156"/>
      <c r="K511" s="165"/>
      <c r="L511" s="165"/>
      <c r="M511" s="1"/>
      <c r="N511" s="164"/>
      <c r="O511" s="1"/>
      <c r="P511" s="153"/>
      <c r="Q511" s="39"/>
      <c r="R511" s="39"/>
      <c r="S511" s="39"/>
      <c r="T511" s="154"/>
      <c r="U511" s="40"/>
    </row>
    <row r="512" spans="1:21" ht="20" customHeight="1" x14ac:dyDescent="0.15">
      <c r="A512" s="284" t="s">
        <v>6408</v>
      </c>
      <c r="B512" s="157"/>
      <c r="C512" s="157"/>
      <c r="D512" s="157"/>
      <c r="E512" s="157"/>
      <c r="F512" s="157"/>
      <c r="G512" s="3"/>
      <c r="H512" s="156"/>
      <c r="I512" s="156"/>
      <c r="J512" s="156"/>
      <c r="K512" s="165"/>
      <c r="L512" s="165"/>
      <c r="M512" s="1"/>
      <c r="N512" s="164"/>
      <c r="O512" s="1"/>
      <c r="P512" s="153"/>
      <c r="Q512" s="39"/>
      <c r="R512" s="39"/>
      <c r="S512" s="39"/>
      <c r="T512" s="154"/>
      <c r="U512" s="40"/>
    </row>
    <row r="513" spans="1:21" ht="20" customHeight="1" x14ac:dyDescent="0.15">
      <c r="A513" s="284" t="s">
        <v>6409</v>
      </c>
      <c r="B513" s="157"/>
      <c r="C513" s="157"/>
      <c r="D513" s="157"/>
      <c r="E513" s="157"/>
      <c r="F513" s="157"/>
      <c r="G513" s="3"/>
      <c r="H513" s="156"/>
      <c r="I513" s="156"/>
      <c r="J513" s="156"/>
      <c r="K513" s="165"/>
      <c r="L513" s="165"/>
      <c r="M513" s="1"/>
      <c r="N513" s="164"/>
      <c r="O513" s="1"/>
      <c r="P513" s="153"/>
      <c r="Q513" s="39"/>
      <c r="R513" s="39"/>
      <c r="S513" s="39"/>
      <c r="T513" s="154"/>
      <c r="U513" s="40"/>
    </row>
    <row r="514" spans="1:21" ht="20" customHeight="1" x14ac:dyDescent="0.15">
      <c r="A514" s="284" t="s">
        <v>6410</v>
      </c>
      <c r="B514" s="157"/>
      <c r="C514" s="157"/>
      <c r="D514" s="157"/>
      <c r="E514" s="157"/>
      <c r="F514" s="157"/>
      <c r="G514" s="3"/>
      <c r="H514" s="156"/>
      <c r="I514" s="156"/>
      <c r="J514" s="156"/>
      <c r="K514" s="165"/>
      <c r="L514" s="165"/>
      <c r="M514" s="1"/>
      <c r="N514" s="164"/>
      <c r="O514" s="1"/>
      <c r="P514" s="153"/>
      <c r="Q514" s="39"/>
      <c r="R514" s="39"/>
      <c r="S514" s="39"/>
      <c r="T514" s="154"/>
      <c r="U514" s="40"/>
    </row>
    <row r="515" spans="1:21" ht="20" customHeight="1" x14ac:dyDescent="0.15">
      <c r="A515" s="284" t="s">
        <v>6411</v>
      </c>
      <c r="B515" s="157"/>
      <c r="C515" s="157"/>
      <c r="D515" s="157"/>
      <c r="E515" s="157"/>
      <c r="F515" s="157"/>
      <c r="G515" s="3"/>
      <c r="H515" s="156"/>
      <c r="I515" s="156"/>
      <c r="J515" s="156"/>
      <c r="K515" s="165"/>
      <c r="L515" s="165"/>
      <c r="M515" s="1"/>
      <c r="N515" s="164"/>
      <c r="O515" s="1"/>
      <c r="P515" s="153"/>
      <c r="Q515" s="39"/>
      <c r="R515" s="39"/>
      <c r="S515" s="39"/>
      <c r="T515" s="154"/>
      <c r="U515" s="40"/>
    </row>
    <row r="516" spans="1:21" ht="20" customHeight="1" x14ac:dyDescent="0.15">
      <c r="A516" s="284" t="s">
        <v>6412</v>
      </c>
      <c r="B516" s="157"/>
      <c r="C516" s="157"/>
      <c r="D516" s="157"/>
      <c r="E516" s="157"/>
      <c r="F516" s="157"/>
      <c r="G516" s="3"/>
      <c r="H516" s="156"/>
      <c r="I516" s="156"/>
      <c r="J516" s="156"/>
      <c r="K516" s="165"/>
      <c r="L516" s="165"/>
      <c r="M516" s="1"/>
      <c r="N516" s="164"/>
      <c r="O516" s="1"/>
      <c r="P516" s="153"/>
      <c r="Q516" s="39"/>
      <c r="R516" s="39"/>
      <c r="S516" s="39"/>
      <c r="T516" s="154"/>
      <c r="U516" s="40"/>
    </row>
    <row r="517" spans="1:21" ht="20" customHeight="1" x14ac:dyDescent="0.15">
      <c r="A517" s="284" t="s">
        <v>6413</v>
      </c>
      <c r="B517" s="157"/>
      <c r="C517" s="157"/>
      <c r="D517" s="157"/>
      <c r="E517" s="157"/>
      <c r="F517" s="157"/>
      <c r="G517" s="3"/>
      <c r="H517" s="156"/>
      <c r="I517" s="156"/>
      <c r="J517" s="156"/>
      <c r="K517" s="165"/>
      <c r="L517" s="165"/>
      <c r="M517" s="1"/>
      <c r="N517" s="164"/>
      <c r="O517" s="1"/>
      <c r="P517" s="153"/>
      <c r="Q517" s="39"/>
      <c r="R517" s="39"/>
      <c r="S517" s="39"/>
      <c r="T517" s="154"/>
      <c r="U517" s="40"/>
    </row>
    <row r="518" spans="1:21" ht="20" customHeight="1" x14ac:dyDescent="0.15">
      <c r="A518" s="284" t="s">
        <v>6414</v>
      </c>
      <c r="B518" s="157"/>
      <c r="C518" s="157"/>
      <c r="D518" s="157"/>
      <c r="E518" s="157"/>
      <c r="F518" s="157"/>
      <c r="G518" s="3"/>
      <c r="H518" s="156"/>
      <c r="I518" s="156"/>
      <c r="J518" s="156"/>
      <c r="K518" s="165"/>
      <c r="L518" s="165"/>
      <c r="M518" s="1"/>
      <c r="N518" s="164"/>
      <c r="O518" s="1"/>
      <c r="P518" s="153"/>
      <c r="Q518" s="39"/>
      <c r="R518" s="39"/>
      <c r="S518" s="39"/>
      <c r="T518" s="154"/>
      <c r="U518" s="40"/>
    </row>
    <row r="519" spans="1:21" ht="20" customHeight="1" x14ac:dyDescent="0.15">
      <c r="A519" s="284" t="s">
        <v>6415</v>
      </c>
      <c r="B519" s="157"/>
      <c r="C519" s="157"/>
      <c r="D519" s="157"/>
      <c r="E519" s="157"/>
      <c r="F519" s="157"/>
      <c r="G519" s="3"/>
      <c r="H519" s="156"/>
      <c r="I519" s="156"/>
      <c r="J519" s="156"/>
      <c r="K519" s="165"/>
      <c r="L519" s="165"/>
      <c r="M519" s="1"/>
      <c r="N519" s="164"/>
      <c r="O519" s="1"/>
      <c r="P519" s="153"/>
      <c r="Q519" s="39"/>
      <c r="R519" s="39"/>
      <c r="S519" s="39"/>
      <c r="T519" s="154"/>
      <c r="U519" s="40"/>
    </row>
    <row r="520" spans="1:21" ht="20" customHeight="1" x14ac:dyDescent="0.15">
      <c r="A520" s="284" t="s">
        <v>6416</v>
      </c>
      <c r="B520" s="157"/>
      <c r="C520" s="157"/>
      <c r="D520" s="157"/>
      <c r="E520" s="157"/>
      <c r="F520" s="157"/>
      <c r="G520" s="3"/>
      <c r="H520" s="156"/>
      <c r="I520" s="156"/>
      <c r="J520" s="156"/>
      <c r="K520" s="165"/>
      <c r="L520" s="165"/>
      <c r="M520" s="1"/>
      <c r="N520" s="164"/>
      <c r="O520" s="1"/>
      <c r="P520" s="153"/>
      <c r="Q520" s="39"/>
      <c r="R520" s="39"/>
      <c r="S520" s="39"/>
      <c r="T520" s="154"/>
      <c r="U520" s="40"/>
    </row>
    <row r="521" spans="1:21" ht="20" customHeight="1" x14ac:dyDescent="0.15">
      <c r="A521" s="284" t="s">
        <v>6417</v>
      </c>
      <c r="B521" s="157"/>
      <c r="C521" s="157"/>
      <c r="D521" s="157"/>
      <c r="E521" s="157"/>
      <c r="F521" s="157"/>
      <c r="G521" s="3"/>
      <c r="H521" s="156"/>
      <c r="I521" s="156"/>
      <c r="J521" s="156"/>
      <c r="K521" s="165"/>
      <c r="L521" s="165"/>
      <c r="M521" s="1"/>
      <c r="N521" s="164"/>
      <c r="O521" s="1"/>
      <c r="P521" s="153"/>
      <c r="Q521" s="39"/>
      <c r="R521" s="39"/>
      <c r="S521" s="39"/>
      <c r="T521" s="154"/>
      <c r="U521" s="40"/>
    </row>
    <row r="522" spans="1:21" ht="20" customHeight="1" x14ac:dyDescent="0.15">
      <c r="A522" s="284" t="s">
        <v>6418</v>
      </c>
      <c r="B522" s="157"/>
      <c r="C522" s="157"/>
      <c r="D522" s="157"/>
      <c r="E522" s="157"/>
      <c r="F522" s="157"/>
      <c r="G522" s="3"/>
      <c r="H522" s="156"/>
      <c r="I522" s="156"/>
      <c r="J522" s="156"/>
      <c r="K522" s="165"/>
      <c r="L522" s="165"/>
      <c r="M522" s="1"/>
      <c r="N522" s="164"/>
      <c r="O522" s="1"/>
      <c r="P522" s="153"/>
      <c r="Q522" s="39"/>
      <c r="R522" s="39"/>
      <c r="S522" s="39"/>
      <c r="T522" s="154"/>
      <c r="U522" s="40"/>
    </row>
    <row r="523" spans="1:21" ht="20" customHeight="1" x14ac:dyDescent="0.15">
      <c r="A523" s="284" t="s">
        <v>6419</v>
      </c>
      <c r="B523" s="157"/>
      <c r="C523" s="157"/>
      <c r="D523" s="157"/>
      <c r="E523" s="157"/>
      <c r="F523" s="157"/>
      <c r="G523" s="3"/>
      <c r="H523" s="156"/>
      <c r="I523" s="156"/>
      <c r="J523" s="156"/>
      <c r="K523" s="165"/>
      <c r="L523" s="165"/>
      <c r="M523" s="1"/>
      <c r="N523" s="164"/>
      <c r="O523" s="1"/>
      <c r="P523" s="153"/>
      <c r="Q523" s="39"/>
      <c r="R523" s="39"/>
      <c r="S523" s="39"/>
      <c r="T523" s="154"/>
      <c r="U523" s="40"/>
    </row>
    <row r="524" spans="1:21" ht="20" customHeight="1" x14ac:dyDescent="0.15">
      <c r="A524" s="284" t="s">
        <v>6420</v>
      </c>
      <c r="B524" s="157"/>
      <c r="C524" s="157"/>
      <c r="D524" s="157"/>
      <c r="E524" s="157"/>
      <c r="F524" s="157"/>
      <c r="G524" s="3"/>
      <c r="H524" s="156"/>
      <c r="I524" s="156"/>
      <c r="J524" s="156"/>
      <c r="K524" s="165"/>
      <c r="L524" s="165"/>
      <c r="M524" s="1"/>
      <c r="N524" s="164"/>
      <c r="O524" s="1"/>
      <c r="P524" s="153"/>
      <c r="Q524" s="39"/>
      <c r="R524" s="39"/>
      <c r="S524" s="39"/>
      <c r="T524" s="154"/>
      <c r="U524" s="40"/>
    </row>
    <row r="525" spans="1:21" ht="20" customHeight="1" x14ac:dyDescent="0.15">
      <c r="A525" s="284" t="s">
        <v>6421</v>
      </c>
      <c r="B525" s="157"/>
      <c r="C525" s="157"/>
      <c r="D525" s="157"/>
      <c r="E525" s="157"/>
      <c r="F525" s="157"/>
      <c r="G525" s="3"/>
      <c r="H525" s="156"/>
      <c r="I525" s="156"/>
      <c r="J525" s="156"/>
      <c r="K525" s="165"/>
      <c r="L525" s="165"/>
      <c r="M525" s="1"/>
      <c r="N525" s="164"/>
      <c r="O525" s="1"/>
      <c r="P525" s="153"/>
      <c r="Q525" s="39"/>
      <c r="R525" s="39"/>
      <c r="S525" s="39"/>
      <c r="T525" s="154"/>
      <c r="U525" s="40"/>
    </row>
    <row r="526" spans="1:21" ht="20" customHeight="1" x14ac:dyDescent="0.15">
      <c r="A526" s="284" t="s">
        <v>6422</v>
      </c>
      <c r="B526" s="157"/>
      <c r="C526" s="157"/>
      <c r="D526" s="157"/>
      <c r="E526" s="157"/>
      <c r="F526" s="157"/>
      <c r="G526" s="3"/>
      <c r="H526" s="156"/>
      <c r="I526" s="156"/>
      <c r="J526" s="156"/>
      <c r="K526" s="165"/>
      <c r="L526" s="165"/>
      <c r="M526" s="1"/>
      <c r="N526" s="164"/>
      <c r="O526" s="1"/>
      <c r="P526" s="153"/>
      <c r="Q526" s="39"/>
      <c r="R526" s="39"/>
      <c r="S526" s="39"/>
      <c r="T526" s="154"/>
      <c r="U526" s="40"/>
    </row>
    <row r="527" spans="1:21" ht="20" customHeight="1" x14ac:dyDescent="0.15">
      <c r="A527" s="284" t="s">
        <v>6423</v>
      </c>
      <c r="B527" s="157"/>
      <c r="C527" s="157"/>
      <c r="D527" s="157"/>
      <c r="E527" s="157"/>
      <c r="F527" s="157"/>
      <c r="G527" s="3"/>
      <c r="H527" s="156"/>
      <c r="I527" s="156"/>
      <c r="J527" s="156"/>
      <c r="K527" s="165"/>
      <c r="L527" s="165"/>
      <c r="M527" s="1"/>
      <c r="N527" s="164"/>
      <c r="O527" s="1"/>
      <c r="P527" s="153"/>
      <c r="Q527" s="39"/>
      <c r="R527" s="39"/>
      <c r="S527" s="39"/>
      <c r="T527" s="154"/>
      <c r="U527" s="40"/>
    </row>
    <row r="528" spans="1:21" ht="20" customHeight="1" x14ac:dyDescent="0.15">
      <c r="A528" s="284" t="s">
        <v>6424</v>
      </c>
      <c r="B528" s="157"/>
      <c r="C528" s="157"/>
      <c r="D528" s="157"/>
      <c r="E528" s="157"/>
      <c r="F528" s="157"/>
      <c r="G528" s="3"/>
      <c r="H528" s="156"/>
      <c r="I528" s="156"/>
      <c r="J528" s="156"/>
      <c r="K528" s="165"/>
      <c r="L528" s="165"/>
      <c r="M528" s="1"/>
      <c r="N528" s="164"/>
      <c r="O528" s="1"/>
      <c r="P528" s="153"/>
      <c r="Q528" s="39"/>
      <c r="R528" s="39"/>
      <c r="S528" s="39"/>
      <c r="T528" s="154"/>
      <c r="U528" s="40"/>
    </row>
    <row r="529" spans="1:21" ht="20" customHeight="1" x14ac:dyDescent="0.15">
      <c r="A529" s="284" t="s">
        <v>6425</v>
      </c>
      <c r="B529" s="157"/>
      <c r="C529" s="157"/>
      <c r="D529" s="157"/>
      <c r="E529" s="157"/>
      <c r="F529" s="157"/>
      <c r="G529" s="3"/>
      <c r="H529" s="156"/>
      <c r="I529" s="156"/>
      <c r="J529" s="156"/>
      <c r="K529" s="165"/>
      <c r="L529" s="165"/>
      <c r="M529" s="1"/>
      <c r="N529" s="164"/>
      <c r="O529" s="1"/>
      <c r="P529" s="153"/>
      <c r="Q529" s="39"/>
      <c r="R529" s="39"/>
      <c r="S529" s="39"/>
      <c r="T529" s="154"/>
      <c r="U529" s="40"/>
    </row>
    <row r="530" spans="1:21" ht="20" customHeight="1" x14ac:dyDescent="0.15">
      <c r="A530" s="284" t="s">
        <v>6426</v>
      </c>
      <c r="B530" s="157"/>
      <c r="C530" s="157"/>
      <c r="D530" s="157"/>
      <c r="E530" s="157"/>
      <c r="F530" s="157"/>
      <c r="G530" s="3"/>
      <c r="H530" s="156"/>
      <c r="I530" s="156"/>
      <c r="J530" s="156"/>
      <c r="K530" s="165"/>
      <c r="L530" s="165"/>
      <c r="M530" s="1"/>
      <c r="N530" s="164"/>
      <c r="O530" s="1"/>
      <c r="P530" s="153"/>
      <c r="Q530" s="39"/>
      <c r="R530" s="39"/>
      <c r="S530" s="39"/>
      <c r="T530" s="154"/>
      <c r="U530" s="40"/>
    </row>
    <row r="531" spans="1:21" ht="20" customHeight="1" x14ac:dyDescent="0.15">
      <c r="A531" s="284" t="s">
        <v>6427</v>
      </c>
      <c r="B531" s="157"/>
      <c r="C531" s="157"/>
      <c r="D531" s="157"/>
      <c r="E531" s="157"/>
      <c r="F531" s="157"/>
      <c r="G531" s="3"/>
      <c r="H531" s="156"/>
      <c r="I531" s="156"/>
      <c r="J531" s="156"/>
      <c r="K531" s="165"/>
      <c r="L531" s="165"/>
      <c r="M531" s="1"/>
      <c r="N531" s="164"/>
      <c r="O531" s="1"/>
      <c r="P531" s="153"/>
      <c r="Q531" s="39"/>
      <c r="R531" s="39"/>
      <c r="S531" s="39"/>
      <c r="T531" s="154"/>
      <c r="U531" s="40"/>
    </row>
    <row r="532" spans="1:21" ht="20" customHeight="1" x14ac:dyDescent="0.15">
      <c r="A532" s="284" t="s">
        <v>6428</v>
      </c>
      <c r="B532" s="157"/>
      <c r="C532" s="157"/>
      <c r="D532" s="157"/>
      <c r="E532" s="157"/>
      <c r="F532" s="157"/>
      <c r="G532" s="3"/>
      <c r="H532" s="156"/>
      <c r="I532" s="156"/>
      <c r="J532" s="156"/>
      <c r="K532" s="165"/>
      <c r="L532" s="165"/>
      <c r="M532" s="1"/>
      <c r="N532" s="164"/>
      <c r="O532" s="1"/>
      <c r="P532" s="153"/>
      <c r="Q532" s="39"/>
      <c r="R532" s="39"/>
      <c r="S532" s="39"/>
      <c r="T532" s="154"/>
      <c r="U532" s="40"/>
    </row>
    <row r="533" spans="1:21" ht="20" customHeight="1" x14ac:dyDescent="0.15">
      <c r="A533" s="284" t="s">
        <v>6429</v>
      </c>
      <c r="B533" s="157"/>
      <c r="C533" s="157"/>
      <c r="D533" s="157"/>
      <c r="E533" s="157"/>
      <c r="F533" s="157"/>
      <c r="G533" s="3"/>
      <c r="H533" s="156"/>
      <c r="I533" s="156"/>
      <c r="J533" s="156"/>
      <c r="K533" s="165"/>
      <c r="L533" s="165"/>
      <c r="M533" s="1"/>
      <c r="N533" s="164"/>
      <c r="O533" s="1"/>
      <c r="P533" s="153"/>
      <c r="Q533" s="39"/>
      <c r="R533" s="39"/>
      <c r="S533" s="39"/>
      <c r="T533" s="154"/>
      <c r="U533" s="40"/>
    </row>
    <row r="534" spans="1:21" ht="20" customHeight="1" x14ac:dyDescent="0.15">
      <c r="A534" s="284" t="s">
        <v>6430</v>
      </c>
      <c r="B534" s="157"/>
      <c r="C534" s="157"/>
      <c r="D534" s="157"/>
      <c r="E534" s="157"/>
      <c r="F534" s="157"/>
      <c r="G534" s="3"/>
      <c r="H534" s="156"/>
      <c r="I534" s="156"/>
      <c r="J534" s="156"/>
      <c r="K534" s="165"/>
      <c r="L534" s="165"/>
      <c r="M534" s="1"/>
      <c r="N534" s="164"/>
      <c r="O534" s="1"/>
      <c r="P534" s="153"/>
      <c r="Q534" s="39"/>
      <c r="R534" s="39"/>
      <c r="S534" s="39"/>
      <c r="T534" s="154"/>
      <c r="U534" s="40"/>
    </row>
    <row r="535" spans="1:21" ht="20" customHeight="1" x14ac:dyDescent="0.15">
      <c r="A535" s="284" t="s">
        <v>6431</v>
      </c>
      <c r="B535" s="157"/>
      <c r="C535" s="157"/>
      <c r="D535" s="157"/>
      <c r="E535" s="157"/>
      <c r="F535" s="157"/>
      <c r="G535" s="3"/>
      <c r="H535" s="156"/>
      <c r="I535" s="156"/>
      <c r="J535" s="156"/>
      <c r="K535" s="165"/>
      <c r="L535" s="165"/>
      <c r="M535" s="1"/>
      <c r="N535" s="164"/>
      <c r="O535" s="1"/>
      <c r="P535" s="153"/>
      <c r="Q535" s="39"/>
      <c r="R535" s="39"/>
      <c r="S535" s="39"/>
      <c r="T535" s="154"/>
      <c r="U535" s="40"/>
    </row>
    <row r="536" spans="1:21" ht="20" customHeight="1" x14ac:dyDescent="0.15">
      <c r="A536" s="284" t="s">
        <v>6432</v>
      </c>
      <c r="B536" s="157"/>
      <c r="C536" s="157"/>
      <c r="D536" s="157"/>
      <c r="E536" s="157"/>
      <c r="F536" s="157"/>
      <c r="G536" s="3"/>
      <c r="H536" s="156"/>
      <c r="I536" s="156"/>
      <c r="J536" s="156"/>
      <c r="K536" s="165"/>
      <c r="L536" s="165"/>
      <c r="M536" s="1"/>
      <c r="N536" s="164"/>
      <c r="O536" s="1"/>
      <c r="P536" s="153"/>
      <c r="Q536" s="39"/>
      <c r="R536" s="39"/>
      <c r="S536" s="39"/>
      <c r="T536" s="154"/>
      <c r="U536" s="40"/>
    </row>
    <row r="537" spans="1:21" ht="20" customHeight="1" x14ac:dyDescent="0.15">
      <c r="A537" s="284" t="s">
        <v>6433</v>
      </c>
      <c r="B537" s="157"/>
      <c r="C537" s="157"/>
      <c r="D537" s="157"/>
      <c r="E537" s="157"/>
      <c r="F537" s="157"/>
      <c r="G537" s="3"/>
      <c r="H537" s="156"/>
      <c r="I537" s="156"/>
      <c r="J537" s="156"/>
      <c r="K537" s="165"/>
      <c r="L537" s="165"/>
      <c r="M537" s="1"/>
      <c r="N537" s="164"/>
      <c r="O537" s="1"/>
      <c r="P537" s="153"/>
      <c r="Q537" s="39"/>
      <c r="R537" s="39"/>
      <c r="S537" s="39"/>
      <c r="T537" s="154"/>
      <c r="U537" s="40"/>
    </row>
    <row r="538" spans="1:21" ht="20" customHeight="1" x14ac:dyDescent="0.15">
      <c r="A538" s="284" t="s">
        <v>6434</v>
      </c>
      <c r="B538" s="157"/>
      <c r="C538" s="157"/>
      <c r="D538" s="157"/>
      <c r="E538" s="157"/>
      <c r="F538" s="157"/>
      <c r="G538" s="3"/>
      <c r="H538" s="156"/>
      <c r="I538" s="156"/>
      <c r="J538" s="156"/>
      <c r="K538" s="165"/>
      <c r="L538" s="165"/>
      <c r="M538" s="1"/>
      <c r="N538" s="164"/>
      <c r="O538" s="1"/>
      <c r="P538" s="153"/>
      <c r="Q538" s="39"/>
      <c r="R538" s="39"/>
      <c r="S538" s="39"/>
      <c r="T538" s="154"/>
      <c r="U538" s="40"/>
    </row>
    <row r="539" spans="1:21" ht="20" customHeight="1" x14ac:dyDescent="0.15">
      <c r="A539" s="284" t="s">
        <v>6435</v>
      </c>
      <c r="B539" s="157"/>
      <c r="C539" s="157"/>
      <c r="D539" s="157"/>
      <c r="E539" s="157"/>
      <c r="F539" s="157"/>
      <c r="G539" s="3"/>
      <c r="H539" s="156"/>
      <c r="I539" s="156"/>
      <c r="J539" s="156"/>
      <c r="K539" s="165"/>
      <c r="L539" s="165"/>
      <c r="M539" s="1"/>
      <c r="N539" s="164"/>
      <c r="O539" s="1"/>
      <c r="P539" s="153"/>
      <c r="Q539" s="39"/>
      <c r="R539" s="39"/>
      <c r="S539" s="39"/>
      <c r="T539" s="154"/>
      <c r="U539" s="40"/>
    </row>
    <row r="540" spans="1:21" ht="20" customHeight="1" x14ac:dyDescent="0.15">
      <c r="A540" s="284" t="s">
        <v>6436</v>
      </c>
      <c r="B540" s="157"/>
      <c r="C540" s="157"/>
      <c r="D540" s="157"/>
      <c r="E540" s="157"/>
      <c r="F540" s="157"/>
      <c r="G540" s="3"/>
      <c r="H540" s="156"/>
      <c r="I540" s="156"/>
      <c r="J540" s="156"/>
      <c r="K540" s="165"/>
      <c r="L540" s="165"/>
      <c r="M540" s="1"/>
      <c r="N540" s="164"/>
      <c r="O540" s="1"/>
      <c r="P540" s="153"/>
      <c r="Q540" s="39"/>
      <c r="R540" s="39"/>
      <c r="S540" s="39"/>
      <c r="T540" s="154"/>
      <c r="U540" s="40"/>
    </row>
    <row r="541" spans="1:21" ht="20" customHeight="1" x14ac:dyDescent="0.15">
      <c r="A541" s="284" t="s">
        <v>6437</v>
      </c>
      <c r="B541" s="157"/>
      <c r="C541" s="157"/>
      <c r="D541" s="157"/>
      <c r="E541" s="157"/>
      <c r="F541" s="157"/>
      <c r="G541" s="3"/>
      <c r="H541" s="156"/>
      <c r="I541" s="156"/>
      <c r="J541" s="156"/>
      <c r="K541" s="165"/>
      <c r="L541" s="165"/>
      <c r="M541" s="1"/>
      <c r="N541" s="164"/>
      <c r="O541" s="1"/>
      <c r="P541" s="153"/>
      <c r="Q541" s="39"/>
      <c r="R541" s="39"/>
      <c r="S541" s="39"/>
      <c r="T541" s="154"/>
      <c r="U541" s="40"/>
    </row>
    <row r="542" spans="1:21" ht="20" customHeight="1" x14ac:dyDescent="0.15">
      <c r="A542" s="284" t="s">
        <v>6438</v>
      </c>
      <c r="B542" s="157"/>
      <c r="C542" s="157"/>
      <c r="D542" s="157"/>
      <c r="E542" s="157"/>
      <c r="F542" s="157"/>
      <c r="G542" s="3"/>
      <c r="H542" s="156"/>
      <c r="I542" s="156"/>
      <c r="J542" s="156"/>
      <c r="K542" s="165"/>
      <c r="L542" s="165"/>
      <c r="M542" s="1"/>
      <c r="N542" s="164"/>
      <c r="O542" s="1"/>
      <c r="P542" s="153"/>
      <c r="Q542" s="39"/>
      <c r="R542" s="39"/>
      <c r="S542" s="39"/>
      <c r="T542" s="154"/>
      <c r="U542" s="40"/>
    </row>
    <row r="543" spans="1:21" ht="20" customHeight="1" x14ac:dyDescent="0.15">
      <c r="A543" s="284" t="s">
        <v>6439</v>
      </c>
      <c r="B543" s="157"/>
      <c r="C543" s="157"/>
      <c r="D543" s="157"/>
      <c r="E543" s="157"/>
      <c r="F543" s="157"/>
      <c r="G543" s="3"/>
      <c r="H543" s="156"/>
      <c r="I543" s="156"/>
      <c r="J543" s="156"/>
      <c r="K543" s="165"/>
      <c r="L543" s="165"/>
      <c r="M543" s="1"/>
      <c r="N543" s="164"/>
      <c r="O543" s="1"/>
      <c r="P543" s="153"/>
      <c r="Q543" s="39"/>
      <c r="R543" s="39"/>
      <c r="S543" s="39"/>
      <c r="T543" s="154"/>
      <c r="U543" s="40"/>
    </row>
    <row r="544" spans="1:21" ht="20" customHeight="1" x14ac:dyDescent="0.15">
      <c r="A544" s="284" t="s">
        <v>6440</v>
      </c>
      <c r="B544" s="157"/>
      <c r="C544" s="157"/>
      <c r="D544" s="157"/>
      <c r="E544" s="157"/>
      <c r="F544" s="157"/>
      <c r="G544" s="3"/>
      <c r="H544" s="156"/>
      <c r="I544" s="156"/>
      <c r="J544" s="156"/>
      <c r="K544" s="165"/>
      <c r="L544" s="165"/>
      <c r="M544" s="1"/>
      <c r="N544" s="164"/>
      <c r="O544" s="1"/>
      <c r="P544" s="153"/>
      <c r="Q544" s="39"/>
      <c r="R544" s="39"/>
      <c r="S544" s="39"/>
      <c r="T544" s="154"/>
      <c r="U544" s="40"/>
    </row>
    <row r="545" spans="1:21" ht="20" customHeight="1" x14ac:dyDescent="0.15">
      <c r="A545" s="284" t="s">
        <v>6441</v>
      </c>
      <c r="B545" s="157"/>
      <c r="C545" s="157"/>
      <c r="D545" s="157"/>
      <c r="E545" s="157"/>
      <c r="F545" s="157"/>
      <c r="G545" s="3"/>
      <c r="H545" s="156"/>
      <c r="I545" s="156"/>
      <c r="J545" s="156"/>
      <c r="K545" s="165"/>
      <c r="L545" s="165"/>
      <c r="M545" s="1"/>
      <c r="N545" s="164"/>
      <c r="O545" s="1"/>
      <c r="P545" s="153"/>
      <c r="Q545" s="39"/>
      <c r="R545" s="39"/>
      <c r="S545" s="39"/>
      <c r="T545" s="154"/>
      <c r="U545" s="40"/>
    </row>
    <row r="546" spans="1:21" ht="20" customHeight="1" x14ac:dyDescent="0.15">
      <c r="A546" s="284" t="s">
        <v>6442</v>
      </c>
      <c r="B546" s="157"/>
      <c r="C546" s="157"/>
      <c r="D546" s="157"/>
      <c r="E546" s="157"/>
      <c r="F546" s="157"/>
      <c r="G546" s="3"/>
      <c r="H546" s="156"/>
      <c r="I546" s="156"/>
      <c r="J546" s="156"/>
      <c r="K546" s="165"/>
      <c r="L546" s="165"/>
      <c r="M546" s="1"/>
      <c r="N546" s="164"/>
      <c r="O546" s="1"/>
      <c r="P546" s="153"/>
      <c r="Q546" s="39"/>
      <c r="R546" s="39"/>
      <c r="S546" s="39"/>
      <c r="T546" s="154"/>
      <c r="U546" s="40"/>
    </row>
    <row r="547" spans="1:21" ht="20" customHeight="1" x14ac:dyDescent="0.15">
      <c r="A547" s="284" t="s">
        <v>6443</v>
      </c>
      <c r="B547" s="157"/>
      <c r="C547" s="157"/>
      <c r="D547" s="157"/>
      <c r="E547" s="157"/>
      <c r="F547" s="157"/>
      <c r="G547" s="3"/>
      <c r="H547" s="156"/>
      <c r="I547" s="156"/>
      <c r="J547" s="156"/>
      <c r="K547" s="165"/>
      <c r="L547" s="165"/>
      <c r="M547" s="1"/>
      <c r="N547" s="164"/>
      <c r="O547" s="1"/>
      <c r="P547" s="153"/>
      <c r="Q547" s="39"/>
      <c r="R547" s="39"/>
      <c r="S547" s="39"/>
      <c r="T547" s="154"/>
      <c r="U547" s="40"/>
    </row>
    <row r="548" spans="1:21" ht="20" customHeight="1" x14ac:dyDescent="0.15">
      <c r="A548" s="284" t="s">
        <v>6444</v>
      </c>
      <c r="B548" s="157"/>
      <c r="C548" s="157"/>
      <c r="D548" s="157"/>
      <c r="E548" s="157"/>
      <c r="F548" s="157"/>
      <c r="G548" s="3"/>
      <c r="H548" s="156"/>
      <c r="I548" s="156"/>
      <c r="J548" s="156"/>
      <c r="K548" s="165"/>
      <c r="L548" s="165"/>
      <c r="M548" s="1"/>
      <c r="N548" s="164"/>
      <c r="O548" s="1"/>
      <c r="P548" s="153"/>
      <c r="Q548" s="39"/>
      <c r="R548" s="39"/>
      <c r="S548" s="39"/>
      <c r="T548" s="154"/>
      <c r="U548" s="40"/>
    </row>
    <row r="549" spans="1:21" ht="20" customHeight="1" x14ac:dyDescent="0.15">
      <c r="A549" s="284" t="s">
        <v>6445</v>
      </c>
      <c r="B549" s="157"/>
      <c r="C549" s="157"/>
      <c r="D549" s="157"/>
      <c r="E549" s="157"/>
      <c r="F549" s="157"/>
      <c r="G549" s="3"/>
      <c r="H549" s="156"/>
      <c r="I549" s="156"/>
      <c r="J549" s="156"/>
      <c r="K549" s="165"/>
      <c r="L549" s="165"/>
      <c r="M549" s="1"/>
      <c r="N549" s="164"/>
      <c r="O549" s="1"/>
      <c r="P549" s="153"/>
      <c r="Q549" s="39"/>
      <c r="R549" s="39"/>
      <c r="S549" s="39"/>
      <c r="T549" s="154"/>
      <c r="U549" s="40"/>
    </row>
    <row r="550" spans="1:21" ht="20" customHeight="1" x14ac:dyDescent="0.15">
      <c r="A550" s="284" t="s">
        <v>6446</v>
      </c>
      <c r="B550" s="157"/>
      <c r="C550" s="157"/>
      <c r="D550" s="157"/>
      <c r="E550" s="157"/>
      <c r="F550" s="157"/>
      <c r="G550" s="3"/>
      <c r="H550" s="156"/>
      <c r="I550" s="156"/>
      <c r="J550" s="156"/>
      <c r="K550" s="165"/>
      <c r="L550" s="165"/>
      <c r="M550" s="1"/>
      <c r="N550" s="164"/>
      <c r="O550" s="1"/>
      <c r="P550" s="153"/>
      <c r="Q550" s="39"/>
      <c r="R550" s="39"/>
      <c r="S550" s="39"/>
      <c r="T550" s="154"/>
      <c r="U550" s="40"/>
    </row>
    <row r="551" spans="1:21" ht="20" customHeight="1" x14ac:dyDescent="0.15">
      <c r="A551" s="284" t="s">
        <v>6447</v>
      </c>
      <c r="B551" s="157"/>
      <c r="C551" s="157"/>
      <c r="D551" s="157"/>
      <c r="E551" s="157"/>
      <c r="F551" s="157"/>
      <c r="G551" s="3"/>
      <c r="H551" s="156"/>
      <c r="I551" s="156"/>
      <c r="J551" s="156"/>
      <c r="K551" s="165"/>
      <c r="L551" s="165"/>
      <c r="M551" s="1"/>
      <c r="N551" s="164"/>
      <c r="O551" s="1"/>
      <c r="P551" s="153"/>
      <c r="Q551" s="39"/>
      <c r="R551" s="39"/>
      <c r="S551" s="39"/>
      <c r="T551" s="154"/>
      <c r="U551" s="40"/>
    </row>
    <row r="552" spans="1:21" ht="20" customHeight="1" x14ac:dyDescent="0.15">
      <c r="A552" s="284" t="s">
        <v>6448</v>
      </c>
      <c r="B552" s="157"/>
      <c r="C552" s="157"/>
      <c r="D552" s="157"/>
      <c r="E552" s="157"/>
      <c r="F552" s="157"/>
      <c r="G552" s="3"/>
      <c r="H552" s="156"/>
      <c r="I552" s="156"/>
      <c r="J552" s="156"/>
      <c r="K552" s="165"/>
      <c r="L552" s="165"/>
      <c r="M552" s="1"/>
      <c r="N552" s="164"/>
      <c r="O552" s="1"/>
      <c r="P552" s="153"/>
      <c r="Q552" s="39"/>
      <c r="R552" s="39"/>
      <c r="S552" s="39"/>
      <c r="T552" s="154"/>
      <c r="U552" s="40"/>
    </row>
    <row r="553" spans="1:21" ht="20" customHeight="1" x14ac:dyDescent="0.15">
      <c r="A553" s="284" t="s">
        <v>6449</v>
      </c>
      <c r="B553" s="157"/>
      <c r="C553" s="157"/>
      <c r="D553" s="157"/>
      <c r="E553" s="157"/>
      <c r="F553" s="157"/>
      <c r="G553" s="3"/>
      <c r="H553" s="156"/>
      <c r="I553" s="156"/>
      <c r="J553" s="156"/>
      <c r="K553" s="165"/>
      <c r="L553" s="165"/>
      <c r="M553" s="1"/>
      <c r="N553" s="164"/>
      <c r="O553" s="1"/>
      <c r="P553" s="153"/>
      <c r="Q553" s="39"/>
      <c r="R553" s="39"/>
      <c r="S553" s="39"/>
      <c r="T553" s="154"/>
      <c r="U553" s="40"/>
    </row>
    <row r="554" spans="1:21" ht="20" customHeight="1" x14ac:dyDescent="0.15">
      <c r="A554" s="284" t="s">
        <v>6450</v>
      </c>
      <c r="B554" s="157"/>
      <c r="C554" s="157"/>
      <c r="D554" s="157"/>
      <c r="E554" s="157"/>
      <c r="F554" s="157"/>
      <c r="G554" s="3"/>
      <c r="H554" s="156"/>
      <c r="I554" s="156"/>
      <c r="J554" s="156"/>
      <c r="K554" s="165"/>
      <c r="L554" s="165"/>
      <c r="M554" s="1"/>
      <c r="N554" s="164"/>
      <c r="O554" s="1"/>
      <c r="P554" s="153"/>
      <c r="Q554" s="39"/>
      <c r="R554" s="39"/>
      <c r="S554" s="39"/>
      <c r="T554" s="154"/>
      <c r="U554" s="40"/>
    </row>
    <row r="555" spans="1:21" ht="20" customHeight="1" x14ac:dyDescent="0.15">
      <c r="A555" s="284" t="s">
        <v>6451</v>
      </c>
      <c r="B555" s="157"/>
      <c r="C555" s="157"/>
      <c r="D555" s="157"/>
      <c r="E555" s="157"/>
      <c r="F555" s="157"/>
      <c r="G555" s="3"/>
      <c r="H555" s="156"/>
      <c r="I555" s="156"/>
      <c r="J555" s="156"/>
      <c r="K555" s="165"/>
      <c r="L555" s="165"/>
      <c r="M555" s="1"/>
      <c r="N555" s="164"/>
      <c r="O555" s="1"/>
      <c r="P555" s="153"/>
      <c r="Q555" s="39"/>
      <c r="R555" s="39"/>
      <c r="S555" s="39"/>
      <c r="T555" s="154"/>
      <c r="U555" s="40"/>
    </row>
    <row r="556" spans="1:21" ht="20" customHeight="1" x14ac:dyDescent="0.15">
      <c r="A556" s="284" t="s">
        <v>6452</v>
      </c>
      <c r="B556" s="157"/>
      <c r="C556" s="157"/>
      <c r="D556" s="157"/>
      <c r="E556" s="157"/>
      <c r="F556" s="157"/>
      <c r="G556" s="3"/>
      <c r="H556" s="156"/>
      <c r="I556" s="156"/>
      <c r="J556" s="156"/>
      <c r="K556" s="165"/>
      <c r="L556" s="165"/>
      <c r="M556" s="1"/>
      <c r="N556" s="164"/>
      <c r="O556" s="1"/>
      <c r="P556" s="153"/>
      <c r="Q556" s="39"/>
      <c r="R556" s="39"/>
      <c r="S556" s="39"/>
      <c r="T556" s="154"/>
      <c r="U556" s="40"/>
    </row>
    <row r="557" spans="1:21" ht="20" customHeight="1" x14ac:dyDescent="0.15">
      <c r="A557" s="284" t="s">
        <v>6453</v>
      </c>
      <c r="B557" s="157"/>
      <c r="C557" s="157"/>
      <c r="D557" s="157"/>
      <c r="E557" s="157"/>
      <c r="F557" s="157"/>
      <c r="G557" s="3"/>
      <c r="H557" s="156"/>
      <c r="I557" s="156"/>
      <c r="J557" s="156"/>
      <c r="K557" s="165"/>
      <c r="L557" s="165"/>
      <c r="M557" s="1"/>
      <c r="N557" s="164"/>
      <c r="O557" s="1"/>
      <c r="P557" s="153"/>
      <c r="Q557" s="39"/>
      <c r="R557" s="39"/>
      <c r="S557" s="39"/>
      <c r="T557" s="154"/>
      <c r="U557" s="40"/>
    </row>
    <row r="558" spans="1:21" ht="20" customHeight="1" x14ac:dyDescent="0.15">
      <c r="A558" s="284" t="s">
        <v>6454</v>
      </c>
      <c r="B558" s="157"/>
      <c r="C558" s="157"/>
      <c r="D558" s="157"/>
      <c r="E558" s="157"/>
      <c r="F558" s="157"/>
      <c r="G558" s="3"/>
      <c r="H558" s="156"/>
      <c r="I558" s="156"/>
      <c r="J558" s="156"/>
      <c r="K558" s="165"/>
      <c r="L558" s="165"/>
      <c r="M558" s="1"/>
      <c r="N558" s="164"/>
      <c r="O558" s="1"/>
      <c r="P558" s="153"/>
      <c r="Q558" s="39"/>
      <c r="R558" s="39"/>
      <c r="S558" s="39"/>
      <c r="T558" s="154"/>
      <c r="U558" s="40"/>
    </row>
    <row r="559" spans="1:21" ht="20" customHeight="1" x14ac:dyDescent="0.15">
      <c r="A559" s="284" t="s">
        <v>6455</v>
      </c>
      <c r="B559" s="157"/>
      <c r="C559" s="157"/>
      <c r="D559" s="157"/>
      <c r="E559" s="157"/>
      <c r="F559" s="157"/>
      <c r="G559" s="3"/>
      <c r="H559" s="156"/>
      <c r="I559" s="156"/>
      <c r="J559" s="156"/>
      <c r="K559" s="165"/>
      <c r="L559" s="165"/>
      <c r="M559" s="1"/>
      <c r="N559" s="164"/>
      <c r="O559" s="1"/>
      <c r="P559" s="153"/>
      <c r="Q559" s="39"/>
      <c r="R559" s="39"/>
      <c r="S559" s="39"/>
      <c r="T559" s="154"/>
      <c r="U559" s="40"/>
    </row>
    <row r="560" spans="1:21" ht="20" customHeight="1" x14ac:dyDescent="0.15">
      <c r="A560" s="284" t="s">
        <v>6456</v>
      </c>
      <c r="B560" s="157"/>
      <c r="C560" s="157"/>
      <c r="D560" s="157"/>
      <c r="E560" s="157"/>
      <c r="F560" s="157"/>
      <c r="G560" s="3"/>
      <c r="H560" s="156"/>
      <c r="I560" s="156"/>
      <c r="J560" s="156"/>
      <c r="K560" s="165"/>
      <c r="L560" s="165"/>
      <c r="M560" s="1"/>
      <c r="N560" s="164"/>
      <c r="O560" s="1"/>
      <c r="P560" s="153"/>
      <c r="Q560" s="39"/>
      <c r="R560" s="39"/>
      <c r="S560" s="39"/>
      <c r="T560" s="154"/>
      <c r="U560" s="40"/>
    </row>
    <row r="561" spans="1:21" ht="20" customHeight="1" x14ac:dyDescent="0.15">
      <c r="A561" s="284" t="s">
        <v>6457</v>
      </c>
      <c r="B561" s="157"/>
      <c r="C561" s="157"/>
      <c r="D561" s="157"/>
      <c r="E561" s="157"/>
      <c r="F561" s="157"/>
      <c r="G561" s="3"/>
      <c r="H561" s="156"/>
      <c r="I561" s="156"/>
      <c r="J561" s="156"/>
      <c r="K561" s="165"/>
      <c r="L561" s="165"/>
      <c r="M561" s="1"/>
      <c r="N561" s="164"/>
      <c r="O561" s="1"/>
      <c r="P561" s="153"/>
      <c r="Q561" s="39"/>
      <c r="R561" s="39"/>
      <c r="S561" s="39"/>
      <c r="T561" s="154"/>
      <c r="U561" s="40"/>
    </row>
    <row r="562" spans="1:21" ht="20" customHeight="1" x14ac:dyDescent="0.15">
      <c r="A562" s="284" t="s">
        <v>6458</v>
      </c>
      <c r="B562" s="157"/>
      <c r="C562" s="157"/>
      <c r="D562" s="157"/>
      <c r="E562" s="157"/>
      <c r="F562" s="157"/>
      <c r="G562" s="3"/>
      <c r="H562" s="156"/>
      <c r="I562" s="156"/>
      <c r="J562" s="156"/>
      <c r="K562" s="165"/>
      <c r="L562" s="165"/>
      <c r="M562" s="1"/>
      <c r="N562" s="164"/>
      <c r="O562" s="1"/>
      <c r="P562" s="153"/>
      <c r="Q562" s="39"/>
      <c r="R562" s="39"/>
      <c r="S562" s="39"/>
      <c r="T562" s="154"/>
      <c r="U562" s="40"/>
    </row>
    <row r="563" spans="1:21" ht="20" customHeight="1" x14ac:dyDescent="0.15">
      <c r="A563" s="284" t="s">
        <v>6459</v>
      </c>
      <c r="B563" s="157"/>
      <c r="C563" s="157"/>
      <c r="D563" s="157"/>
      <c r="E563" s="157"/>
      <c r="F563" s="157"/>
      <c r="G563" s="3"/>
      <c r="H563" s="156"/>
      <c r="I563" s="156"/>
      <c r="J563" s="156"/>
      <c r="K563" s="165"/>
      <c r="L563" s="165"/>
      <c r="M563" s="1"/>
      <c r="N563" s="164"/>
      <c r="O563" s="1"/>
      <c r="P563" s="153"/>
      <c r="Q563" s="39"/>
      <c r="R563" s="39"/>
      <c r="S563" s="39"/>
      <c r="T563" s="154"/>
      <c r="U563" s="40"/>
    </row>
    <row r="564" spans="1:21" ht="20" customHeight="1" x14ac:dyDescent="0.15">
      <c r="A564" s="284" t="s">
        <v>6460</v>
      </c>
      <c r="B564" s="157"/>
      <c r="C564" s="157"/>
      <c r="D564" s="157"/>
      <c r="E564" s="157"/>
      <c r="F564" s="157"/>
      <c r="G564" s="3"/>
      <c r="H564" s="156"/>
      <c r="I564" s="156"/>
      <c r="J564" s="156"/>
      <c r="K564" s="165"/>
      <c r="L564" s="165"/>
      <c r="M564" s="1"/>
      <c r="N564" s="164"/>
      <c r="O564" s="1"/>
      <c r="P564" s="153"/>
      <c r="Q564" s="39"/>
      <c r="R564" s="39"/>
      <c r="S564" s="39"/>
      <c r="T564" s="154"/>
      <c r="U564" s="40"/>
    </row>
    <row r="565" spans="1:21" ht="20" customHeight="1" x14ac:dyDescent="0.15">
      <c r="A565" s="284" t="s">
        <v>6461</v>
      </c>
      <c r="B565" s="157"/>
      <c r="C565" s="157"/>
      <c r="D565" s="157"/>
      <c r="E565" s="157"/>
      <c r="F565" s="157"/>
      <c r="G565" s="3"/>
      <c r="H565" s="156"/>
      <c r="I565" s="156"/>
      <c r="J565" s="156"/>
      <c r="K565" s="165"/>
      <c r="L565" s="165"/>
      <c r="M565" s="1"/>
      <c r="N565" s="164"/>
      <c r="O565" s="1"/>
      <c r="P565" s="153"/>
      <c r="Q565" s="39"/>
      <c r="R565" s="39"/>
      <c r="S565" s="39"/>
      <c r="T565" s="154"/>
      <c r="U565" s="40"/>
    </row>
    <row r="566" spans="1:21" ht="20" customHeight="1" x14ac:dyDescent="0.15">
      <c r="A566" s="284" t="s">
        <v>6462</v>
      </c>
      <c r="B566" s="157"/>
      <c r="C566" s="157"/>
      <c r="D566" s="157"/>
      <c r="E566" s="157"/>
      <c r="F566" s="157"/>
      <c r="G566" s="3"/>
      <c r="H566" s="156"/>
      <c r="I566" s="156"/>
      <c r="J566" s="156"/>
      <c r="K566" s="165"/>
      <c r="L566" s="165"/>
      <c r="M566" s="1"/>
      <c r="N566" s="164"/>
      <c r="O566" s="1"/>
      <c r="P566" s="153"/>
      <c r="Q566" s="39"/>
      <c r="R566" s="39"/>
      <c r="S566" s="39"/>
      <c r="T566" s="154"/>
      <c r="U566" s="40"/>
    </row>
    <row r="567" spans="1:21" ht="20" customHeight="1" x14ac:dyDescent="0.15">
      <c r="A567" s="284" t="s">
        <v>6463</v>
      </c>
      <c r="B567" s="157"/>
      <c r="C567" s="157"/>
      <c r="D567" s="157"/>
      <c r="E567" s="157"/>
      <c r="F567" s="157"/>
      <c r="G567" s="3"/>
      <c r="H567" s="156"/>
      <c r="I567" s="156"/>
      <c r="J567" s="156"/>
      <c r="K567" s="165"/>
      <c r="L567" s="165"/>
      <c r="M567" s="1"/>
      <c r="N567" s="164"/>
      <c r="O567" s="1"/>
      <c r="P567" s="153"/>
      <c r="Q567" s="39"/>
      <c r="R567" s="39"/>
      <c r="S567" s="39"/>
      <c r="T567" s="154"/>
      <c r="U567" s="40"/>
    </row>
    <row r="568" spans="1:21" ht="20" customHeight="1" x14ac:dyDescent="0.15">
      <c r="A568" s="284" t="s">
        <v>6464</v>
      </c>
      <c r="B568" s="157"/>
      <c r="C568" s="157"/>
      <c r="D568" s="157"/>
      <c r="E568" s="157"/>
      <c r="F568" s="157"/>
      <c r="G568" s="3"/>
      <c r="H568" s="156"/>
      <c r="I568" s="156"/>
      <c r="J568" s="156"/>
      <c r="K568" s="165"/>
      <c r="L568" s="165"/>
      <c r="M568" s="1"/>
      <c r="N568" s="164"/>
      <c r="O568" s="1"/>
      <c r="P568" s="153"/>
      <c r="Q568" s="39"/>
      <c r="R568" s="39"/>
      <c r="S568" s="39"/>
      <c r="T568" s="154"/>
      <c r="U568" s="40"/>
    </row>
    <row r="569" spans="1:21" ht="20" customHeight="1" x14ac:dyDescent="0.15">
      <c r="A569" s="284" t="s">
        <v>6465</v>
      </c>
      <c r="B569" s="157"/>
      <c r="C569" s="157"/>
      <c r="D569" s="157"/>
      <c r="E569" s="157"/>
      <c r="F569" s="157"/>
      <c r="G569" s="3"/>
      <c r="H569" s="156"/>
      <c r="I569" s="156"/>
      <c r="J569" s="156"/>
      <c r="K569" s="165"/>
      <c r="L569" s="165"/>
      <c r="M569" s="1"/>
      <c r="N569" s="164"/>
      <c r="O569" s="1"/>
      <c r="P569" s="153"/>
      <c r="Q569" s="39"/>
      <c r="R569" s="39"/>
      <c r="S569" s="39"/>
      <c r="T569" s="154"/>
      <c r="U569" s="40"/>
    </row>
    <row r="570" spans="1:21" ht="20" customHeight="1" x14ac:dyDescent="0.15">
      <c r="A570" s="284" t="s">
        <v>6466</v>
      </c>
      <c r="B570" s="157"/>
      <c r="C570" s="157"/>
      <c r="D570" s="157"/>
      <c r="E570" s="157"/>
      <c r="F570" s="157"/>
      <c r="G570" s="3"/>
      <c r="H570" s="156"/>
      <c r="I570" s="156"/>
      <c r="J570" s="156"/>
      <c r="K570" s="165"/>
      <c r="L570" s="165"/>
      <c r="M570" s="1"/>
      <c r="N570" s="164"/>
      <c r="O570" s="1"/>
      <c r="P570" s="153"/>
      <c r="Q570" s="39"/>
      <c r="R570" s="39"/>
      <c r="S570" s="39"/>
      <c r="T570" s="154"/>
      <c r="U570" s="40"/>
    </row>
    <row r="571" spans="1:21" ht="20" customHeight="1" x14ac:dyDescent="0.15">
      <c r="A571" s="284" t="s">
        <v>6467</v>
      </c>
      <c r="B571" s="157"/>
      <c r="C571" s="157"/>
      <c r="D571" s="157"/>
      <c r="E571" s="157"/>
      <c r="F571" s="157"/>
      <c r="G571" s="3"/>
      <c r="H571" s="156"/>
      <c r="I571" s="156"/>
      <c r="J571" s="156"/>
      <c r="K571" s="165"/>
      <c r="L571" s="165"/>
      <c r="M571" s="1"/>
      <c r="N571" s="164"/>
      <c r="O571" s="1"/>
      <c r="P571" s="153"/>
      <c r="Q571" s="39"/>
      <c r="R571" s="39"/>
      <c r="S571" s="39"/>
      <c r="T571" s="154"/>
      <c r="U571" s="40"/>
    </row>
    <row r="572" spans="1:21" ht="20" customHeight="1" x14ac:dyDescent="0.15">
      <c r="A572" s="284" t="s">
        <v>6468</v>
      </c>
      <c r="B572" s="157"/>
      <c r="C572" s="157"/>
      <c r="D572" s="157"/>
      <c r="E572" s="157"/>
      <c r="F572" s="157"/>
      <c r="G572" s="3"/>
      <c r="H572" s="156"/>
      <c r="I572" s="156"/>
      <c r="J572" s="156"/>
      <c r="K572" s="165"/>
      <c r="L572" s="165"/>
      <c r="M572" s="1"/>
      <c r="N572" s="164"/>
      <c r="O572" s="1"/>
      <c r="P572" s="153"/>
      <c r="Q572" s="39"/>
      <c r="R572" s="39"/>
      <c r="S572" s="39"/>
      <c r="T572" s="154"/>
      <c r="U572" s="40"/>
    </row>
    <row r="573" spans="1:21" ht="20" customHeight="1" x14ac:dyDescent="0.15">
      <c r="A573" s="284" t="s">
        <v>6469</v>
      </c>
      <c r="B573" s="157"/>
      <c r="C573" s="157"/>
      <c r="D573" s="157"/>
      <c r="E573" s="157"/>
      <c r="F573" s="157"/>
      <c r="G573" s="3"/>
      <c r="H573" s="156"/>
      <c r="I573" s="156"/>
      <c r="J573" s="156"/>
      <c r="K573" s="165"/>
      <c r="L573" s="165"/>
      <c r="M573" s="1"/>
      <c r="N573" s="164"/>
      <c r="O573" s="1"/>
      <c r="P573" s="153"/>
      <c r="Q573" s="39"/>
      <c r="R573" s="39"/>
      <c r="S573" s="39"/>
      <c r="T573" s="154"/>
      <c r="U573" s="40"/>
    </row>
    <row r="574" spans="1:21" ht="20" customHeight="1" x14ac:dyDescent="0.15">
      <c r="A574" s="284" t="s">
        <v>6470</v>
      </c>
      <c r="B574" s="157"/>
      <c r="C574" s="157"/>
      <c r="D574" s="157"/>
      <c r="E574" s="157"/>
      <c r="F574" s="157"/>
      <c r="G574" s="3"/>
      <c r="H574" s="156"/>
      <c r="I574" s="156"/>
      <c r="J574" s="156"/>
      <c r="K574" s="165"/>
      <c r="L574" s="165"/>
      <c r="M574" s="1"/>
      <c r="N574" s="164"/>
      <c r="O574" s="1"/>
      <c r="P574" s="153"/>
      <c r="Q574" s="39"/>
      <c r="R574" s="39"/>
      <c r="S574" s="39"/>
      <c r="T574" s="154"/>
      <c r="U574" s="40"/>
    </row>
    <row r="575" spans="1:21" ht="20" customHeight="1" x14ac:dyDescent="0.15">
      <c r="A575" s="284" t="s">
        <v>6471</v>
      </c>
      <c r="B575" s="157"/>
      <c r="C575" s="157"/>
      <c r="D575" s="157"/>
      <c r="E575" s="157"/>
      <c r="F575" s="157"/>
      <c r="G575" s="3"/>
      <c r="H575" s="156"/>
      <c r="I575" s="156"/>
      <c r="J575" s="156"/>
      <c r="K575" s="165"/>
      <c r="L575" s="165"/>
      <c r="M575" s="1"/>
      <c r="N575" s="164"/>
      <c r="O575" s="1"/>
      <c r="P575" s="153"/>
      <c r="Q575" s="39"/>
      <c r="R575" s="39"/>
      <c r="S575" s="39"/>
      <c r="T575" s="154"/>
      <c r="U575" s="40"/>
    </row>
    <row r="576" spans="1:21" ht="20" customHeight="1" x14ac:dyDescent="0.15">
      <c r="A576" s="284" t="s">
        <v>6472</v>
      </c>
      <c r="B576" s="157"/>
      <c r="C576" s="157"/>
      <c r="D576" s="157"/>
      <c r="E576" s="157"/>
      <c r="F576" s="157"/>
      <c r="G576" s="3"/>
      <c r="H576" s="156"/>
      <c r="I576" s="156"/>
      <c r="J576" s="156"/>
      <c r="K576" s="165"/>
      <c r="L576" s="165"/>
      <c r="M576" s="1"/>
      <c r="N576" s="164"/>
      <c r="O576" s="1"/>
      <c r="P576" s="153"/>
      <c r="Q576" s="39"/>
      <c r="R576" s="39"/>
      <c r="S576" s="39"/>
      <c r="T576" s="154"/>
      <c r="U576" s="40"/>
    </row>
    <row r="577" spans="1:21" ht="20" customHeight="1" x14ac:dyDescent="0.15">
      <c r="A577" s="284" t="s">
        <v>6473</v>
      </c>
      <c r="B577" s="157"/>
      <c r="C577" s="157"/>
      <c r="D577" s="157"/>
      <c r="E577" s="157"/>
      <c r="F577" s="157"/>
      <c r="G577" s="3"/>
      <c r="H577" s="156"/>
      <c r="I577" s="156"/>
      <c r="J577" s="156"/>
      <c r="K577" s="165"/>
      <c r="L577" s="165"/>
      <c r="M577" s="1"/>
      <c r="N577" s="164"/>
      <c r="O577" s="1"/>
      <c r="P577" s="153"/>
      <c r="Q577" s="39"/>
      <c r="R577" s="39"/>
      <c r="S577" s="39"/>
      <c r="T577" s="154"/>
      <c r="U577" s="40"/>
    </row>
    <row r="578" spans="1:21" ht="20" customHeight="1" x14ac:dyDescent="0.15">
      <c r="A578" s="284" t="s">
        <v>6474</v>
      </c>
      <c r="B578" s="157"/>
      <c r="C578" s="157"/>
      <c r="D578" s="157"/>
      <c r="E578" s="157"/>
      <c r="F578" s="157"/>
      <c r="G578" s="3"/>
      <c r="H578" s="156"/>
      <c r="I578" s="156"/>
      <c r="J578" s="156"/>
      <c r="K578" s="165"/>
      <c r="L578" s="165"/>
      <c r="M578" s="1"/>
      <c r="N578" s="164"/>
      <c r="O578" s="1"/>
      <c r="P578" s="153"/>
      <c r="Q578" s="39"/>
      <c r="R578" s="39"/>
      <c r="S578" s="39"/>
      <c r="T578" s="154"/>
      <c r="U578" s="40"/>
    </row>
    <row r="579" spans="1:21" ht="20" customHeight="1" x14ac:dyDescent="0.15">
      <c r="A579" s="284" t="s">
        <v>6475</v>
      </c>
      <c r="B579" s="157"/>
      <c r="C579" s="157"/>
      <c r="D579" s="157"/>
      <c r="E579" s="157"/>
      <c r="F579" s="157"/>
      <c r="G579" s="3"/>
      <c r="H579" s="156"/>
      <c r="I579" s="156"/>
      <c r="J579" s="156"/>
      <c r="K579" s="165"/>
      <c r="L579" s="165"/>
      <c r="M579" s="1"/>
      <c r="N579" s="164"/>
      <c r="O579" s="1"/>
      <c r="P579" s="153"/>
      <c r="Q579" s="39"/>
      <c r="R579" s="39"/>
      <c r="S579" s="39"/>
      <c r="T579" s="154"/>
      <c r="U579" s="40"/>
    </row>
    <row r="580" spans="1:21" ht="20" customHeight="1" x14ac:dyDescent="0.15">
      <c r="A580" s="284" t="s">
        <v>6476</v>
      </c>
      <c r="B580" s="157"/>
      <c r="C580" s="157"/>
      <c r="D580" s="157"/>
      <c r="E580" s="157"/>
      <c r="F580" s="157"/>
      <c r="G580" s="3"/>
      <c r="H580" s="156"/>
      <c r="I580" s="156"/>
      <c r="J580" s="156"/>
      <c r="K580" s="165"/>
      <c r="L580" s="165"/>
      <c r="M580" s="1"/>
      <c r="N580" s="164"/>
      <c r="O580" s="1"/>
      <c r="P580" s="153"/>
      <c r="Q580" s="39"/>
      <c r="R580" s="39"/>
      <c r="S580" s="39"/>
      <c r="T580" s="154"/>
      <c r="U580" s="40"/>
    </row>
    <row r="581" spans="1:21" ht="20" customHeight="1" x14ac:dyDescent="0.15">
      <c r="A581" s="284" t="s">
        <v>6477</v>
      </c>
      <c r="B581" s="157"/>
      <c r="C581" s="157"/>
      <c r="D581" s="157"/>
      <c r="E581" s="157"/>
      <c r="F581" s="157"/>
      <c r="G581" s="3"/>
      <c r="H581" s="156"/>
      <c r="I581" s="156"/>
      <c r="J581" s="156"/>
      <c r="K581" s="165"/>
      <c r="L581" s="165"/>
      <c r="M581" s="1"/>
      <c r="N581" s="164"/>
      <c r="O581" s="1"/>
      <c r="P581" s="153"/>
      <c r="Q581" s="39"/>
      <c r="R581" s="39"/>
      <c r="S581" s="39"/>
      <c r="T581" s="154"/>
      <c r="U581" s="40"/>
    </row>
    <row r="582" spans="1:21" ht="20" customHeight="1" x14ac:dyDescent="0.15">
      <c r="A582" s="284" t="s">
        <v>6478</v>
      </c>
      <c r="B582" s="157"/>
      <c r="C582" s="157"/>
      <c r="D582" s="157"/>
      <c r="E582" s="157"/>
      <c r="F582" s="157"/>
      <c r="G582" s="3"/>
      <c r="H582" s="156"/>
      <c r="I582" s="156"/>
      <c r="J582" s="156"/>
      <c r="K582" s="165"/>
      <c r="L582" s="165"/>
      <c r="M582" s="1"/>
      <c r="N582" s="164"/>
      <c r="O582" s="1"/>
      <c r="P582" s="153"/>
      <c r="Q582" s="39"/>
      <c r="R582" s="39"/>
      <c r="S582" s="39"/>
      <c r="T582" s="154"/>
      <c r="U582" s="40"/>
    </row>
    <row r="583" spans="1:21" ht="20" customHeight="1" x14ac:dyDescent="0.15">
      <c r="A583" s="284" t="s">
        <v>6479</v>
      </c>
      <c r="B583" s="157"/>
      <c r="C583" s="157"/>
      <c r="D583" s="157"/>
      <c r="E583" s="157"/>
      <c r="F583" s="157"/>
      <c r="G583" s="3"/>
      <c r="H583" s="156"/>
      <c r="I583" s="156"/>
      <c r="J583" s="156"/>
      <c r="K583" s="165"/>
      <c r="L583" s="165"/>
      <c r="M583" s="1"/>
      <c r="N583" s="164"/>
      <c r="O583" s="1"/>
      <c r="P583" s="153"/>
      <c r="Q583" s="39"/>
      <c r="R583" s="39"/>
      <c r="S583" s="39"/>
      <c r="T583" s="154"/>
      <c r="U583" s="40"/>
    </row>
    <row r="584" spans="1:21" ht="20" customHeight="1" x14ac:dyDescent="0.15">
      <c r="A584" s="284" t="s">
        <v>6480</v>
      </c>
      <c r="B584" s="157"/>
      <c r="C584" s="157"/>
      <c r="D584" s="157"/>
      <c r="E584" s="157"/>
      <c r="F584" s="157"/>
      <c r="G584" s="3"/>
      <c r="H584" s="156"/>
      <c r="I584" s="156"/>
      <c r="J584" s="156"/>
      <c r="K584" s="165"/>
      <c r="L584" s="165"/>
      <c r="M584" s="1"/>
      <c r="N584" s="164"/>
      <c r="O584" s="1"/>
      <c r="P584" s="153"/>
      <c r="Q584" s="39"/>
      <c r="R584" s="39"/>
      <c r="S584" s="39"/>
      <c r="T584" s="154"/>
      <c r="U584" s="40"/>
    </row>
    <row r="585" spans="1:21" ht="20" customHeight="1" x14ac:dyDescent="0.15">
      <c r="A585" s="284" t="s">
        <v>6481</v>
      </c>
      <c r="B585" s="157"/>
      <c r="C585" s="157"/>
      <c r="D585" s="157"/>
      <c r="E585" s="157"/>
      <c r="F585" s="157"/>
      <c r="G585" s="3"/>
      <c r="H585" s="156"/>
      <c r="I585" s="156"/>
      <c r="J585" s="156"/>
      <c r="K585" s="165"/>
      <c r="L585" s="165"/>
      <c r="M585" s="1"/>
      <c r="N585" s="164"/>
      <c r="O585" s="1"/>
      <c r="P585" s="153"/>
      <c r="Q585" s="39"/>
      <c r="R585" s="39"/>
      <c r="S585" s="39"/>
      <c r="T585" s="154"/>
      <c r="U585" s="40"/>
    </row>
    <row r="586" spans="1:21" ht="20" customHeight="1" x14ac:dyDescent="0.15">
      <c r="A586" s="284" t="s">
        <v>6482</v>
      </c>
      <c r="B586" s="157"/>
      <c r="C586" s="157"/>
      <c r="D586" s="157"/>
      <c r="E586" s="157"/>
      <c r="F586" s="157"/>
      <c r="G586" s="3"/>
      <c r="H586" s="156"/>
      <c r="I586" s="156"/>
      <c r="J586" s="156"/>
      <c r="K586" s="165"/>
      <c r="L586" s="165"/>
      <c r="M586" s="1"/>
      <c r="N586" s="164"/>
      <c r="O586" s="1"/>
      <c r="P586" s="153"/>
      <c r="Q586" s="39"/>
      <c r="R586" s="39"/>
      <c r="S586" s="39"/>
      <c r="T586" s="154"/>
      <c r="U586" s="40"/>
    </row>
    <row r="587" spans="1:21" ht="20" customHeight="1" x14ac:dyDescent="0.15">
      <c r="A587" s="284" t="s">
        <v>6483</v>
      </c>
      <c r="B587" s="157"/>
      <c r="C587" s="157"/>
      <c r="D587" s="157"/>
      <c r="E587" s="157"/>
      <c r="F587" s="157"/>
      <c r="G587" s="3"/>
      <c r="H587" s="156"/>
      <c r="I587" s="156"/>
      <c r="J587" s="156"/>
      <c r="K587" s="165"/>
      <c r="L587" s="165"/>
      <c r="M587" s="1"/>
      <c r="N587" s="164"/>
      <c r="O587" s="1"/>
      <c r="P587" s="153"/>
      <c r="Q587" s="39"/>
      <c r="R587" s="39"/>
      <c r="S587" s="39"/>
      <c r="T587" s="154"/>
      <c r="U587" s="40"/>
    </row>
    <row r="588" spans="1:21" ht="20" customHeight="1" x14ac:dyDescent="0.15">
      <c r="A588" s="284" t="s">
        <v>6484</v>
      </c>
      <c r="B588" s="157"/>
      <c r="C588" s="157"/>
      <c r="D588" s="157"/>
      <c r="E588" s="157"/>
      <c r="F588" s="157"/>
      <c r="G588" s="3"/>
      <c r="H588" s="156"/>
      <c r="I588" s="156"/>
      <c r="J588" s="156"/>
      <c r="K588" s="165"/>
      <c r="L588" s="165"/>
      <c r="M588" s="1"/>
      <c r="N588" s="164"/>
      <c r="O588" s="1"/>
      <c r="P588" s="153"/>
      <c r="Q588" s="39"/>
      <c r="R588" s="39"/>
      <c r="S588" s="39"/>
      <c r="T588" s="154"/>
      <c r="U588" s="40"/>
    </row>
    <row r="589" spans="1:21" ht="20" customHeight="1" x14ac:dyDescent="0.15">
      <c r="A589" s="284" t="s">
        <v>6485</v>
      </c>
      <c r="B589" s="157"/>
      <c r="C589" s="157"/>
      <c r="D589" s="157"/>
      <c r="E589" s="157"/>
      <c r="F589" s="157"/>
      <c r="G589" s="3"/>
      <c r="H589" s="156"/>
      <c r="I589" s="156"/>
      <c r="J589" s="156"/>
      <c r="K589" s="165"/>
      <c r="L589" s="165"/>
      <c r="M589" s="1"/>
      <c r="N589" s="164"/>
      <c r="O589" s="1"/>
      <c r="P589" s="153"/>
      <c r="Q589" s="39"/>
      <c r="R589" s="39"/>
      <c r="S589" s="39"/>
      <c r="T589" s="154"/>
      <c r="U589" s="40"/>
    </row>
    <row r="590" spans="1:21" ht="20" customHeight="1" x14ac:dyDescent="0.15">
      <c r="A590" s="284" t="s">
        <v>6486</v>
      </c>
      <c r="B590" s="157"/>
      <c r="C590" s="157"/>
      <c r="D590" s="157"/>
      <c r="E590" s="157"/>
      <c r="F590" s="157"/>
      <c r="G590" s="3"/>
      <c r="H590" s="156"/>
      <c r="I590" s="156"/>
      <c r="J590" s="156"/>
      <c r="K590" s="165"/>
      <c r="L590" s="165"/>
      <c r="M590" s="1"/>
      <c r="N590" s="164"/>
      <c r="O590" s="1"/>
      <c r="P590" s="153"/>
      <c r="Q590" s="39"/>
      <c r="R590" s="39"/>
      <c r="S590" s="39"/>
      <c r="T590" s="154"/>
      <c r="U590" s="40"/>
    </row>
    <row r="591" spans="1:21" ht="20" customHeight="1" x14ac:dyDescent="0.15">
      <c r="A591" s="284" t="s">
        <v>6487</v>
      </c>
      <c r="B591" s="157"/>
      <c r="C591" s="157"/>
      <c r="D591" s="157"/>
      <c r="E591" s="157"/>
      <c r="F591" s="157"/>
      <c r="G591" s="3"/>
      <c r="H591" s="156"/>
      <c r="I591" s="156"/>
      <c r="J591" s="156"/>
      <c r="K591" s="165"/>
      <c r="L591" s="165"/>
      <c r="M591" s="1"/>
      <c r="N591" s="164"/>
      <c r="O591" s="1"/>
      <c r="P591" s="153"/>
      <c r="Q591" s="39"/>
      <c r="R591" s="39"/>
      <c r="S591" s="39"/>
      <c r="T591" s="154"/>
      <c r="U591" s="40"/>
    </row>
    <row r="592" spans="1:21" ht="20" customHeight="1" x14ac:dyDescent="0.15">
      <c r="A592" s="284" t="s">
        <v>6488</v>
      </c>
      <c r="B592" s="157"/>
      <c r="C592" s="157"/>
      <c r="D592" s="157"/>
      <c r="E592" s="157"/>
      <c r="F592" s="157"/>
      <c r="G592" s="3"/>
      <c r="H592" s="156"/>
      <c r="I592" s="156"/>
      <c r="J592" s="156"/>
      <c r="K592" s="165"/>
      <c r="L592" s="165"/>
      <c r="M592" s="1"/>
      <c r="N592" s="164"/>
      <c r="O592" s="1"/>
      <c r="P592" s="153"/>
      <c r="Q592" s="39"/>
      <c r="R592" s="39"/>
      <c r="S592" s="39"/>
      <c r="T592" s="154"/>
      <c r="U592" s="40"/>
    </row>
    <row r="593" spans="1:21" ht="20" customHeight="1" x14ac:dyDescent="0.15">
      <c r="A593" s="284" t="s">
        <v>6489</v>
      </c>
      <c r="B593" s="157"/>
      <c r="C593" s="157"/>
      <c r="D593" s="157"/>
      <c r="E593" s="157"/>
      <c r="F593" s="157"/>
      <c r="G593" s="3"/>
      <c r="H593" s="156"/>
      <c r="I593" s="156"/>
      <c r="J593" s="156"/>
      <c r="K593" s="165"/>
      <c r="L593" s="165"/>
      <c r="M593" s="1"/>
      <c r="N593" s="164"/>
      <c r="O593" s="1"/>
      <c r="P593" s="153"/>
      <c r="Q593" s="39"/>
      <c r="R593" s="39"/>
      <c r="S593" s="39"/>
      <c r="T593" s="154"/>
      <c r="U593" s="40"/>
    </row>
    <row r="594" spans="1:21" ht="20" customHeight="1" x14ac:dyDescent="0.15">
      <c r="A594" s="284" t="s">
        <v>6490</v>
      </c>
      <c r="B594" s="157"/>
      <c r="C594" s="157"/>
      <c r="D594" s="157"/>
      <c r="E594" s="157"/>
      <c r="F594" s="157"/>
      <c r="G594" s="3"/>
      <c r="H594" s="156"/>
      <c r="I594" s="156"/>
      <c r="J594" s="156"/>
      <c r="K594" s="165"/>
      <c r="L594" s="165"/>
      <c r="M594" s="1"/>
      <c r="N594" s="164"/>
      <c r="O594" s="1"/>
      <c r="P594" s="153"/>
      <c r="Q594" s="39"/>
      <c r="R594" s="39"/>
      <c r="S594" s="39"/>
      <c r="T594" s="154"/>
      <c r="U594" s="40"/>
    </row>
    <row r="595" spans="1:21" ht="20" customHeight="1" x14ac:dyDescent="0.15">
      <c r="A595" s="284" t="s">
        <v>6491</v>
      </c>
      <c r="B595" s="157"/>
      <c r="C595" s="157"/>
      <c r="D595" s="157"/>
      <c r="E595" s="157"/>
      <c r="F595" s="157"/>
      <c r="G595" s="3"/>
      <c r="H595" s="156"/>
      <c r="I595" s="156"/>
      <c r="J595" s="156"/>
      <c r="K595" s="165"/>
      <c r="L595" s="165"/>
      <c r="M595" s="1"/>
      <c r="N595" s="164"/>
      <c r="O595" s="1"/>
      <c r="P595" s="153"/>
      <c r="Q595" s="39"/>
      <c r="R595" s="39"/>
      <c r="S595" s="39"/>
      <c r="T595" s="154"/>
      <c r="U595" s="40"/>
    </row>
    <row r="596" spans="1:21" ht="20" customHeight="1" x14ac:dyDescent="0.15">
      <c r="A596" s="284" t="s">
        <v>6492</v>
      </c>
      <c r="B596" s="157"/>
      <c r="C596" s="157"/>
      <c r="D596" s="157"/>
      <c r="E596" s="157"/>
      <c r="F596" s="157"/>
      <c r="G596" s="3"/>
      <c r="H596" s="156"/>
      <c r="I596" s="156"/>
      <c r="J596" s="156"/>
      <c r="K596" s="165"/>
      <c r="L596" s="165"/>
      <c r="M596" s="1"/>
      <c r="N596" s="164"/>
      <c r="O596" s="1"/>
      <c r="P596" s="153"/>
      <c r="Q596" s="39"/>
      <c r="R596" s="39"/>
      <c r="S596" s="39"/>
      <c r="T596" s="154"/>
      <c r="U596" s="40"/>
    </row>
    <row r="597" spans="1:21" ht="20" customHeight="1" x14ac:dyDescent="0.15">
      <c r="A597" s="284" t="s">
        <v>6493</v>
      </c>
      <c r="B597" s="157"/>
      <c r="C597" s="157"/>
      <c r="D597" s="157"/>
      <c r="E597" s="157"/>
      <c r="F597" s="157"/>
      <c r="G597" s="3"/>
      <c r="H597" s="156"/>
      <c r="I597" s="156"/>
      <c r="J597" s="156"/>
      <c r="K597" s="165"/>
      <c r="L597" s="165"/>
      <c r="M597" s="1"/>
      <c r="N597" s="164"/>
      <c r="O597" s="1"/>
      <c r="P597" s="153"/>
      <c r="Q597" s="39"/>
      <c r="R597" s="39"/>
      <c r="S597" s="39"/>
      <c r="T597" s="154"/>
      <c r="U597" s="40"/>
    </row>
    <row r="598" spans="1:21" ht="20" customHeight="1" x14ac:dyDescent="0.15">
      <c r="A598" s="284" t="s">
        <v>6494</v>
      </c>
      <c r="B598" s="157"/>
      <c r="C598" s="157"/>
      <c r="D598" s="157"/>
      <c r="E598" s="157"/>
      <c r="F598" s="157"/>
      <c r="G598" s="3"/>
      <c r="H598" s="156"/>
      <c r="I598" s="156"/>
      <c r="J598" s="156"/>
      <c r="K598" s="165"/>
      <c r="L598" s="165"/>
      <c r="M598" s="1"/>
      <c r="N598" s="164"/>
      <c r="O598" s="1"/>
      <c r="P598" s="153"/>
      <c r="Q598" s="39"/>
      <c r="R598" s="39"/>
      <c r="S598" s="39"/>
      <c r="T598" s="154"/>
      <c r="U598" s="40"/>
    </row>
    <row r="599" spans="1:21" ht="20" customHeight="1" x14ac:dyDescent="0.15">
      <c r="A599" s="284" t="s">
        <v>6495</v>
      </c>
      <c r="B599" s="157"/>
      <c r="C599" s="157"/>
      <c r="D599" s="157"/>
      <c r="E599" s="157"/>
      <c r="F599" s="157"/>
      <c r="G599" s="3"/>
      <c r="H599" s="156"/>
      <c r="I599" s="156"/>
      <c r="J599" s="156"/>
      <c r="K599" s="165"/>
      <c r="L599" s="165"/>
      <c r="M599" s="1"/>
      <c r="N599" s="164"/>
      <c r="O599" s="1"/>
      <c r="P599" s="153"/>
      <c r="Q599" s="39"/>
      <c r="R599" s="39"/>
      <c r="S599" s="39"/>
      <c r="T599" s="154"/>
      <c r="U599" s="40"/>
    </row>
    <row r="600" spans="1:21" ht="20" customHeight="1" x14ac:dyDescent="0.15">
      <c r="A600" s="284" t="s">
        <v>6496</v>
      </c>
      <c r="B600" s="157"/>
      <c r="C600" s="157"/>
      <c r="D600" s="157"/>
      <c r="E600" s="157"/>
      <c r="F600" s="157"/>
      <c r="G600" s="3"/>
      <c r="H600" s="156"/>
      <c r="I600" s="156"/>
      <c r="J600" s="156"/>
      <c r="K600" s="165"/>
      <c r="L600" s="165"/>
      <c r="M600" s="1"/>
      <c r="N600" s="164"/>
      <c r="O600" s="1"/>
      <c r="P600" s="153"/>
      <c r="Q600" s="39"/>
      <c r="R600" s="39"/>
      <c r="S600" s="39"/>
      <c r="T600" s="154"/>
      <c r="U600" s="40"/>
    </row>
    <row r="601" spans="1:21" ht="20" customHeight="1" x14ac:dyDescent="0.15">
      <c r="A601" s="284" t="s">
        <v>6497</v>
      </c>
      <c r="B601" s="157"/>
      <c r="C601" s="157"/>
      <c r="D601" s="157"/>
      <c r="E601" s="157"/>
      <c r="F601" s="157"/>
      <c r="G601" s="3"/>
      <c r="H601" s="156"/>
      <c r="I601" s="156"/>
      <c r="J601" s="156"/>
      <c r="K601" s="165"/>
      <c r="L601" s="165"/>
      <c r="M601" s="1"/>
      <c r="N601" s="164"/>
      <c r="O601" s="1"/>
      <c r="P601" s="153"/>
      <c r="Q601" s="39"/>
      <c r="R601" s="39"/>
      <c r="S601" s="39"/>
      <c r="T601" s="154"/>
      <c r="U601" s="40"/>
    </row>
    <row r="602" spans="1:21" ht="20" customHeight="1" x14ac:dyDescent="0.15">
      <c r="A602" s="284" t="s">
        <v>6498</v>
      </c>
      <c r="B602" s="157"/>
      <c r="C602" s="157"/>
      <c r="D602" s="157"/>
      <c r="E602" s="157"/>
      <c r="F602" s="157"/>
      <c r="G602" s="3"/>
      <c r="H602" s="156"/>
      <c r="I602" s="156"/>
      <c r="J602" s="156"/>
      <c r="K602" s="165"/>
      <c r="L602" s="165"/>
      <c r="M602" s="1"/>
      <c r="N602" s="164"/>
      <c r="O602" s="1"/>
      <c r="P602" s="153"/>
      <c r="Q602" s="39"/>
      <c r="R602" s="39"/>
      <c r="S602" s="39"/>
      <c r="T602" s="154"/>
      <c r="U602" s="40"/>
    </row>
    <row r="603" spans="1:21" ht="20" customHeight="1" x14ac:dyDescent="0.15">
      <c r="A603" s="284" t="s">
        <v>6499</v>
      </c>
      <c r="B603" s="157"/>
      <c r="C603" s="157"/>
      <c r="D603" s="157"/>
      <c r="E603" s="157"/>
      <c r="F603" s="157"/>
      <c r="G603" s="3"/>
      <c r="H603" s="156"/>
      <c r="I603" s="156"/>
      <c r="J603" s="156"/>
      <c r="K603" s="165"/>
      <c r="L603" s="165"/>
      <c r="M603" s="1"/>
      <c r="N603" s="164"/>
      <c r="O603" s="1"/>
      <c r="P603" s="153"/>
      <c r="Q603" s="39"/>
      <c r="R603" s="39"/>
      <c r="S603" s="39"/>
      <c r="T603" s="154"/>
      <c r="U603" s="40"/>
    </row>
    <row r="604" spans="1:21" ht="20" customHeight="1" x14ac:dyDescent="0.15">
      <c r="A604" s="284" t="s">
        <v>6500</v>
      </c>
      <c r="B604" s="157"/>
      <c r="C604" s="157"/>
      <c r="D604" s="157"/>
      <c r="E604" s="157"/>
      <c r="F604" s="157"/>
      <c r="G604" s="3"/>
      <c r="H604" s="156"/>
      <c r="I604" s="156"/>
      <c r="J604" s="156"/>
      <c r="K604" s="165"/>
      <c r="L604" s="165"/>
      <c r="M604" s="1"/>
      <c r="N604" s="164"/>
      <c r="O604" s="1"/>
      <c r="P604" s="153"/>
      <c r="Q604" s="39"/>
      <c r="R604" s="39"/>
      <c r="S604" s="39"/>
      <c r="T604" s="154"/>
      <c r="U604" s="40"/>
    </row>
    <row r="605" spans="1:21" ht="20" customHeight="1" x14ac:dyDescent="0.15">
      <c r="A605" s="284" t="s">
        <v>6501</v>
      </c>
      <c r="B605" s="157"/>
      <c r="C605" s="157"/>
      <c r="D605" s="157"/>
      <c r="E605" s="157"/>
      <c r="F605" s="157"/>
      <c r="G605" s="3"/>
      <c r="H605" s="156"/>
      <c r="I605" s="156"/>
      <c r="J605" s="156"/>
      <c r="K605" s="165"/>
      <c r="L605" s="165"/>
      <c r="M605" s="1"/>
      <c r="N605" s="164"/>
      <c r="O605" s="1"/>
      <c r="P605" s="153"/>
      <c r="Q605" s="39"/>
      <c r="R605" s="39"/>
      <c r="S605" s="39"/>
      <c r="T605" s="154"/>
      <c r="U605" s="40"/>
    </row>
    <row r="606" spans="1:21" ht="20" customHeight="1" x14ac:dyDescent="0.15">
      <c r="A606" s="284" t="s">
        <v>6502</v>
      </c>
      <c r="B606" s="157"/>
      <c r="C606" s="157"/>
      <c r="D606" s="157"/>
      <c r="E606" s="157"/>
      <c r="F606" s="157"/>
      <c r="G606" s="3"/>
      <c r="H606" s="156"/>
      <c r="I606" s="156"/>
      <c r="J606" s="156"/>
      <c r="K606" s="165"/>
      <c r="L606" s="165"/>
      <c r="M606" s="1"/>
      <c r="N606" s="164"/>
      <c r="O606" s="1"/>
      <c r="P606" s="153"/>
      <c r="Q606" s="39"/>
      <c r="R606" s="39"/>
      <c r="S606" s="39"/>
      <c r="T606" s="154"/>
      <c r="U606" s="40"/>
    </row>
    <row r="607" spans="1:21" ht="20" customHeight="1" x14ac:dyDescent="0.15">
      <c r="A607" s="284" t="s">
        <v>6503</v>
      </c>
      <c r="B607" s="157"/>
      <c r="C607" s="157"/>
      <c r="D607" s="157"/>
      <c r="E607" s="157"/>
      <c r="F607" s="157"/>
      <c r="G607" s="3"/>
      <c r="H607" s="156"/>
      <c r="I607" s="156"/>
      <c r="J607" s="156"/>
      <c r="K607" s="165"/>
      <c r="L607" s="165"/>
      <c r="M607" s="1"/>
      <c r="N607" s="164"/>
      <c r="O607" s="1"/>
      <c r="P607" s="153"/>
      <c r="Q607" s="39"/>
      <c r="R607" s="39"/>
      <c r="S607" s="39"/>
      <c r="T607" s="154"/>
      <c r="U607" s="40"/>
    </row>
    <row r="608" spans="1:21" ht="20" customHeight="1" x14ac:dyDescent="0.15">
      <c r="A608" s="284" t="s">
        <v>6504</v>
      </c>
      <c r="B608" s="157"/>
      <c r="C608" s="157"/>
      <c r="D608" s="157"/>
      <c r="E608" s="157"/>
      <c r="F608" s="157"/>
      <c r="G608" s="3"/>
      <c r="H608" s="156"/>
      <c r="I608" s="156"/>
      <c r="J608" s="156"/>
      <c r="K608" s="165"/>
      <c r="L608" s="165"/>
      <c r="M608" s="1"/>
      <c r="N608" s="164"/>
      <c r="O608" s="1"/>
      <c r="P608" s="153"/>
      <c r="Q608" s="39"/>
      <c r="R608" s="39"/>
      <c r="S608" s="39"/>
      <c r="T608" s="154"/>
      <c r="U608" s="40"/>
    </row>
    <row r="609" spans="1:21" ht="20" customHeight="1" x14ac:dyDescent="0.15">
      <c r="A609" s="284" t="s">
        <v>6505</v>
      </c>
      <c r="B609" s="157"/>
      <c r="C609" s="157"/>
      <c r="D609" s="157"/>
      <c r="E609" s="157"/>
      <c r="F609" s="157"/>
      <c r="G609" s="3"/>
      <c r="H609" s="156"/>
      <c r="I609" s="156"/>
      <c r="J609" s="156"/>
      <c r="K609" s="165"/>
      <c r="L609" s="165"/>
      <c r="M609" s="1"/>
      <c r="N609" s="164"/>
      <c r="O609" s="1"/>
      <c r="P609" s="153"/>
      <c r="Q609" s="39"/>
      <c r="R609" s="39"/>
      <c r="S609" s="39"/>
      <c r="T609" s="154"/>
      <c r="U609" s="40"/>
    </row>
    <row r="610" spans="1:21" ht="20" customHeight="1" x14ac:dyDescent="0.15">
      <c r="A610" s="284" t="s">
        <v>6506</v>
      </c>
      <c r="B610" s="157"/>
      <c r="C610" s="157"/>
      <c r="D610" s="157"/>
      <c r="E610" s="157"/>
      <c r="F610" s="157"/>
      <c r="G610" s="3"/>
      <c r="H610" s="156"/>
      <c r="I610" s="156"/>
      <c r="J610" s="156"/>
      <c r="K610" s="165"/>
      <c r="L610" s="165"/>
      <c r="M610" s="1"/>
      <c r="N610" s="164"/>
      <c r="O610" s="1"/>
      <c r="P610" s="153"/>
      <c r="Q610" s="39"/>
      <c r="R610" s="39"/>
      <c r="S610" s="39"/>
      <c r="T610" s="154"/>
      <c r="U610" s="40"/>
    </row>
    <row r="611" spans="1:21" ht="20" customHeight="1" x14ac:dyDescent="0.15">
      <c r="A611" s="284" t="s">
        <v>6507</v>
      </c>
      <c r="B611" s="157"/>
      <c r="C611" s="157"/>
      <c r="D611" s="157"/>
      <c r="E611" s="157"/>
      <c r="F611" s="157"/>
      <c r="G611" s="3"/>
      <c r="H611" s="156"/>
      <c r="I611" s="156"/>
      <c r="J611" s="156"/>
      <c r="K611" s="165"/>
      <c r="L611" s="165"/>
      <c r="M611" s="1"/>
      <c r="N611" s="164"/>
      <c r="O611" s="1"/>
      <c r="P611" s="153"/>
      <c r="Q611" s="39"/>
      <c r="R611" s="39"/>
      <c r="S611" s="39"/>
      <c r="T611" s="154"/>
      <c r="U611" s="40"/>
    </row>
    <row r="612" spans="1:21" ht="20" customHeight="1" x14ac:dyDescent="0.15">
      <c r="A612" s="284" t="s">
        <v>6508</v>
      </c>
      <c r="B612" s="157"/>
      <c r="C612" s="157"/>
      <c r="D612" s="157"/>
      <c r="E612" s="157"/>
      <c r="F612" s="157"/>
      <c r="G612" s="3"/>
      <c r="H612" s="156"/>
      <c r="I612" s="156"/>
      <c r="J612" s="156"/>
      <c r="K612" s="165"/>
      <c r="L612" s="165"/>
      <c r="M612" s="1"/>
      <c r="N612" s="164"/>
      <c r="O612" s="1"/>
      <c r="P612" s="153"/>
      <c r="Q612" s="39"/>
      <c r="R612" s="39"/>
      <c r="S612" s="39"/>
      <c r="T612" s="154"/>
      <c r="U612" s="40"/>
    </row>
    <row r="613" spans="1:21" ht="20" customHeight="1" x14ac:dyDescent="0.15">
      <c r="A613" s="284" t="s">
        <v>6509</v>
      </c>
      <c r="B613" s="157"/>
      <c r="C613" s="157"/>
      <c r="D613" s="157"/>
      <c r="E613" s="157"/>
      <c r="F613" s="157"/>
      <c r="G613" s="3"/>
      <c r="H613" s="156"/>
      <c r="I613" s="156"/>
      <c r="J613" s="156"/>
      <c r="K613" s="165"/>
      <c r="L613" s="165"/>
      <c r="M613" s="1"/>
      <c r="N613" s="164"/>
      <c r="O613" s="1"/>
      <c r="P613" s="153"/>
      <c r="Q613" s="39"/>
      <c r="R613" s="39"/>
      <c r="S613" s="39"/>
      <c r="T613" s="154"/>
      <c r="U613" s="40"/>
    </row>
    <row r="614" spans="1:21" ht="20" customHeight="1" x14ac:dyDescent="0.15">
      <c r="A614" s="284" t="s">
        <v>6510</v>
      </c>
      <c r="B614" s="157"/>
      <c r="C614" s="157"/>
      <c r="D614" s="157"/>
      <c r="E614" s="157"/>
      <c r="F614" s="157"/>
      <c r="G614" s="3"/>
      <c r="H614" s="156"/>
      <c r="I614" s="156"/>
      <c r="J614" s="156"/>
      <c r="K614" s="165"/>
      <c r="L614" s="165"/>
      <c r="M614" s="1"/>
      <c r="N614" s="164"/>
      <c r="O614" s="1"/>
      <c r="P614" s="153"/>
      <c r="Q614" s="39"/>
      <c r="R614" s="39"/>
      <c r="S614" s="39"/>
      <c r="T614" s="154"/>
      <c r="U614" s="40"/>
    </row>
    <row r="615" spans="1:21" ht="20" customHeight="1" x14ac:dyDescent="0.15">
      <c r="A615" s="284" t="s">
        <v>6511</v>
      </c>
      <c r="B615" s="157"/>
      <c r="C615" s="157"/>
      <c r="D615" s="157"/>
      <c r="E615" s="157"/>
      <c r="F615" s="157"/>
      <c r="G615" s="3"/>
      <c r="H615" s="156"/>
      <c r="I615" s="156"/>
      <c r="J615" s="156"/>
      <c r="K615" s="165"/>
      <c r="L615" s="165"/>
      <c r="M615" s="1"/>
      <c r="N615" s="164"/>
      <c r="O615" s="1"/>
      <c r="P615" s="153"/>
      <c r="Q615" s="39"/>
      <c r="R615" s="39"/>
      <c r="S615" s="39"/>
      <c r="T615" s="154"/>
      <c r="U615" s="40"/>
    </row>
    <row r="616" spans="1:21" ht="20" customHeight="1" x14ac:dyDescent="0.15">
      <c r="A616" s="284" t="s">
        <v>6512</v>
      </c>
      <c r="B616" s="157"/>
      <c r="C616" s="157"/>
      <c r="D616" s="157"/>
      <c r="E616" s="157"/>
      <c r="F616" s="157"/>
      <c r="G616" s="3"/>
      <c r="H616" s="156"/>
      <c r="I616" s="156"/>
      <c r="J616" s="156"/>
      <c r="K616" s="165"/>
      <c r="L616" s="165"/>
      <c r="M616" s="1"/>
      <c r="N616" s="164"/>
      <c r="O616" s="1"/>
      <c r="P616" s="153"/>
      <c r="Q616" s="39"/>
      <c r="R616" s="39"/>
      <c r="S616" s="39"/>
      <c r="T616" s="154"/>
      <c r="U616" s="40"/>
    </row>
    <row r="617" spans="1:21" ht="20" customHeight="1" x14ac:dyDescent="0.15">
      <c r="A617" s="284" t="s">
        <v>6513</v>
      </c>
      <c r="B617" s="157"/>
      <c r="C617" s="157"/>
      <c r="D617" s="157"/>
      <c r="E617" s="157"/>
      <c r="F617" s="157"/>
      <c r="G617" s="3"/>
      <c r="H617" s="156"/>
      <c r="I617" s="156"/>
      <c r="J617" s="156"/>
      <c r="K617" s="165"/>
      <c r="L617" s="165"/>
      <c r="M617" s="1"/>
      <c r="N617" s="164"/>
      <c r="O617" s="1"/>
      <c r="P617" s="153"/>
      <c r="Q617" s="39"/>
      <c r="R617" s="39"/>
      <c r="S617" s="39"/>
      <c r="T617" s="154"/>
      <c r="U617" s="40"/>
    </row>
    <row r="618" spans="1:21" ht="20" customHeight="1" x14ac:dyDescent="0.15">
      <c r="A618" s="284" t="s">
        <v>6514</v>
      </c>
      <c r="B618" s="157"/>
      <c r="C618" s="157"/>
      <c r="D618" s="157"/>
      <c r="E618" s="157"/>
      <c r="F618" s="157"/>
      <c r="G618" s="3"/>
      <c r="H618" s="156"/>
      <c r="I618" s="156"/>
      <c r="J618" s="156"/>
      <c r="K618" s="165"/>
      <c r="L618" s="165"/>
      <c r="M618" s="1"/>
      <c r="N618" s="164"/>
      <c r="O618" s="1"/>
      <c r="P618" s="153"/>
      <c r="Q618" s="39"/>
      <c r="R618" s="39"/>
      <c r="S618" s="39"/>
      <c r="T618" s="154"/>
      <c r="U618" s="40"/>
    </row>
    <row r="619" spans="1:21" ht="20" customHeight="1" x14ac:dyDescent="0.15">
      <c r="A619" s="284" t="s">
        <v>6515</v>
      </c>
      <c r="B619" s="157"/>
      <c r="C619" s="157"/>
      <c r="D619" s="157"/>
      <c r="E619" s="157"/>
      <c r="F619" s="157"/>
      <c r="G619" s="3"/>
      <c r="H619" s="156"/>
      <c r="I619" s="156"/>
      <c r="J619" s="156"/>
      <c r="K619" s="165"/>
      <c r="L619" s="165"/>
      <c r="M619" s="1"/>
      <c r="N619" s="164"/>
      <c r="O619" s="1"/>
      <c r="P619" s="153"/>
      <c r="Q619" s="39"/>
      <c r="R619" s="39"/>
      <c r="S619" s="39"/>
      <c r="T619" s="154"/>
      <c r="U619" s="40"/>
    </row>
    <row r="620" spans="1:21" ht="20" customHeight="1" x14ac:dyDescent="0.15">
      <c r="A620" s="284" t="s">
        <v>6516</v>
      </c>
      <c r="B620" s="157"/>
      <c r="C620" s="157"/>
      <c r="D620" s="157"/>
      <c r="E620" s="157"/>
      <c r="F620" s="157"/>
      <c r="G620" s="3"/>
      <c r="H620" s="156"/>
      <c r="I620" s="156"/>
      <c r="J620" s="156"/>
      <c r="K620" s="165"/>
      <c r="L620" s="165"/>
      <c r="M620" s="1"/>
      <c r="N620" s="164"/>
      <c r="O620" s="1"/>
      <c r="P620" s="153"/>
      <c r="Q620" s="39"/>
      <c r="R620" s="39"/>
      <c r="S620" s="39"/>
      <c r="T620" s="154"/>
      <c r="U620" s="40"/>
    </row>
    <row r="621" spans="1:21" ht="20" customHeight="1" x14ac:dyDescent="0.15">
      <c r="A621" s="284" t="s">
        <v>6517</v>
      </c>
      <c r="B621" s="157"/>
      <c r="C621" s="157"/>
      <c r="D621" s="157"/>
      <c r="E621" s="157"/>
      <c r="F621" s="157"/>
      <c r="G621" s="3"/>
      <c r="H621" s="156"/>
      <c r="I621" s="156"/>
      <c r="J621" s="156"/>
      <c r="K621" s="165"/>
      <c r="L621" s="165"/>
      <c r="M621" s="1"/>
      <c r="N621" s="164"/>
      <c r="O621" s="1"/>
      <c r="P621" s="153"/>
      <c r="Q621" s="39"/>
      <c r="R621" s="39"/>
      <c r="S621" s="39"/>
      <c r="T621" s="154"/>
      <c r="U621" s="40"/>
    </row>
    <row r="622" spans="1:21" ht="20" customHeight="1" x14ac:dyDescent="0.15">
      <c r="A622" s="284" t="s">
        <v>6518</v>
      </c>
      <c r="B622" s="157"/>
      <c r="C622" s="157"/>
      <c r="D622" s="157"/>
      <c r="E622" s="157"/>
      <c r="F622" s="157"/>
      <c r="G622" s="3"/>
      <c r="H622" s="156"/>
      <c r="I622" s="156"/>
      <c r="J622" s="156"/>
      <c r="K622" s="165"/>
      <c r="L622" s="165"/>
      <c r="M622" s="1"/>
      <c r="N622" s="164"/>
      <c r="O622" s="1"/>
      <c r="P622" s="153"/>
      <c r="Q622" s="39"/>
      <c r="R622" s="39"/>
      <c r="S622" s="39"/>
      <c r="T622" s="154"/>
      <c r="U622" s="40"/>
    </row>
    <row r="623" spans="1:21" ht="20" customHeight="1" x14ac:dyDescent="0.15">
      <c r="A623" s="284" t="s">
        <v>6519</v>
      </c>
      <c r="B623" s="157"/>
      <c r="C623" s="157"/>
      <c r="D623" s="157"/>
      <c r="E623" s="157"/>
      <c r="F623" s="157"/>
      <c r="G623" s="3"/>
      <c r="H623" s="156"/>
      <c r="I623" s="156"/>
      <c r="J623" s="156"/>
      <c r="K623" s="165"/>
      <c r="L623" s="165"/>
      <c r="M623" s="1"/>
      <c r="N623" s="164"/>
      <c r="O623" s="1"/>
      <c r="P623" s="153"/>
      <c r="Q623" s="39"/>
      <c r="R623" s="39"/>
      <c r="S623" s="39"/>
      <c r="T623" s="154"/>
      <c r="U623" s="40"/>
    </row>
    <row r="624" spans="1:21" ht="20" customHeight="1" x14ac:dyDescent="0.15">
      <c r="A624" s="284" t="s">
        <v>6520</v>
      </c>
      <c r="B624" s="157"/>
      <c r="C624" s="157"/>
      <c r="D624" s="157"/>
      <c r="E624" s="157"/>
      <c r="F624" s="157"/>
      <c r="G624" s="3"/>
      <c r="H624" s="156"/>
      <c r="I624" s="156"/>
      <c r="J624" s="156"/>
      <c r="K624" s="165"/>
      <c r="L624" s="165"/>
      <c r="M624" s="1"/>
      <c r="N624" s="164"/>
      <c r="O624" s="1"/>
      <c r="P624" s="153"/>
      <c r="Q624" s="39"/>
      <c r="R624" s="39"/>
      <c r="S624" s="39"/>
      <c r="T624" s="154"/>
      <c r="U624" s="40"/>
    </row>
    <row r="625" spans="1:21" ht="20" customHeight="1" x14ac:dyDescent="0.15">
      <c r="A625" s="284" t="s">
        <v>6521</v>
      </c>
      <c r="B625" s="157"/>
      <c r="C625" s="157"/>
      <c r="D625" s="157"/>
      <c r="E625" s="157"/>
      <c r="F625" s="157"/>
      <c r="G625" s="3"/>
      <c r="H625" s="156"/>
      <c r="I625" s="156"/>
      <c r="J625" s="156"/>
      <c r="K625" s="165"/>
      <c r="L625" s="165"/>
      <c r="M625" s="1"/>
      <c r="N625" s="164"/>
      <c r="O625" s="1"/>
      <c r="P625" s="153"/>
      <c r="Q625" s="39"/>
      <c r="R625" s="39"/>
      <c r="S625" s="39"/>
      <c r="T625" s="154"/>
      <c r="U625" s="40"/>
    </row>
    <row r="626" spans="1:21" ht="20" customHeight="1" x14ac:dyDescent="0.15">
      <c r="A626" s="284" t="s">
        <v>6522</v>
      </c>
      <c r="B626" s="157"/>
      <c r="C626" s="157"/>
      <c r="D626" s="157"/>
      <c r="E626" s="157"/>
      <c r="F626" s="157"/>
      <c r="G626" s="3"/>
      <c r="H626" s="156"/>
      <c r="I626" s="156"/>
      <c r="J626" s="156"/>
      <c r="K626" s="165"/>
      <c r="L626" s="165"/>
      <c r="M626" s="1"/>
      <c r="N626" s="164"/>
      <c r="O626" s="1"/>
      <c r="P626" s="153"/>
      <c r="Q626" s="39"/>
      <c r="R626" s="39"/>
      <c r="S626" s="39"/>
      <c r="T626" s="154"/>
      <c r="U626" s="40"/>
    </row>
    <row r="627" spans="1:21" ht="20" customHeight="1" x14ac:dyDescent="0.15">
      <c r="A627" s="284" t="s">
        <v>6523</v>
      </c>
      <c r="B627" s="157"/>
      <c r="C627" s="157"/>
      <c r="D627" s="157"/>
      <c r="E627" s="157"/>
      <c r="F627" s="157"/>
      <c r="G627" s="3"/>
      <c r="H627" s="156"/>
      <c r="I627" s="156"/>
      <c r="J627" s="156"/>
      <c r="K627" s="165"/>
      <c r="L627" s="165"/>
      <c r="M627" s="1"/>
      <c r="N627" s="164"/>
      <c r="O627" s="1"/>
      <c r="P627" s="153"/>
      <c r="Q627" s="39"/>
      <c r="R627" s="39"/>
      <c r="S627" s="39"/>
      <c r="T627" s="154"/>
      <c r="U627" s="40"/>
    </row>
    <row r="628" spans="1:21" ht="20" customHeight="1" x14ac:dyDescent="0.15">
      <c r="A628" s="284" t="s">
        <v>6524</v>
      </c>
      <c r="B628" s="157"/>
      <c r="C628" s="157"/>
      <c r="D628" s="157"/>
      <c r="E628" s="157"/>
      <c r="F628" s="157"/>
      <c r="G628" s="3"/>
      <c r="H628" s="156"/>
      <c r="I628" s="156"/>
      <c r="J628" s="156"/>
      <c r="K628" s="165"/>
      <c r="L628" s="165"/>
      <c r="M628" s="1"/>
      <c r="N628" s="164"/>
      <c r="O628" s="1"/>
      <c r="P628" s="153"/>
      <c r="Q628" s="39"/>
      <c r="R628" s="39"/>
      <c r="S628" s="39"/>
      <c r="T628" s="154"/>
      <c r="U628" s="40"/>
    </row>
    <row r="629" spans="1:21" ht="20" customHeight="1" x14ac:dyDescent="0.15">
      <c r="A629" s="284" t="s">
        <v>6525</v>
      </c>
      <c r="B629" s="157"/>
      <c r="C629" s="157"/>
      <c r="D629" s="157"/>
      <c r="E629" s="157"/>
      <c r="F629" s="157"/>
      <c r="G629" s="3"/>
      <c r="H629" s="156"/>
      <c r="I629" s="156"/>
      <c r="J629" s="156"/>
      <c r="K629" s="165"/>
      <c r="L629" s="165"/>
      <c r="M629" s="1"/>
      <c r="N629" s="164"/>
      <c r="O629" s="1"/>
      <c r="P629" s="153"/>
      <c r="Q629" s="39"/>
      <c r="R629" s="39"/>
      <c r="S629" s="39"/>
      <c r="T629" s="154"/>
      <c r="U629" s="40"/>
    </row>
    <row r="630" spans="1:21" ht="20" customHeight="1" x14ac:dyDescent="0.15">
      <c r="A630" s="284" t="s">
        <v>6526</v>
      </c>
      <c r="B630" s="157"/>
      <c r="C630" s="157"/>
      <c r="D630" s="157"/>
      <c r="E630" s="157"/>
      <c r="F630" s="157"/>
      <c r="G630" s="3"/>
      <c r="H630" s="156"/>
      <c r="I630" s="156"/>
      <c r="J630" s="156"/>
      <c r="K630" s="165"/>
      <c r="L630" s="165"/>
      <c r="M630" s="1"/>
      <c r="N630" s="164"/>
      <c r="O630" s="1"/>
      <c r="P630" s="153"/>
      <c r="Q630" s="39"/>
      <c r="R630" s="39"/>
      <c r="S630" s="39"/>
      <c r="T630" s="154"/>
      <c r="U630" s="40"/>
    </row>
    <row r="631" spans="1:21" ht="20" customHeight="1" x14ac:dyDescent="0.15">
      <c r="A631" s="284" t="s">
        <v>6527</v>
      </c>
      <c r="B631" s="157"/>
      <c r="C631" s="157"/>
      <c r="D631" s="157"/>
      <c r="E631" s="157"/>
      <c r="F631" s="157"/>
      <c r="G631" s="3"/>
      <c r="H631" s="156"/>
      <c r="I631" s="156"/>
      <c r="J631" s="156"/>
      <c r="K631" s="165"/>
      <c r="L631" s="165"/>
      <c r="M631" s="1"/>
      <c r="N631" s="164"/>
      <c r="O631" s="1"/>
      <c r="P631" s="153"/>
      <c r="Q631" s="39"/>
      <c r="R631" s="39"/>
      <c r="S631" s="39"/>
      <c r="T631" s="154"/>
      <c r="U631" s="40"/>
    </row>
    <row r="632" spans="1:21" ht="20" customHeight="1" x14ac:dyDescent="0.15">
      <c r="A632" s="284" t="s">
        <v>6528</v>
      </c>
      <c r="B632" s="157"/>
      <c r="C632" s="157"/>
      <c r="D632" s="157"/>
      <c r="E632" s="157"/>
      <c r="F632" s="157"/>
      <c r="G632" s="3"/>
      <c r="H632" s="156"/>
      <c r="I632" s="156"/>
      <c r="J632" s="156"/>
      <c r="K632" s="165"/>
      <c r="L632" s="165"/>
      <c r="M632" s="1"/>
      <c r="N632" s="164"/>
      <c r="O632" s="1"/>
      <c r="P632" s="153"/>
      <c r="Q632" s="39"/>
      <c r="R632" s="39"/>
      <c r="S632" s="39"/>
      <c r="T632" s="154"/>
      <c r="U632" s="40"/>
    </row>
    <row r="633" spans="1:21" ht="20" customHeight="1" x14ac:dyDescent="0.15">
      <c r="A633" s="284" t="s">
        <v>6529</v>
      </c>
      <c r="B633" s="157"/>
      <c r="C633" s="157"/>
      <c r="D633" s="157"/>
      <c r="E633" s="157"/>
      <c r="F633" s="157"/>
      <c r="G633" s="3"/>
      <c r="H633" s="156"/>
      <c r="I633" s="156"/>
      <c r="J633" s="156"/>
      <c r="K633" s="165"/>
      <c r="L633" s="165"/>
      <c r="M633" s="1"/>
      <c r="N633" s="164"/>
      <c r="O633" s="1"/>
      <c r="P633" s="153"/>
      <c r="Q633" s="39"/>
      <c r="R633" s="39"/>
      <c r="S633" s="39"/>
      <c r="T633" s="154"/>
      <c r="U633" s="40"/>
    </row>
    <row r="634" spans="1:21" ht="20" customHeight="1" x14ac:dyDescent="0.15">
      <c r="A634" s="284" t="s">
        <v>6530</v>
      </c>
      <c r="B634" s="157"/>
      <c r="C634" s="157"/>
      <c r="D634" s="157"/>
      <c r="E634" s="157"/>
      <c r="F634" s="157"/>
      <c r="G634" s="3"/>
      <c r="H634" s="156"/>
      <c r="I634" s="156"/>
      <c r="J634" s="156"/>
      <c r="K634" s="165"/>
      <c r="L634" s="165"/>
      <c r="M634" s="1"/>
      <c r="N634" s="164"/>
      <c r="O634" s="1"/>
      <c r="P634" s="153"/>
      <c r="Q634" s="39"/>
      <c r="R634" s="39"/>
      <c r="S634" s="39"/>
      <c r="T634" s="154"/>
      <c r="U634" s="40"/>
    </row>
    <row r="635" spans="1:21" ht="20" customHeight="1" x14ac:dyDescent="0.15">
      <c r="A635" s="284" t="s">
        <v>6531</v>
      </c>
      <c r="B635" s="157"/>
      <c r="C635" s="157"/>
      <c r="D635" s="157"/>
      <c r="E635" s="157"/>
      <c r="F635" s="157"/>
      <c r="G635" s="3"/>
      <c r="H635" s="156"/>
      <c r="I635" s="156"/>
      <c r="J635" s="156"/>
      <c r="K635" s="165"/>
      <c r="L635" s="165"/>
      <c r="M635" s="1"/>
      <c r="N635" s="164"/>
      <c r="O635" s="1"/>
      <c r="P635" s="153"/>
      <c r="Q635" s="39"/>
      <c r="R635" s="39"/>
      <c r="S635" s="39"/>
      <c r="T635" s="154"/>
      <c r="U635" s="40"/>
    </row>
    <row r="636" spans="1:21" ht="20" customHeight="1" x14ac:dyDescent="0.15">
      <c r="A636" s="284" t="s">
        <v>6532</v>
      </c>
      <c r="B636" s="157"/>
      <c r="C636" s="157"/>
      <c r="D636" s="157"/>
      <c r="E636" s="157"/>
      <c r="F636" s="157"/>
      <c r="G636" s="3"/>
      <c r="H636" s="156"/>
      <c r="I636" s="156"/>
      <c r="J636" s="156"/>
      <c r="K636" s="165"/>
      <c r="L636" s="165"/>
      <c r="M636" s="1"/>
      <c r="N636" s="164"/>
      <c r="O636" s="1"/>
      <c r="P636" s="153"/>
      <c r="Q636" s="39"/>
      <c r="R636" s="39"/>
      <c r="S636" s="39"/>
      <c r="T636" s="154"/>
      <c r="U636" s="40"/>
    </row>
    <row r="637" spans="1:21" ht="20" customHeight="1" x14ac:dyDescent="0.15">
      <c r="A637" s="284" t="s">
        <v>6533</v>
      </c>
      <c r="B637" s="157"/>
      <c r="C637" s="157"/>
      <c r="D637" s="157"/>
      <c r="E637" s="157"/>
      <c r="F637" s="157"/>
      <c r="G637" s="3"/>
      <c r="H637" s="156"/>
      <c r="I637" s="156"/>
      <c r="J637" s="156"/>
      <c r="K637" s="165"/>
      <c r="L637" s="165"/>
      <c r="M637" s="1"/>
      <c r="N637" s="164"/>
      <c r="O637" s="1"/>
      <c r="P637" s="153"/>
      <c r="Q637" s="39"/>
      <c r="R637" s="39"/>
      <c r="S637" s="39"/>
      <c r="T637" s="154"/>
      <c r="U637" s="40"/>
    </row>
    <row r="638" spans="1:21" ht="20" customHeight="1" x14ac:dyDescent="0.15">
      <c r="A638" s="284" t="s">
        <v>6534</v>
      </c>
      <c r="B638" s="157"/>
      <c r="C638" s="157"/>
      <c r="D638" s="157"/>
      <c r="E638" s="157"/>
      <c r="F638" s="157"/>
      <c r="G638" s="3"/>
      <c r="H638" s="156"/>
      <c r="I638" s="156"/>
      <c r="J638" s="156"/>
      <c r="K638" s="165"/>
      <c r="L638" s="165"/>
      <c r="M638" s="1"/>
      <c r="N638" s="164"/>
      <c r="O638" s="1"/>
      <c r="P638" s="153"/>
      <c r="Q638" s="39"/>
      <c r="R638" s="39"/>
      <c r="S638" s="39"/>
      <c r="T638" s="154"/>
      <c r="U638" s="40"/>
    </row>
    <row r="639" spans="1:21" ht="20" customHeight="1" x14ac:dyDescent="0.15">
      <c r="A639" s="284" t="s">
        <v>6535</v>
      </c>
      <c r="B639" s="157"/>
      <c r="C639" s="157"/>
      <c r="D639" s="157"/>
      <c r="E639" s="157"/>
      <c r="F639" s="157"/>
      <c r="G639" s="3"/>
      <c r="H639" s="156"/>
      <c r="I639" s="156"/>
      <c r="J639" s="156"/>
      <c r="K639" s="165"/>
      <c r="L639" s="165"/>
      <c r="M639" s="1"/>
      <c r="N639" s="164"/>
      <c r="O639" s="1"/>
      <c r="P639" s="153"/>
      <c r="Q639" s="39"/>
      <c r="R639" s="39"/>
      <c r="S639" s="39"/>
      <c r="T639" s="154"/>
      <c r="U639" s="40"/>
    </row>
    <row r="640" spans="1:21" ht="20" customHeight="1" x14ac:dyDescent="0.15">
      <c r="A640" s="284" t="s">
        <v>6536</v>
      </c>
      <c r="B640" s="157"/>
      <c r="C640" s="157"/>
      <c r="D640" s="157"/>
      <c r="E640" s="157"/>
      <c r="F640" s="157"/>
      <c r="G640" s="3"/>
      <c r="H640" s="156"/>
      <c r="I640" s="156"/>
      <c r="J640" s="156"/>
      <c r="K640" s="165"/>
      <c r="L640" s="165"/>
      <c r="M640" s="1"/>
      <c r="N640" s="164"/>
      <c r="O640" s="1"/>
      <c r="P640" s="153"/>
      <c r="Q640" s="39"/>
      <c r="R640" s="39"/>
      <c r="S640" s="39"/>
      <c r="T640" s="154"/>
      <c r="U640" s="40"/>
    </row>
    <row r="641" spans="1:21" ht="20" customHeight="1" x14ac:dyDescent="0.15">
      <c r="A641" s="284" t="s">
        <v>6537</v>
      </c>
      <c r="B641" s="157"/>
      <c r="C641" s="157"/>
      <c r="D641" s="157"/>
      <c r="E641" s="157"/>
      <c r="F641" s="157"/>
      <c r="G641" s="3"/>
      <c r="H641" s="156"/>
      <c r="I641" s="156"/>
      <c r="J641" s="156"/>
      <c r="K641" s="165"/>
      <c r="L641" s="165"/>
      <c r="M641" s="1"/>
      <c r="N641" s="164"/>
      <c r="O641" s="1"/>
      <c r="P641" s="153"/>
      <c r="Q641" s="39"/>
      <c r="R641" s="39"/>
      <c r="S641" s="39"/>
      <c r="T641" s="154"/>
      <c r="U641" s="40"/>
    </row>
    <row r="642" spans="1:21" ht="20" customHeight="1" x14ac:dyDescent="0.15">
      <c r="A642" s="284" t="s">
        <v>6538</v>
      </c>
      <c r="B642" s="157"/>
      <c r="C642" s="157"/>
      <c r="D642" s="157"/>
      <c r="E642" s="157"/>
      <c r="F642" s="157"/>
      <c r="G642" s="3"/>
      <c r="H642" s="156"/>
      <c r="I642" s="156"/>
      <c r="J642" s="156"/>
      <c r="K642" s="165"/>
      <c r="L642" s="165"/>
      <c r="M642" s="1"/>
      <c r="N642" s="164"/>
      <c r="O642" s="1"/>
      <c r="P642" s="153"/>
      <c r="Q642" s="39"/>
      <c r="R642" s="39"/>
      <c r="S642" s="39"/>
      <c r="T642" s="154"/>
      <c r="U642" s="40"/>
    </row>
    <row r="643" spans="1:21" ht="20" customHeight="1" x14ac:dyDescent="0.15">
      <c r="A643" s="284" t="s">
        <v>6539</v>
      </c>
      <c r="B643" s="157"/>
      <c r="C643" s="157"/>
      <c r="D643" s="157"/>
      <c r="E643" s="157"/>
      <c r="F643" s="157"/>
      <c r="G643" s="3"/>
      <c r="H643" s="156"/>
      <c r="I643" s="156"/>
      <c r="J643" s="156"/>
      <c r="K643" s="165"/>
      <c r="L643" s="165"/>
      <c r="M643" s="1"/>
      <c r="N643" s="164"/>
      <c r="O643" s="1"/>
      <c r="P643" s="153"/>
      <c r="Q643" s="39"/>
      <c r="R643" s="39"/>
      <c r="S643" s="39"/>
      <c r="T643" s="154"/>
      <c r="U643" s="40"/>
    </row>
    <row r="644" spans="1:21" ht="20" customHeight="1" x14ac:dyDescent="0.15">
      <c r="A644" s="284" t="s">
        <v>6540</v>
      </c>
      <c r="B644" s="157"/>
      <c r="C644" s="157"/>
      <c r="D644" s="157"/>
      <c r="E644" s="157"/>
      <c r="F644" s="157"/>
      <c r="G644" s="3"/>
      <c r="H644" s="156"/>
      <c r="I644" s="156"/>
      <c r="J644" s="156"/>
      <c r="K644" s="165"/>
      <c r="L644" s="165"/>
      <c r="M644" s="1"/>
      <c r="N644" s="164"/>
      <c r="O644" s="1"/>
      <c r="P644" s="153"/>
      <c r="Q644" s="39"/>
      <c r="R644" s="39"/>
      <c r="S644" s="39"/>
      <c r="T644" s="154"/>
      <c r="U644" s="40"/>
    </row>
    <row r="645" spans="1:21" ht="20" customHeight="1" x14ac:dyDescent="0.15">
      <c r="A645" s="284" t="s">
        <v>6541</v>
      </c>
      <c r="B645" s="157"/>
      <c r="C645" s="157"/>
      <c r="D645" s="157"/>
      <c r="E645" s="157"/>
      <c r="F645" s="157"/>
      <c r="G645" s="3"/>
      <c r="H645" s="156"/>
      <c r="I645" s="156"/>
      <c r="J645" s="156"/>
      <c r="K645" s="165"/>
      <c r="L645" s="165"/>
      <c r="M645" s="1"/>
      <c r="N645" s="164"/>
      <c r="O645" s="1"/>
      <c r="P645" s="153"/>
      <c r="Q645" s="39"/>
      <c r="R645" s="39"/>
      <c r="S645" s="39"/>
      <c r="T645" s="154"/>
      <c r="U645" s="40"/>
    </row>
    <row r="646" spans="1:21" ht="20" customHeight="1" x14ac:dyDescent="0.15">
      <c r="A646" s="284" t="s">
        <v>6542</v>
      </c>
      <c r="B646" s="157"/>
      <c r="C646" s="157"/>
      <c r="D646" s="157"/>
      <c r="E646" s="157"/>
      <c r="F646" s="157"/>
      <c r="G646" s="3"/>
      <c r="H646" s="156"/>
      <c r="I646" s="156"/>
      <c r="J646" s="156"/>
      <c r="K646" s="165"/>
      <c r="L646" s="165"/>
      <c r="M646" s="1"/>
      <c r="N646" s="164"/>
      <c r="O646" s="1"/>
      <c r="P646" s="153"/>
      <c r="Q646" s="39"/>
      <c r="R646" s="39"/>
      <c r="S646" s="39"/>
      <c r="T646" s="154"/>
      <c r="U646" s="40"/>
    </row>
    <row r="647" spans="1:21" ht="20" customHeight="1" x14ac:dyDescent="0.15">
      <c r="A647" s="284" t="s">
        <v>6543</v>
      </c>
      <c r="B647" s="157"/>
      <c r="C647" s="157"/>
      <c r="D647" s="157"/>
      <c r="E647" s="157"/>
      <c r="F647" s="157"/>
      <c r="G647" s="3"/>
      <c r="H647" s="156"/>
      <c r="I647" s="156"/>
      <c r="J647" s="156"/>
      <c r="K647" s="165"/>
      <c r="L647" s="165"/>
      <c r="M647" s="1"/>
      <c r="N647" s="164"/>
      <c r="O647" s="1"/>
      <c r="P647" s="153"/>
      <c r="Q647" s="39"/>
      <c r="R647" s="39"/>
      <c r="S647" s="39"/>
      <c r="T647" s="154"/>
      <c r="U647" s="40"/>
    </row>
    <row r="648" spans="1:21" ht="20" customHeight="1" x14ac:dyDescent="0.15">
      <c r="A648" s="284" t="s">
        <v>6544</v>
      </c>
      <c r="B648" s="157"/>
      <c r="C648" s="157"/>
      <c r="D648" s="157"/>
      <c r="E648" s="157"/>
      <c r="F648" s="157"/>
      <c r="G648" s="3"/>
      <c r="H648" s="156"/>
      <c r="I648" s="156"/>
      <c r="J648" s="156"/>
      <c r="K648" s="165"/>
      <c r="L648" s="165"/>
      <c r="M648" s="1"/>
      <c r="N648" s="164"/>
      <c r="O648" s="1"/>
      <c r="P648" s="153"/>
      <c r="Q648" s="39"/>
      <c r="R648" s="39"/>
      <c r="S648" s="39"/>
      <c r="T648" s="154"/>
      <c r="U648" s="40"/>
    </row>
    <row r="649" spans="1:21" ht="20" customHeight="1" x14ac:dyDescent="0.15">
      <c r="A649" s="284" t="s">
        <v>6545</v>
      </c>
      <c r="B649" s="157"/>
      <c r="C649" s="157"/>
      <c r="D649" s="157"/>
      <c r="E649" s="157"/>
      <c r="F649" s="157"/>
      <c r="G649" s="3"/>
      <c r="H649" s="156"/>
      <c r="I649" s="156"/>
      <c r="J649" s="156"/>
      <c r="K649" s="165"/>
      <c r="L649" s="165"/>
      <c r="M649" s="1"/>
      <c r="N649" s="164"/>
      <c r="O649" s="1"/>
      <c r="P649" s="153"/>
      <c r="Q649" s="39"/>
      <c r="R649" s="39"/>
      <c r="S649" s="39"/>
      <c r="T649" s="154"/>
      <c r="U649" s="40"/>
    </row>
    <row r="650" spans="1:21" ht="20" customHeight="1" x14ac:dyDescent="0.15">
      <c r="A650" s="284" t="s">
        <v>6546</v>
      </c>
      <c r="B650" s="157"/>
      <c r="C650" s="157"/>
      <c r="D650" s="157"/>
      <c r="E650" s="157"/>
      <c r="F650" s="157"/>
      <c r="G650" s="3"/>
      <c r="H650" s="156"/>
      <c r="I650" s="156"/>
      <c r="J650" s="156"/>
      <c r="K650" s="165"/>
      <c r="L650" s="165"/>
      <c r="M650" s="1"/>
      <c r="N650" s="164"/>
      <c r="O650" s="1"/>
      <c r="P650" s="153"/>
      <c r="Q650" s="39"/>
      <c r="R650" s="39"/>
      <c r="S650" s="39"/>
      <c r="T650" s="154"/>
      <c r="U650" s="40"/>
    </row>
    <row r="651" spans="1:21" ht="20" customHeight="1" x14ac:dyDescent="0.15">
      <c r="A651" s="284" t="s">
        <v>6547</v>
      </c>
      <c r="B651" s="157"/>
      <c r="C651" s="157"/>
      <c r="D651" s="157"/>
      <c r="E651" s="157"/>
      <c r="F651" s="157"/>
      <c r="G651" s="3"/>
      <c r="H651" s="156"/>
      <c r="I651" s="156"/>
      <c r="J651" s="156"/>
      <c r="K651" s="165"/>
      <c r="L651" s="165"/>
      <c r="M651" s="1"/>
      <c r="N651" s="164"/>
      <c r="O651" s="1"/>
      <c r="P651" s="153"/>
      <c r="Q651" s="39"/>
      <c r="R651" s="39"/>
      <c r="S651" s="39"/>
      <c r="T651" s="154"/>
      <c r="U651" s="40"/>
    </row>
    <row r="652" spans="1:21" ht="20" customHeight="1" x14ac:dyDescent="0.15">
      <c r="A652" s="284" t="s">
        <v>6548</v>
      </c>
      <c r="B652" s="157"/>
      <c r="C652" s="157"/>
      <c r="D652" s="157"/>
      <c r="E652" s="157"/>
      <c r="F652" s="157"/>
      <c r="G652" s="3"/>
      <c r="H652" s="156"/>
      <c r="I652" s="156"/>
      <c r="J652" s="156"/>
      <c r="K652" s="165"/>
      <c r="L652" s="165"/>
      <c r="M652" s="1"/>
      <c r="N652" s="164"/>
      <c r="O652" s="1"/>
      <c r="P652" s="153"/>
      <c r="Q652" s="39"/>
      <c r="R652" s="39"/>
      <c r="S652" s="39"/>
      <c r="T652" s="154"/>
      <c r="U652" s="40"/>
    </row>
    <row r="653" spans="1:21" ht="20" customHeight="1" x14ac:dyDescent="0.15">
      <c r="A653" s="284" t="s">
        <v>6549</v>
      </c>
      <c r="B653" s="157"/>
      <c r="C653" s="157"/>
      <c r="D653" s="157"/>
      <c r="E653" s="157"/>
      <c r="F653" s="157"/>
      <c r="G653" s="3"/>
      <c r="H653" s="156"/>
      <c r="I653" s="156"/>
      <c r="J653" s="156"/>
      <c r="K653" s="165"/>
      <c r="L653" s="165"/>
      <c r="M653" s="1"/>
      <c r="N653" s="164"/>
      <c r="O653" s="1"/>
      <c r="P653" s="153"/>
      <c r="Q653" s="39"/>
      <c r="R653" s="39"/>
      <c r="S653" s="39"/>
      <c r="T653" s="154"/>
      <c r="U653" s="40"/>
    </row>
    <row r="654" spans="1:21" ht="20" customHeight="1" x14ac:dyDescent="0.15">
      <c r="A654" s="284" t="s">
        <v>6550</v>
      </c>
      <c r="B654" s="157"/>
      <c r="C654" s="157"/>
      <c r="D654" s="157"/>
      <c r="E654" s="157"/>
      <c r="F654" s="157"/>
      <c r="G654" s="3"/>
      <c r="H654" s="156"/>
      <c r="I654" s="156"/>
      <c r="J654" s="156"/>
      <c r="K654" s="165"/>
      <c r="L654" s="165"/>
      <c r="M654" s="1"/>
      <c r="N654" s="164"/>
      <c r="O654" s="1"/>
      <c r="P654" s="153"/>
      <c r="Q654" s="39"/>
      <c r="R654" s="39"/>
      <c r="S654" s="39"/>
      <c r="T654" s="154"/>
      <c r="U654" s="40"/>
    </row>
    <row r="655" spans="1:21" ht="20" customHeight="1" x14ac:dyDescent="0.15">
      <c r="A655" s="284" t="s">
        <v>6551</v>
      </c>
      <c r="B655" s="157"/>
      <c r="C655" s="157"/>
      <c r="D655" s="157"/>
      <c r="E655" s="157"/>
      <c r="F655" s="157"/>
      <c r="G655" s="3"/>
      <c r="H655" s="156"/>
      <c r="I655" s="156"/>
      <c r="J655" s="156"/>
      <c r="K655" s="165"/>
      <c r="L655" s="165"/>
      <c r="M655" s="1"/>
      <c r="N655" s="164"/>
      <c r="O655" s="1"/>
      <c r="P655" s="153"/>
      <c r="Q655" s="39"/>
      <c r="R655" s="39"/>
      <c r="S655" s="39"/>
      <c r="T655" s="154"/>
      <c r="U655" s="40"/>
    </row>
    <row r="656" spans="1:21" ht="20" customHeight="1" x14ac:dyDescent="0.15">
      <c r="A656" s="284" t="s">
        <v>6552</v>
      </c>
      <c r="B656" s="157"/>
      <c r="C656" s="157"/>
      <c r="D656" s="157"/>
      <c r="E656" s="157"/>
      <c r="F656" s="157"/>
      <c r="G656" s="3"/>
      <c r="H656" s="156"/>
      <c r="I656" s="156"/>
      <c r="J656" s="156"/>
      <c r="K656" s="165"/>
      <c r="L656" s="165"/>
      <c r="M656" s="1"/>
      <c r="N656" s="164"/>
      <c r="O656" s="1"/>
      <c r="P656" s="153"/>
      <c r="Q656" s="39"/>
      <c r="R656" s="39"/>
      <c r="S656" s="39"/>
      <c r="T656" s="154"/>
      <c r="U656" s="40"/>
    </row>
    <row r="657" spans="1:21" ht="20" customHeight="1" x14ac:dyDescent="0.15">
      <c r="A657" s="284" t="s">
        <v>6553</v>
      </c>
      <c r="B657" s="157"/>
      <c r="C657" s="157"/>
      <c r="D657" s="157"/>
      <c r="E657" s="157"/>
      <c r="F657" s="157"/>
      <c r="G657" s="3"/>
      <c r="H657" s="156"/>
      <c r="I657" s="156"/>
      <c r="J657" s="156"/>
      <c r="K657" s="165"/>
      <c r="L657" s="165"/>
      <c r="M657" s="1"/>
      <c r="N657" s="164"/>
      <c r="O657" s="1"/>
      <c r="P657" s="153"/>
      <c r="Q657" s="39"/>
      <c r="R657" s="39"/>
      <c r="S657" s="39"/>
      <c r="T657" s="154"/>
      <c r="U657" s="40"/>
    </row>
    <row r="658" spans="1:21" ht="20" customHeight="1" x14ac:dyDescent="0.15">
      <c r="A658" s="284" t="s">
        <v>6554</v>
      </c>
      <c r="B658" s="157"/>
      <c r="C658" s="157"/>
      <c r="D658" s="157"/>
      <c r="E658" s="157"/>
      <c r="F658" s="157"/>
      <c r="G658" s="3"/>
      <c r="H658" s="156"/>
      <c r="I658" s="156"/>
      <c r="J658" s="156"/>
      <c r="K658" s="165"/>
      <c r="L658" s="165"/>
      <c r="M658" s="1"/>
      <c r="N658" s="164"/>
      <c r="O658" s="1"/>
      <c r="P658" s="153"/>
      <c r="Q658" s="39"/>
      <c r="R658" s="39"/>
      <c r="S658" s="39"/>
      <c r="T658" s="154"/>
      <c r="U658" s="40"/>
    </row>
    <row r="659" spans="1:21" ht="20" customHeight="1" x14ac:dyDescent="0.15">
      <c r="A659" s="284" t="s">
        <v>6555</v>
      </c>
      <c r="B659" s="157"/>
      <c r="C659" s="157"/>
      <c r="D659" s="157"/>
      <c r="E659" s="157"/>
      <c r="F659" s="157"/>
      <c r="G659" s="3"/>
      <c r="H659" s="156"/>
      <c r="I659" s="156"/>
      <c r="J659" s="156"/>
      <c r="K659" s="165"/>
      <c r="L659" s="165"/>
      <c r="M659" s="1"/>
      <c r="N659" s="164"/>
      <c r="O659" s="1"/>
      <c r="P659" s="153"/>
      <c r="Q659" s="39"/>
      <c r="R659" s="39"/>
      <c r="S659" s="39"/>
      <c r="T659" s="154"/>
      <c r="U659" s="40"/>
    </row>
    <row r="660" spans="1:21" ht="20" customHeight="1" x14ac:dyDescent="0.15">
      <c r="A660" s="284" t="s">
        <v>6556</v>
      </c>
      <c r="B660" s="157"/>
      <c r="C660" s="157"/>
      <c r="D660" s="157"/>
      <c r="E660" s="157"/>
      <c r="F660" s="157"/>
      <c r="G660" s="3"/>
      <c r="H660" s="156"/>
      <c r="I660" s="156"/>
      <c r="J660" s="156"/>
      <c r="K660" s="165"/>
      <c r="L660" s="165"/>
      <c r="M660" s="1"/>
      <c r="N660" s="164"/>
      <c r="O660" s="1"/>
      <c r="P660" s="153"/>
      <c r="Q660" s="39"/>
      <c r="R660" s="39"/>
      <c r="S660" s="39"/>
      <c r="T660" s="154"/>
      <c r="U660" s="40"/>
    </row>
    <row r="661" spans="1:21" ht="20" customHeight="1" x14ac:dyDescent="0.15">
      <c r="A661" s="284" t="s">
        <v>6557</v>
      </c>
      <c r="B661" s="157"/>
      <c r="C661" s="157"/>
      <c r="D661" s="157"/>
      <c r="E661" s="157"/>
      <c r="F661" s="157"/>
      <c r="G661" s="3"/>
      <c r="H661" s="156"/>
      <c r="I661" s="156"/>
      <c r="J661" s="156"/>
      <c r="K661" s="165"/>
      <c r="L661" s="165"/>
      <c r="M661" s="1"/>
      <c r="N661" s="164"/>
      <c r="O661" s="1"/>
      <c r="P661" s="153"/>
      <c r="Q661" s="39"/>
      <c r="R661" s="39"/>
      <c r="S661" s="39"/>
      <c r="T661" s="154"/>
      <c r="U661" s="40"/>
    </row>
    <row r="662" spans="1:21" ht="20" customHeight="1" x14ac:dyDescent="0.15">
      <c r="A662" s="284" t="s">
        <v>6558</v>
      </c>
      <c r="B662" s="157"/>
      <c r="C662" s="157"/>
      <c r="D662" s="157"/>
      <c r="E662" s="157"/>
      <c r="F662" s="157"/>
      <c r="G662" s="3"/>
      <c r="H662" s="156"/>
      <c r="I662" s="156"/>
      <c r="J662" s="156"/>
      <c r="K662" s="165"/>
      <c r="L662" s="165"/>
      <c r="M662" s="1"/>
      <c r="N662" s="164"/>
      <c r="O662" s="1"/>
      <c r="P662" s="153"/>
      <c r="Q662" s="39"/>
      <c r="R662" s="39"/>
      <c r="S662" s="39"/>
      <c r="T662" s="154"/>
      <c r="U662" s="40"/>
    </row>
    <row r="663" spans="1:21" ht="20" customHeight="1" x14ac:dyDescent="0.15">
      <c r="A663" s="284" t="s">
        <v>6559</v>
      </c>
      <c r="B663" s="157"/>
      <c r="C663" s="157"/>
      <c r="D663" s="157"/>
      <c r="E663" s="157"/>
      <c r="F663" s="157"/>
      <c r="G663" s="3"/>
      <c r="H663" s="156"/>
      <c r="I663" s="156"/>
      <c r="J663" s="156"/>
      <c r="K663" s="165"/>
      <c r="L663" s="165"/>
      <c r="M663" s="1"/>
      <c r="N663" s="164"/>
      <c r="O663" s="1"/>
      <c r="P663" s="153"/>
      <c r="Q663" s="39"/>
      <c r="R663" s="39"/>
      <c r="S663" s="39"/>
      <c r="T663" s="154"/>
      <c r="U663" s="40"/>
    </row>
    <row r="664" spans="1:21" ht="20" customHeight="1" x14ac:dyDescent="0.15">
      <c r="A664" s="284" t="s">
        <v>6560</v>
      </c>
      <c r="B664" s="157"/>
      <c r="C664" s="157"/>
      <c r="D664" s="157"/>
      <c r="E664" s="157"/>
      <c r="F664" s="157"/>
      <c r="G664" s="3"/>
      <c r="H664" s="156"/>
      <c r="I664" s="156"/>
      <c r="J664" s="156"/>
      <c r="K664" s="165"/>
      <c r="L664" s="165"/>
      <c r="M664" s="1"/>
      <c r="N664" s="164"/>
      <c r="O664" s="1"/>
      <c r="P664" s="153"/>
      <c r="Q664" s="39"/>
      <c r="R664" s="39"/>
      <c r="S664" s="39"/>
      <c r="T664" s="154"/>
      <c r="U664" s="40"/>
    </row>
    <row r="665" spans="1:21" ht="20" customHeight="1" x14ac:dyDescent="0.15">
      <c r="A665" s="284" t="s">
        <v>6561</v>
      </c>
      <c r="B665" s="157"/>
      <c r="C665" s="157"/>
      <c r="D665" s="157"/>
      <c r="E665" s="157"/>
      <c r="F665" s="157"/>
      <c r="G665" s="3"/>
      <c r="H665" s="156"/>
      <c r="I665" s="156"/>
      <c r="J665" s="156"/>
      <c r="K665" s="165"/>
      <c r="L665" s="165"/>
      <c r="M665" s="1"/>
      <c r="N665" s="164"/>
      <c r="O665" s="1"/>
      <c r="P665" s="153"/>
      <c r="Q665" s="39"/>
      <c r="R665" s="39"/>
      <c r="S665" s="39"/>
      <c r="T665" s="154"/>
      <c r="U665" s="40"/>
    </row>
    <row r="666" spans="1:21" ht="20" customHeight="1" x14ac:dyDescent="0.15">
      <c r="A666" s="284" t="s">
        <v>6562</v>
      </c>
      <c r="B666" s="157"/>
      <c r="C666" s="157"/>
      <c r="D666" s="157"/>
      <c r="E666" s="157"/>
      <c r="F666" s="157"/>
      <c r="G666" s="3"/>
      <c r="H666" s="156"/>
      <c r="I666" s="156"/>
      <c r="J666" s="156"/>
      <c r="K666" s="165"/>
      <c r="L666" s="165"/>
      <c r="M666" s="1"/>
      <c r="N666" s="164"/>
      <c r="O666" s="1"/>
      <c r="P666" s="153"/>
      <c r="Q666" s="39"/>
      <c r="R666" s="39"/>
      <c r="S666" s="39"/>
      <c r="T666" s="154"/>
      <c r="U666" s="40"/>
    </row>
    <row r="667" spans="1:21" ht="20" customHeight="1" x14ac:dyDescent="0.15">
      <c r="A667" s="284" t="s">
        <v>6563</v>
      </c>
      <c r="B667" s="157"/>
      <c r="C667" s="157"/>
      <c r="D667" s="157"/>
      <c r="E667" s="157"/>
      <c r="F667" s="157"/>
      <c r="G667" s="3"/>
      <c r="H667" s="156"/>
      <c r="I667" s="156"/>
      <c r="J667" s="156"/>
      <c r="K667" s="165"/>
      <c r="L667" s="165"/>
      <c r="M667" s="1"/>
      <c r="N667" s="164"/>
      <c r="O667" s="1"/>
      <c r="P667" s="153"/>
      <c r="Q667" s="39"/>
      <c r="R667" s="39"/>
      <c r="S667" s="39"/>
      <c r="T667" s="154"/>
      <c r="U667" s="40"/>
    </row>
    <row r="668" spans="1:21" ht="20" customHeight="1" x14ac:dyDescent="0.15">
      <c r="A668" s="284" t="s">
        <v>6564</v>
      </c>
      <c r="B668" s="157"/>
      <c r="C668" s="157"/>
      <c r="D668" s="157"/>
      <c r="E668" s="157"/>
      <c r="F668" s="157"/>
      <c r="G668" s="3"/>
      <c r="H668" s="156"/>
      <c r="I668" s="156"/>
      <c r="J668" s="156"/>
      <c r="K668" s="165"/>
      <c r="L668" s="165"/>
      <c r="M668" s="1"/>
      <c r="N668" s="164"/>
      <c r="O668" s="1"/>
      <c r="P668" s="153"/>
      <c r="Q668" s="39"/>
      <c r="R668" s="39"/>
      <c r="S668" s="39"/>
      <c r="T668" s="154"/>
      <c r="U668" s="40"/>
    </row>
    <row r="669" spans="1:21" ht="20" customHeight="1" x14ac:dyDescent="0.15">
      <c r="A669" s="284" t="s">
        <v>6565</v>
      </c>
      <c r="B669" s="157"/>
      <c r="C669" s="157"/>
      <c r="D669" s="157"/>
      <c r="E669" s="157"/>
      <c r="F669" s="157"/>
      <c r="G669" s="3"/>
      <c r="H669" s="156"/>
      <c r="I669" s="156"/>
      <c r="J669" s="156"/>
      <c r="K669" s="165"/>
      <c r="L669" s="165"/>
      <c r="M669" s="1"/>
      <c r="N669" s="164"/>
      <c r="O669" s="1"/>
      <c r="P669" s="153"/>
      <c r="Q669" s="39"/>
      <c r="R669" s="39"/>
      <c r="S669" s="39"/>
      <c r="T669" s="154"/>
      <c r="U669" s="40"/>
    </row>
    <row r="670" spans="1:21" ht="20" customHeight="1" x14ac:dyDescent="0.15">
      <c r="A670" s="284" t="s">
        <v>6566</v>
      </c>
      <c r="B670" s="157"/>
      <c r="C670" s="157"/>
      <c r="D670" s="157"/>
      <c r="E670" s="157"/>
      <c r="F670" s="157"/>
      <c r="G670" s="3"/>
      <c r="H670" s="156"/>
      <c r="I670" s="156"/>
      <c r="J670" s="156"/>
      <c r="K670" s="165"/>
      <c r="L670" s="165"/>
      <c r="M670" s="1"/>
      <c r="N670" s="164"/>
      <c r="O670" s="1"/>
      <c r="P670" s="153"/>
      <c r="Q670" s="39"/>
      <c r="R670" s="39"/>
      <c r="S670" s="39"/>
      <c r="T670" s="154"/>
      <c r="U670" s="40"/>
    </row>
    <row r="671" spans="1:21" ht="20" customHeight="1" x14ac:dyDescent="0.15">
      <c r="A671" s="284" t="s">
        <v>6567</v>
      </c>
      <c r="B671" s="157"/>
      <c r="C671" s="157"/>
      <c r="D671" s="157"/>
      <c r="E671" s="157"/>
      <c r="F671" s="157"/>
      <c r="G671" s="3"/>
      <c r="H671" s="156"/>
      <c r="I671" s="156"/>
      <c r="J671" s="156"/>
      <c r="K671" s="165"/>
      <c r="L671" s="165"/>
      <c r="M671" s="1"/>
      <c r="N671" s="164"/>
      <c r="O671" s="1"/>
      <c r="P671" s="153"/>
      <c r="Q671" s="39"/>
      <c r="R671" s="39"/>
      <c r="S671" s="39"/>
      <c r="T671" s="154"/>
      <c r="U671" s="40"/>
    </row>
    <row r="672" spans="1:21" ht="20" customHeight="1" x14ac:dyDescent="0.15">
      <c r="A672" s="284" t="s">
        <v>6568</v>
      </c>
      <c r="B672" s="157"/>
      <c r="C672" s="157"/>
      <c r="D672" s="157"/>
      <c r="E672" s="157"/>
      <c r="F672" s="157"/>
      <c r="G672" s="3"/>
      <c r="H672" s="156"/>
      <c r="I672" s="156"/>
      <c r="J672" s="156"/>
      <c r="K672" s="165"/>
      <c r="L672" s="165"/>
      <c r="M672" s="1"/>
      <c r="N672" s="164"/>
      <c r="O672" s="1"/>
      <c r="P672" s="153"/>
      <c r="Q672" s="39"/>
      <c r="R672" s="39"/>
      <c r="S672" s="39"/>
      <c r="T672" s="154"/>
      <c r="U672" s="40"/>
    </row>
    <row r="673" spans="1:21" ht="20" customHeight="1" x14ac:dyDescent="0.15">
      <c r="A673" s="284" t="s">
        <v>6569</v>
      </c>
      <c r="B673" s="157"/>
      <c r="C673" s="157"/>
      <c r="D673" s="157"/>
      <c r="E673" s="157"/>
      <c r="F673" s="157"/>
      <c r="G673" s="3"/>
      <c r="H673" s="156"/>
      <c r="I673" s="156"/>
      <c r="J673" s="156"/>
      <c r="K673" s="165"/>
      <c r="L673" s="165"/>
      <c r="M673" s="1"/>
      <c r="N673" s="164"/>
      <c r="O673" s="1"/>
      <c r="P673" s="153"/>
      <c r="Q673" s="39"/>
      <c r="R673" s="39"/>
      <c r="S673" s="39"/>
      <c r="T673" s="154"/>
      <c r="U673" s="40"/>
    </row>
    <row r="674" spans="1:21" ht="20" customHeight="1" x14ac:dyDescent="0.15">
      <c r="A674" s="284" t="s">
        <v>6570</v>
      </c>
      <c r="B674" s="157"/>
      <c r="C674" s="157"/>
      <c r="D674" s="157"/>
      <c r="E674" s="157"/>
      <c r="F674" s="157"/>
      <c r="G674" s="3"/>
      <c r="H674" s="156"/>
      <c r="I674" s="156"/>
      <c r="J674" s="156"/>
      <c r="K674" s="165"/>
      <c r="L674" s="165"/>
      <c r="M674" s="1"/>
      <c r="N674" s="164"/>
      <c r="O674" s="1"/>
      <c r="P674" s="153"/>
      <c r="Q674" s="39"/>
      <c r="R674" s="39"/>
      <c r="S674" s="39"/>
      <c r="T674" s="154"/>
      <c r="U674" s="40"/>
    </row>
    <row r="675" spans="1:21" ht="20" customHeight="1" x14ac:dyDescent="0.15">
      <c r="A675" s="284" t="s">
        <v>6571</v>
      </c>
      <c r="B675" s="157"/>
      <c r="C675" s="157"/>
      <c r="D675" s="157"/>
      <c r="E675" s="157"/>
      <c r="F675" s="157"/>
      <c r="G675" s="3"/>
      <c r="H675" s="156"/>
      <c r="I675" s="156"/>
      <c r="J675" s="156"/>
      <c r="K675" s="165"/>
      <c r="L675" s="165"/>
      <c r="M675" s="1"/>
      <c r="N675" s="164"/>
      <c r="O675" s="1"/>
      <c r="P675" s="153"/>
      <c r="Q675" s="39"/>
      <c r="R675" s="39"/>
      <c r="S675" s="39"/>
      <c r="T675" s="154"/>
      <c r="U675" s="40"/>
    </row>
    <row r="676" spans="1:21" ht="20" customHeight="1" x14ac:dyDescent="0.15">
      <c r="A676" s="284" t="s">
        <v>6572</v>
      </c>
      <c r="B676" s="157"/>
      <c r="C676" s="157"/>
      <c r="D676" s="157"/>
      <c r="E676" s="157"/>
      <c r="F676" s="157"/>
      <c r="G676" s="3"/>
      <c r="H676" s="156"/>
      <c r="I676" s="156"/>
      <c r="J676" s="156"/>
      <c r="K676" s="165"/>
      <c r="L676" s="165"/>
      <c r="M676" s="1"/>
      <c r="N676" s="164"/>
      <c r="O676" s="1"/>
      <c r="P676" s="153"/>
      <c r="Q676" s="39"/>
      <c r="R676" s="39"/>
      <c r="S676" s="39"/>
      <c r="T676" s="154"/>
      <c r="U676" s="40"/>
    </row>
    <row r="677" spans="1:21" ht="20" customHeight="1" x14ac:dyDescent="0.15">
      <c r="A677" s="284" t="s">
        <v>6573</v>
      </c>
      <c r="B677" s="157"/>
      <c r="C677" s="157"/>
      <c r="D677" s="157"/>
      <c r="E677" s="157"/>
      <c r="F677" s="157"/>
      <c r="G677" s="3"/>
      <c r="H677" s="156"/>
      <c r="I677" s="156"/>
      <c r="J677" s="156"/>
      <c r="K677" s="165"/>
      <c r="L677" s="165"/>
      <c r="M677" s="1"/>
      <c r="N677" s="164"/>
      <c r="O677" s="1"/>
      <c r="P677" s="153"/>
      <c r="Q677" s="39"/>
      <c r="R677" s="39"/>
      <c r="S677" s="39"/>
      <c r="T677" s="154"/>
      <c r="U677" s="40"/>
    </row>
    <row r="678" spans="1:21" ht="20" customHeight="1" x14ac:dyDescent="0.15">
      <c r="A678" s="284" t="s">
        <v>6574</v>
      </c>
      <c r="B678" s="157"/>
      <c r="C678" s="157"/>
      <c r="D678" s="157"/>
      <c r="E678" s="157"/>
      <c r="F678" s="157"/>
      <c r="G678" s="3"/>
      <c r="H678" s="156"/>
      <c r="I678" s="156"/>
      <c r="J678" s="156"/>
      <c r="K678" s="165"/>
      <c r="L678" s="165"/>
      <c r="M678" s="1"/>
      <c r="N678" s="164"/>
      <c r="O678" s="1"/>
      <c r="P678" s="153"/>
      <c r="Q678" s="39"/>
      <c r="R678" s="39"/>
      <c r="S678" s="39"/>
      <c r="T678" s="154"/>
      <c r="U678" s="40"/>
    </row>
    <row r="679" spans="1:21" ht="20" customHeight="1" x14ac:dyDescent="0.15">
      <c r="A679" s="284" t="s">
        <v>6575</v>
      </c>
      <c r="B679" s="157"/>
      <c r="C679" s="157"/>
      <c r="D679" s="157"/>
      <c r="E679" s="157"/>
      <c r="F679" s="157"/>
      <c r="G679" s="3"/>
      <c r="H679" s="156"/>
      <c r="I679" s="156"/>
      <c r="J679" s="156"/>
      <c r="K679" s="165"/>
      <c r="L679" s="165"/>
      <c r="M679" s="1"/>
      <c r="N679" s="164"/>
      <c r="O679" s="1"/>
      <c r="P679" s="153"/>
      <c r="Q679" s="39"/>
      <c r="R679" s="39"/>
      <c r="S679" s="39"/>
      <c r="T679" s="154"/>
      <c r="U679" s="40"/>
    </row>
    <row r="680" spans="1:21" ht="20" customHeight="1" x14ac:dyDescent="0.15">
      <c r="A680" s="284" t="s">
        <v>6576</v>
      </c>
      <c r="B680" s="157"/>
      <c r="C680" s="157"/>
      <c r="D680" s="157"/>
      <c r="E680" s="157"/>
      <c r="F680" s="157"/>
      <c r="G680" s="3"/>
      <c r="H680" s="156"/>
      <c r="I680" s="156"/>
      <c r="J680" s="156"/>
      <c r="K680" s="165"/>
      <c r="L680" s="165"/>
      <c r="M680" s="1"/>
      <c r="N680" s="164"/>
      <c r="O680" s="1"/>
      <c r="P680" s="153"/>
      <c r="Q680" s="39"/>
      <c r="R680" s="39"/>
      <c r="S680" s="39"/>
      <c r="T680" s="154"/>
      <c r="U680" s="40"/>
    </row>
    <row r="681" spans="1:21" ht="20" customHeight="1" x14ac:dyDescent="0.15">
      <c r="A681" s="284" t="s">
        <v>6577</v>
      </c>
      <c r="B681" s="157"/>
      <c r="C681" s="157"/>
      <c r="D681" s="157"/>
      <c r="E681" s="157"/>
      <c r="F681" s="157"/>
      <c r="G681" s="3"/>
      <c r="H681" s="156"/>
      <c r="I681" s="156"/>
      <c r="J681" s="156"/>
      <c r="K681" s="165"/>
      <c r="L681" s="165"/>
      <c r="M681" s="1"/>
      <c r="N681" s="164"/>
      <c r="O681" s="1"/>
      <c r="P681" s="153"/>
      <c r="Q681" s="39"/>
      <c r="R681" s="39"/>
      <c r="S681" s="39"/>
      <c r="T681" s="154"/>
      <c r="U681" s="40"/>
    </row>
    <row r="682" spans="1:21" ht="20" customHeight="1" x14ac:dyDescent="0.15">
      <c r="A682" s="284" t="s">
        <v>6578</v>
      </c>
      <c r="B682" s="157"/>
      <c r="C682" s="157"/>
      <c r="D682" s="157"/>
      <c r="E682" s="157"/>
      <c r="F682" s="157"/>
      <c r="G682" s="3"/>
      <c r="H682" s="156"/>
      <c r="I682" s="156"/>
      <c r="J682" s="156"/>
      <c r="K682" s="165"/>
      <c r="L682" s="165"/>
      <c r="M682" s="1"/>
      <c r="N682" s="164"/>
      <c r="O682" s="1"/>
      <c r="P682" s="153"/>
      <c r="Q682" s="39"/>
      <c r="R682" s="39"/>
      <c r="S682" s="39"/>
      <c r="T682" s="154"/>
      <c r="U682" s="40"/>
    </row>
    <row r="683" spans="1:21" ht="20" customHeight="1" x14ac:dyDescent="0.15">
      <c r="A683" s="284" t="s">
        <v>6579</v>
      </c>
      <c r="B683" s="157"/>
      <c r="C683" s="157"/>
      <c r="D683" s="157"/>
      <c r="E683" s="157"/>
      <c r="F683" s="157"/>
      <c r="G683" s="3"/>
      <c r="H683" s="156"/>
      <c r="I683" s="156"/>
      <c r="J683" s="156"/>
      <c r="K683" s="165"/>
      <c r="L683" s="165"/>
      <c r="M683" s="1"/>
      <c r="N683" s="164"/>
      <c r="O683" s="1"/>
      <c r="P683" s="153"/>
      <c r="Q683" s="39"/>
      <c r="R683" s="39"/>
      <c r="S683" s="39"/>
      <c r="T683" s="154"/>
      <c r="U683" s="40"/>
    </row>
    <row r="684" spans="1:21" ht="20" customHeight="1" x14ac:dyDescent="0.15">
      <c r="A684" s="284" t="s">
        <v>6580</v>
      </c>
      <c r="B684" s="157"/>
      <c r="C684" s="157"/>
      <c r="D684" s="157"/>
      <c r="E684" s="157"/>
      <c r="F684" s="157"/>
      <c r="G684" s="3"/>
      <c r="H684" s="156"/>
      <c r="I684" s="156"/>
      <c r="J684" s="156"/>
      <c r="K684" s="165"/>
      <c r="L684" s="165"/>
      <c r="M684" s="1"/>
      <c r="N684" s="164"/>
      <c r="O684" s="1"/>
      <c r="P684" s="153"/>
      <c r="Q684" s="39"/>
      <c r="R684" s="39"/>
      <c r="S684" s="39"/>
      <c r="T684" s="154"/>
      <c r="U684" s="40"/>
    </row>
    <row r="685" spans="1:21" ht="20" customHeight="1" x14ac:dyDescent="0.15">
      <c r="A685" s="284" t="s">
        <v>6581</v>
      </c>
      <c r="B685" s="157"/>
      <c r="C685" s="157"/>
      <c r="D685" s="157"/>
      <c r="E685" s="157"/>
      <c r="F685" s="157"/>
      <c r="G685" s="3"/>
      <c r="H685" s="156"/>
      <c r="I685" s="156"/>
      <c r="J685" s="156"/>
      <c r="K685" s="165"/>
      <c r="L685" s="165"/>
      <c r="M685" s="1"/>
      <c r="N685" s="164"/>
      <c r="O685" s="1"/>
      <c r="P685" s="153"/>
      <c r="Q685" s="39"/>
      <c r="R685" s="39"/>
      <c r="S685" s="39"/>
      <c r="T685" s="154"/>
      <c r="U685" s="40"/>
    </row>
    <row r="686" spans="1:21" ht="20" customHeight="1" x14ac:dyDescent="0.15">
      <c r="A686" s="284" t="s">
        <v>6582</v>
      </c>
      <c r="B686" s="157"/>
      <c r="C686" s="157"/>
      <c r="D686" s="157"/>
      <c r="E686" s="157"/>
      <c r="F686" s="157"/>
      <c r="G686" s="3"/>
      <c r="H686" s="156"/>
      <c r="I686" s="156"/>
      <c r="J686" s="156"/>
      <c r="K686" s="165"/>
      <c r="L686" s="165"/>
      <c r="M686" s="1"/>
      <c r="N686" s="164"/>
      <c r="O686" s="1"/>
      <c r="P686" s="153"/>
      <c r="Q686" s="39"/>
      <c r="R686" s="39"/>
      <c r="S686" s="39"/>
      <c r="T686" s="154"/>
      <c r="U686" s="40"/>
    </row>
    <row r="687" spans="1:21" ht="20" customHeight="1" x14ac:dyDescent="0.15">
      <c r="A687" s="284" t="s">
        <v>6583</v>
      </c>
      <c r="B687" s="157"/>
      <c r="C687" s="157"/>
      <c r="D687" s="157"/>
      <c r="E687" s="157"/>
      <c r="F687" s="157"/>
      <c r="G687" s="3"/>
      <c r="H687" s="156"/>
      <c r="I687" s="156"/>
      <c r="J687" s="156"/>
      <c r="K687" s="165"/>
      <c r="L687" s="165"/>
      <c r="M687" s="1"/>
      <c r="N687" s="164"/>
      <c r="O687" s="1"/>
      <c r="P687" s="153"/>
      <c r="Q687" s="39"/>
      <c r="R687" s="39"/>
      <c r="S687" s="39"/>
      <c r="T687" s="154"/>
      <c r="U687" s="40"/>
    </row>
    <row r="688" spans="1:21" ht="20" customHeight="1" x14ac:dyDescent="0.15">
      <c r="A688" s="284" t="s">
        <v>6584</v>
      </c>
      <c r="B688" s="157"/>
      <c r="C688" s="157"/>
      <c r="D688" s="157"/>
      <c r="E688" s="157"/>
      <c r="F688" s="157"/>
      <c r="G688" s="3"/>
      <c r="H688" s="156"/>
      <c r="I688" s="156"/>
      <c r="J688" s="156"/>
      <c r="K688" s="165"/>
      <c r="L688" s="165"/>
      <c r="M688" s="1"/>
      <c r="N688" s="164"/>
      <c r="O688" s="1"/>
      <c r="P688" s="153"/>
      <c r="Q688" s="39"/>
      <c r="R688" s="39"/>
      <c r="S688" s="39"/>
      <c r="T688" s="154"/>
      <c r="U688" s="40"/>
    </row>
    <row r="689" spans="1:21" ht="20" customHeight="1" x14ac:dyDescent="0.15">
      <c r="A689" s="284" t="s">
        <v>6585</v>
      </c>
      <c r="B689" s="157"/>
      <c r="C689" s="157"/>
      <c r="D689" s="157"/>
      <c r="E689" s="157"/>
      <c r="F689" s="157"/>
      <c r="G689" s="3"/>
      <c r="H689" s="156"/>
      <c r="I689" s="156"/>
      <c r="J689" s="156"/>
      <c r="K689" s="165"/>
      <c r="L689" s="165"/>
      <c r="M689" s="1"/>
      <c r="N689" s="164"/>
      <c r="O689" s="1"/>
      <c r="P689" s="153"/>
      <c r="Q689" s="39"/>
      <c r="R689" s="39"/>
      <c r="S689" s="39"/>
      <c r="T689" s="154"/>
      <c r="U689" s="40"/>
    </row>
    <row r="690" spans="1:21" ht="20" customHeight="1" x14ac:dyDescent="0.15">
      <c r="A690" s="284" t="s">
        <v>6586</v>
      </c>
      <c r="B690" s="157"/>
      <c r="C690" s="157"/>
      <c r="D690" s="157"/>
      <c r="E690" s="157"/>
      <c r="F690" s="157"/>
      <c r="G690" s="3"/>
      <c r="H690" s="156"/>
      <c r="I690" s="156"/>
      <c r="J690" s="156"/>
      <c r="K690" s="165"/>
      <c r="L690" s="165"/>
      <c r="M690" s="1"/>
      <c r="N690" s="164"/>
      <c r="O690" s="1"/>
      <c r="P690" s="153"/>
      <c r="Q690" s="39"/>
      <c r="R690" s="39"/>
      <c r="S690" s="39"/>
      <c r="T690" s="154"/>
      <c r="U690" s="40"/>
    </row>
    <row r="691" spans="1:21" ht="20" customHeight="1" x14ac:dyDescent="0.15">
      <c r="A691" s="284" t="s">
        <v>6587</v>
      </c>
      <c r="B691" s="157"/>
      <c r="C691" s="157"/>
      <c r="D691" s="157"/>
      <c r="E691" s="157"/>
      <c r="F691" s="157"/>
      <c r="G691" s="3"/>
      <c r="H691" s="156"/>
      <c r="I691" s="156"/>
      <c r="J691" s="156"/>
      <c r="K691" s="165"/>
      <c r="L691" s="165"/>
      <c r="M691" s="1"/>
      <c r="N691" s="164"/>
      <c r="O691" s="1"/>
      <c r="P691" s="153"/>
      <c r="Q691" s="39"/>
      <c r="R691" s="39"/>
      <c r="S691" s="39"/>
      <c r="T691" s="154"/>
      <c r="U691" s="40"/>
    </row>
    <row r="692" spans="1:21" ht="20" customHeight="1" x14ac:dyDescent="0.15">
      <c r="A692" s="284" t="s">
        <v>6588</v>
      </c>
      <c r="B692" s="157"/>
      <c r="C692" s="157"/>
      <c r="D692" s="157"/>
      <c r="E692" s="157"/>
      <c r="F692" s="157"/>
      <c r="G692" s="3"/>
      <c r="H692" s="156"/>
      <c r="I692" s="156"/>
      <c r="J692" s="156"/>
      <c r="K692" s="165"/>
      <c r="L692" s="165"/>
      <c r="M692" s="1"/>
      <c r="N692" s="164"/>
      <c r="O692" s="1"/>
      <c r="P692" s="153"/>
      <c r="Q692" s="39"/>
      <c r="R692" s="39"/>
      <c r="S692" s="39"/>
      <c r="T692" s="154"/>
      <c r="U692" s="40"/>
    </row>
    <row r="693" spans="1:21" ht="20" customHeight="1" x14ac:dyDescent="0.15">
      <c r="A693" s="284" t="s">
        <v>6589</v>
      </c>
      <c r="B693" s="157"/>
      <c r="C693" s="157"/>
      <c r="D693" s="157"/>
      <c r="E693" s="157"/>
      <c r="F693" s="157"/>
      <c r="G693" s="3"/>
      <c r="H693" s="156"/>
      <c r="I693" s="156"/>
      <c r="J693" s="156"/>
      <c r="K693" s="165"/>
      <c r="L693" s="165"/>
      <c r="M693" s="1"/>
      <c r="N693" s="164"/>
      <c r="O693" s="1"/>
      <c r="P693" s="153"/>
      <c r="Q693" s="39"/>
      <c r="R693" s="39"/>
      <c r="S693" s="39"/>
      <c r="T693" s="154"/>
      <c r="U693" s="40"/>
    </row>
    <row r="694" spans="1:21" ht="20" customHeight="1" x14ac:dyDescent="0.15">
      <c r="A694" s="284" t="s">
        <v>6590</v>
      </c>
      <c r="B694" s="157"/>
      <c r="C694" s="157"/>
      <c r="D694" s="157"/>
      <c r="E694" s="157"/>
      <c r="F694" s="157"/>
      <c r="G694" s="3"/>
      <c r="H694" s="156"/>
      <c r="I694" s="156"/>
      <c r="J694" s="156"/>
      <c r="K694" s="165"/>
      <c r="L694" s="165"/>
      <c r="M694" s="1"/>
      <c r="N694" s="164"/>
      <c r="O694" s="1"/>
      <c r="P694" s="153"/>
      <c r="Q694" s="39"/>
      <c r="R694" s="39"/>
      <c r="S694" s="39"/>
      <c r="T694" s="154"/>
      <c r="U694" s="40"/>
    </row>
    <row r="695" spans="1:21" ht="20" customHeight="1" x14ac:dyDescent="0.15">
      <c r="A695" s="284" t="s">
        <v>6591</v>
      </c>
      <c r="B695" s="157"/>
      <c r="C695" s="157"/>
      <c r="D695" s="157"/>
      <c r="E695" s="157"/>
      <c r="F695" s="157"/>
      <c r="G695" s="3"/>
      <c r="H695" s="156"/>
      <c r="I695" s="156"/>
      <c r="J695" s="156"/>
      <c r="K695" s="165"/>
      <c r="L695" s="165"/>
      <c r="M695" s="1"/>
      <c r="N695" s="164"/>
      <c r="O695" s="1"/>
      <c r="P695" s="153"/>
      <c r="Q695" s="39"/>
      <c r="R695" s="39"/>
      <c r="S695" s="39"/>
      <c r="T695" s="154"/>
      <c r="U695" s="40"/>
    </row>
    <row r="696" spans="1:21" ht="20" customHeight="1" x14ac:dyDescent="0.15">
      <c r="A696" s="284" t="s">
        <v>6592</v>
      </c>
      <c r="B696" s="157"/>
      <c r="C696" s="157"/>
      <c r="D696" s="157"/>
      <c r="E696" s="157"/>
      <c r="F696" s="157"/>
      <c r="G696" s="3"/>
      <c r="H696" s="156"/>
      <c r="I696" s="156"/>
      <c r="J696" s="156"/>
      <c r="K696" s="165"/>
      <c r="L696" s="165"/>
      <c r="M696" s="1"/>
      <c r="N696" s="164"/>
      <c r="O696" s="1"/>
      <c r="P696" s="153"/>
      <c r="Q696" s="39"/>
      <c r="R696" s="39"/>
      <c r="S696" s="39"/>
      <c r="T696" s="154"/>
      <c r="U696" s="40"/>
    </row>
    <row r="697" spans="1:21" ht="20" customHeight="1" x14ac:dyDescent="0.15">
      <c r="A697" s="284" t="s">
        <v>6593</v>
      </c>
      <c r="B697" s="157"/>
      <c r="C697" s="157"/>
      <c r="D697" s="157"/>
      <c r="E697" s="157"/>
      <c r="F697" s="157"/>
      <c r="G697" s="3"/>
      <c r="H697" s="156"/>
      <c r="I697" s="156"/>
      <c r="J697" s="156"/>
      <c r="K697" s="165"/>
      <c r="L697" s="165"/>
      <c r="M697" s="1"/>
      <c r="N697" s="164"/>
      <c r="O697" s="1"/>
      <c r="P697" s="153"/>
      <c r="Q697" s="39"/>
      <c r="R697" s="39"/>
      <c r="S697" s="39"/>
      <c r="T697" s="154"/>
      <c r="U697" s="40"/>
    </row>
    <row r="698" spans="1:21" ht="20" customHeight="1" x14ac:dyDescent="0.15">
      <c r="A698" s="284" t="s">
        <v>6594</v>
      </c>
      <c r="B698" s="157"/>
      <c r="C698" s="157"/>
      <c r="D698" s="157"/>
      <c r="E698" s="157"/>
      <c r="F698" s="157"/>
      <c r="G698" s="3"/>
      <c r="H698" s="156"/>
      <c r="I698" s="156"/>
      <c r="J698" s="156"/>
      <c r="K698" s="165"/>
      <c r="L698" s="165"/>
      <c r="M698" s="1"/>
      <c r="N698" s="164"/>
      <c r="O698" s="1"/>
      <c r="P698" s="153"/>
      <c r="Q698" s="39"/>
      <c r="R698" s="39"/>
      <c r="S698" s="39"/>
      <c r="T698" s="154"/>
      <c r="U698" s="40"/>
    </row>
    <row r="699" spans="1:21" ht="20" customHeight="1" x14ac:dyDescent="0.15">
      <c r="A699" s="284" t="s">
        <v>6595</v>
      </c>
      <c r="B699" s="157"/>
      <c r="C699" s="157"/>
      <c r="D699" s="157"/>
      <c r="E699" s="157"/>
      <c r="F699" s="157"/>
      <c r="G699" s="3"/>
      <c r="H699" s="156"/>
      <c r="I699" s="156"/>
      <c r="J699" s="156"/>
      <c r="K699" s="165"/>
      <c r="L699" s="165"/>
      <c r="M699" s="1"/>
      <c r="N699" s="164"/>
      <c r="O699" s="1"/>
      <c r="P699" s="153"/>
      <c r="Q699" s="39"/>
      <c r="R699" s="39"/>
      <c r="S699" s="39"/>
      <c r="T699" s="154"/>
      <c r="U699" s="40"/>
    </row>
    <row r="700" spans="1:21" ht="20" customHeight="1" x14ac:dyDescent="0.15">
      <c r="A700" s="284" t="s">
        <v>6596</v>
      </c>
      <c r="B700" s="157"/>
      <c r="C700" s="157"/>
      <c r="D700" s="157"/>
      <c r="E700" s="157"/>
      <c r="F700" s="157"/>
      <c r="G700" s="3"/>
      <c r="H700" s="156"/>
      <c r="I700" s="156"/>
      <c r="J700" s="156"/>
      <c r="K700" s="165"/>
      <c r="L700" s="165"/>
      <c r="M700" s="1"/>
      <c r="N700" s="164"/>
      <c r="O700" s="1"/>
      <c r="P700" s="153"/>
      <c r="Q700" s="39"/>
      <c r="R700" s="39"/>
      <c r="S700" s="39"/>
      <c r="T700" s="154"/>
      <c r="U700" s="40"/>
    </row>
    <row r="701" spans="1:21" ht="20" customHeight="1" x14ac:dyDescent="0.15">
      <c r="A701" s="284" t="s">
        <v>6597</v>
      </c>
      <c r="B701" s="157"/>
      <c r="C701" s="157"/>
      <c r="D701" s="157"/>
      <c r="E701" s="157"/>
      <c r="F701" s="157"/>
      <c r="G701" s="3"/>
      <c r="H701" s="156"/>
      <c r="I701" s="156"/>
      <c r="J701" s="156"/>
      <c r="K701" s="165"/>
      <c r="L701" s="165"/>
      <c r="M701" s="1"/>
      <c r="N701" s="164"/>
      <c r="O701" s="1"/>
      <c r="P701" s="153"/>
      <c r="Q701" s="39"/>
      <c r="R701" s="39"/>
      <c r="S701" s="39"/>
      <c r="T701" s="154"/>
      <c r="U701" s="40"/>
    </row>
    <row r="702" spans="1:21" ht="20" customHeight="1" x14ac:dyDescent="0.15">
      <c r="A702" s="284" t="s">
        <v>6598</v>
      </c>
      <c r="B702" s="157"/>
      <c r="C702" s="157"/>
      <c r="D702" s="157"/>
      <c r="E702" s="157"/>
      <c r="F702" s="157"/>
      <c r="G702" s="3"/>
      <c r="H702" s="156"/>
      <c r="I702" s="156"/>
      <c r="J702" s="156"/>
      <c r="K702" s="165"/>
      <c r="L702" s="165"/>
      <c r="M702" s="1"/>
      <c r="N702" s="164"/>
      <c r="O702" s="1"/>
      <c r="P702" s="153"/>
      <c r="Q702" s="39"/>
      <c r="R702" s="39"/>
      <c r="S702" s="39"/>
      <c r="T702" s="154"/>
      <c r="U702" s="40"/>
    </row>
    <row r="703" spans="1:21" ht="20" customHeight="1" x14ac:dyDescent="0.15">
      <c r="A703" s="284" t="s">
        <v>6599</v>
      </c>
      <c r="B703" s="157"/>
      <c r="C703" s="157"/>
      <c r="D703" s="157"/>
      <c r="E703" s="157"/>
      <c r="F703" s="157"/>
      <c r="G703" s="3"/>
      <c r="H703" s="156"/>
      <c r="I703" s="156"/>
      <c r="J703" s="156"/>
      <c r="K703" s="165"/>
      <c r="L703" s="165"/>
      <c r="M703" s="1"/>
      <c r="N703" s="164"/>
      <c r="O703" s="1"/>
      <c r="P703" s="153"/>
      <c r="Q703" s="39"/>
      <c r="R703" s="39"/>
      <c r="S703" s="39"/>
      <c r="T703" s="154"/>
      <c r="U703" s="40"/>
    </row>
    <row r="704" spans="1:21" ht="20" customHeight="1" x14ac:dyDescent="0.15">
      <c r="A704" s="284" t="s">
        <v>6600</v>
      </c>
      <c r="B704" s="157"/>
      <c r="C704" s="157"/>
      <c r="D704" s="157"/>
      <c r="E704" s="157"/>
      <c r="F704" s="157"/>
      <c r="G704" s="3"/>
      <c r="H704" s="156"/>
      <c r="I704" s="156"/>
      <c r="J704" s="156"/>
      <c r="K704" s="165"/>
      <c r="L704" s="165"/>
      <c r="M704" s="1"/>
      <c r="N704" s="164"/>
      <c r="O704" s="1"/>
      <c r="P704" s="153"/>
      <c r="Q704" s="39"/>
      <c r="R704" s="39"/>
      <c r="S704" s="39"/>
      <c r="T704" s="154"/>
      <c r="U704" s="40"/>
    </row>
    <row r="705" spans="1:21" ht="20" customHeight="1" x14ac:dyDescent="0.15">
      <c r="A705" s="284" t="s">
        <v>6601</v>
      </c>
      <c r="B705" s="157"/>
      <c r="C705" s="157"/>
      <c r="D705" s="157"/>
      <c r="E705" s="157"/>
      <c r="F705" s="157"/>
      <c r="G705" s="3"/>
      <c r="H705" s="156"/>
      <c r="I705" s="156"/>
      <c r="J705" s="156"/>
      <c r="K705" s="165"/>
      <c r="L705" s="165"/>
      <c r="M705" s="1"/>
      <c r="N705" s="164"/>
      <c r="O705" s="1"/>
      <c r="P705" s="153"/>
      <c r="Q705" s="39"/>
      <c r="R705" s="39"/>
      <c r="S705" s="39"/>
      <c r="T705" s="154"/>
      <c r="U705" s="40"/>
    </row>
    <row r="706" spans="1:21" ht="20" customHeight="1" x14ac:dyDescent="0.15">
      <c r="A706" s="284" t="s">
        <v>6602</v>
      </c>
      <c r="B706" s="157"/>
      <c r="C706" s="157"/>
      <c r="D706" s="157"/>
      <c r="E706" s="157"/>
      <c r="F706" s="157"/>
      <c r="G706" s="3"/>
      <c r="H706" s="156"/>
      <c r="I706" s="156"/>
      <c r="J706" s="156"/>
      <c r="K706" s="165"/>
      <c r="L706" s="165"/>
      <c r="M706" s="1"/>
      <c r="N706" s="164"/>
      <c r="O706" s="1"/>
      <c r="P706" s="153"/>
      <c r="Q706" s="39"/>
      <c r="R706" s="39"/>
      <c r="S706" s="39"/>
      <c r="T706" s="154"/>
      <c r="U706" s="40"/>
    </row>
    <row r="707" spans="1:21" ht="20" customHeight="1" x14ac:dyDescent="0.15">
      <c r="A707" s="284" t="s">
        <v>6603</v>
      </c>
      <c r="B707" s="157"/>
      <c r="C707" s="157"/>
      <c r="D707" s="157"/>
      <c r="E707" s="157"/>
      <c r="F707" s="157"/>
      <c r="G707" s="3"/>
      <c r="H707" s="156"/>
      <c r="I707" s="156"/>
      <c r="J707" s="156"/>
      <c r="K707" s="165"/>
      <c r="L707" s="165"/>
      <c r="M707" s="1"/>
      <c r="N707" s="164"/>
      <c r="O707" s="1"/>
      <c r="P707" s="153"/>
      <c r="Q707" s="39"/>
      <c r="R707" s="39"/>
      <c r="S707" s="39"/>
      <c r="T707" s="154"/>
      <c r="U707" s="40"/>
    </row>
    <row r="708" spans="1:21" ht="20" customHeight="1" x14ac:dyDescent="0.15">
      <c r="A708" s="284" t="s">
        <v>6604</v>
      </c>
      <c r="B708" s="157"/>
      <c r="C708" s="157"/>
      <c r="D708" s="157"/>
      <c r="E708" s="157"/>
      <c r="F708" s="157"/>
      <c r="G708" s="3"/>
      <c r="H708" s="156"/>
      <c r="I708" s="156"/>
      <c r="J708" s="156"/>
      <c r="K708" s="165"/>
      <c r="L708" s="165"/>
      <c r="M708" s="1"/>
      <c r="N708" s="164"/>
      <c r="O708" s="1"/>
      <c r="P708" s="153"/>
      <c r="Q708" s="39"/>
      <c r="R708" s="39"/>
      <c r="S708" s="39"/>
      <c r="T708" s="154"/>
      <c r="U708" s="40"/>
    </row>
    <row r="709" spans="1:21" ht="20" customHeight="1" x14ac:dyDescent="0.15">
      <c r="A709" s="284" t="s">
        <v>6605</v>
      </c>
      <c r="B709" s="157"/>
      <c r="C709" s="157"/>
      <c r="D709" s="157"/>
      <c r="E709" s="157"/>
      <c r="F709" s="157"/>
      <c r="G709" s="3"/>
      <c r="H709" s="156"/>
      <c r="I709" s="156"/>
      <c r="J709" s="156"/>
      <c r="K709" s="165"/>
      <c r="L709" s="165"/>
      <c r="M709" s="1"/>
      <c r="N709" s="164"/>
      <c r="O709" s="1"/>
      <c r="P709" s="153"/>
      <c r="Q709" s="39"/>
      <c r="R709" s="39"/>
      <c r="S709" s="39"/>
      <c r="T709" s="154"/>
      <c r="U709" s="40"/>
    </row>
    <row r="710" spans="1:21" ht="20" customHeight="1" x14ac:dyDescent="0.15">
      <c r="A710" s="284" t="s">
        <v>6606</v>
      </c>
      <c r="B710" s="157"/>
      <c r="C710" s="157"/>
      <c r="D710" s="157"/>
      <c r="E710" s="157"/>
      <c r="F710" s="157"/>
      <c r="G710" s="3"/>
      <c r="H710" s="156"/>
      <c r="I710" s="156"/>
      <c r="J710" s="156"/>
      <c r="K710" s="165"/>
      <c r="L710" s="165"/>
      <c r="M710" s="1"/>
      <c r="N710" s="164"/>
      <c r="O710" s="1"/>
      <c r="P710" s="153"/>
      <c r="Q710" s="39"/>
      <c r="R710" s="39"/>
      <c r="S710" s="39"/>
      <c r="T710" s="154"/>
      <c r="U710" s="40"/>
    </row>
    <row r="711" spans="1:21" ht="20" customHeight="1" x14ac:dyDescent="0.15">
      <c r="A711" s="284" t="s">
        <v>6607</v>
      </c>
      <c r="B711" s="157"/>
      <c r="C711" s="157"/>
      <c r="D711" s="157"/>
      <c r="E711" s="157"/>
      <c r="F711" s="157"/>
      <c r="G711" s="3"/>
      <c r="H711" s="156"/>
      <c r="I711" s="156"/>
      <c r="J711" s="156"/>
      <c r="K711" s="165"/>
      <c r="L711" s="165"/>
      <c r="M711" s="1"/>
      <c r="N711" s="164"/>
      <c r="O711" s="1"/>
      <c r="P711" s="153"/>
      <c r="Q711" s="39"/>
      <c r="R711" s="39"/>
      <c r="S711" s="39"/>
      <c r="T711" s="154"/>
      <c r="U711" s="40"/>
    </row>
    <row r="712" spans="1:21" ht="20" customHeight="1" x14ac:dyDescent="0.15">
      <c r="A712" s="284" t="s">
        <v>6608</v>
      </c>
      <c r="B712" s="157"/>
      <c r="C712" s="157"/>
      <c r="D712" s="157"/>
      <c r="E712" s="157"/>
      <c r="F712" s="157"/>
      <c r="G712" s="3"/>
      <c r="H712" s="156"/>
      <c r="I712" s="156"/>
      <c r="J712" s="156"/>
      <c r="K712" s="165"/>
      <c r="L712" s="165"/>
      <c r="M712" s="1"/>
      <c r="N712" s="164"/>
      <c r="O712" s="1"/>
      <c r="P712" s="153"/>
      <c r="Q712" s="39"/>
      <c r="R712" s="39"/>
      <c r="S712" s="39"/>
      <c r="T712" s="154"/>
      <c r="U712" s="40"/>
    </row>
    <row r="713" spans="1:21" ht="20" customHeight="1" x14ac:dyDescent="0.15">
      <c r="A713" s="284" t="s">
        <v>6609</v>
      </c>
      <c r="B713" s="157"/>
      <c r="C713" s="157"/>
      <c r="D713" s="157"/>
      <c r="E713" s="157"/>
      <c r="F713" s="157"/>
      <c r="G713" s="3"/>
      <c r="H713" s="156"/>
      <c r="I713" s="156"/>
      <c r="J713" s="156"/>
      <c r="K713" s="165"/>
      <c r="L713" s="165"/>
      <c r="M713" s="1"/>
      <c r="N713" s="164"/>
      <c r="O713" s="1"/>
      <c r="P713" s="153"/>
      <c r="Q713" s="39"/>
      <c r="R713" s="39"/>
      <c r="S713" s="39"/>
      <c r="T713" s="154"/>
      <c r="U713" s="40"/>
    </row>
    <row r="714" spans="1:21" ht="20" customHeight="1" x14ac:dyDescent="0.15">
      <c r="A714" s="284" t="s">
        <v>6610</v>
      </c>
      <c r="B714" s="157"/>
      <c r="C714" s="157"/>
      <c r="D714" s="157"/>
      <c r="E714" s="157"/>
      <c r="F714" s="157"/>
      <c r="G714" s="3"/>
      <c r="H714" s="156"/>
      <c r="I714" s="156"/>
      <c r="J714" s="156"/>
      <c r="K714" s="165"/>
      <c r="L714" s="165"/>
      <c r="M714" s="1"/>
      <c r="N714" s="164"/>
      <c r="O714" s="1"/>
      <c r="P714" s="153"/>
      <c r="Q714" s="39"/>
      <c r="R714" s="39"/>
      <c r="S714" s="39"/>
      <c r="T714" s="154"/>
      <c r="U714" s="40"/>
    </row>
    <row r="715" spans="1:21" ht="20" customHeight="1" x14ac:dyDescent="0.15">
      <c r="A715" s="284" t="s">
        <v>6611</v>
      </c>
      <c r="B715" s="157"/>
      <c r="C715" s="157"/>
      <c r="D715" s="157"/>
      <c r="E715" s="157"/>
      <c r="F715" s="157"/>
      <c r="G715" s="3"/>
      <c r="H715" s="156"/>
      <c r="I715" s="156"/>
      <c r="J715" s="156"/>
      <c r="K715" s="165"/>
      <c r="L715" s="165"/>
      <c r="M715" s="1"/>
      <c r="N715" s="164"/>
      <c r="O715" s="1"/>
      <c r="P715" s="153"/>
      <c r="Q715" s="39"/>
      <c r="R715" s="39"/>
      <c r="S715" s="39"/>
      <c r="T715" s="154"/>
      <c r="U715" s="40"/>
    </row>
    <row r="716" spans="1:21" ht="20" customHeight="1" x14ac:dyDescent="0.15">
      <c r="A716" s="284" t="s">
        <v>6612</v>
      </c>
      <c r="B716" s="157"/>
      <c r="C716" s="157"/>
      <c r="D716" s="157"/>
      <c r="E716" s="157"/>
      <c r="F716" s="157"/>
      <c r="G716" s="3"/>
      <c r="H716" s="156"/>
      <c r="I716" s="156"/>
      <c r="J716" s="156"/>
      <c r="K716" s="165"/>
      <c r="L716" s="165"/>
      <c r="M716" s="1"/>
      <c r="N716" s="164"/>
      <c r="O716" s="1"/>
      <c r="P716" s="153"/>
      <c r="Q716" s="39"/>
      <c r="R716" s="39"/>
      <c r="S716" s="39"/>
      <c r="T716" s="154"/>
      <c r="U716" s="40"/>
    </row>
    <row r="717" spans="1:21" ht="20" customHeight="1" x14ac:dyDescent="0.15">
      <c r="A717" s="284" t="s">
        <v>6613</v>
      </c>
      <c r="B717" s="157"/>
      <c r="C717" s="157"/>
      <c r="D717" s="157"/>
      <c r="E717" s="157"/>
      <c r="F717" s="157"/>
      <c r="G717" s="3"/>
      <c r="H717" s="156"/>
      <c r="I717" s="156"/>
      <c r="J717" s="156"/>
      <c r="K717" s="165"/>
      <c r="L717" s="165"/>
      <c r="M717" s="1"/>
      <c r="N717" s="164"/>
      <c r="O717" s="1"/>
      <c r="P717" s="153"/>
      <c r="Q717" s="39"/>
      <c r="R717" s="39"/>
      <c r="S717" s="39"/>
      <c r="T717" s="154"/>
      <c r="U717" s="40"/>
    </row>
    <row r="718" spans="1:21" ht="20" customHeight="1" x14ac:dyDescent="0.15">
      <c r="A718" s="284" t="s">
        <v>6614</v>
      </c>
      <c r="B718" s="157"/>
      <c r="C718" s="157"/>
      <c r="D718" s="157"/>
      <c r="E718" s="157"/>
      <c r="F718" s="157"/>
      <c r="G718" s="3"/>
      <c r="H718" s="156"/>
      <c r="I718" s="156"/>
      <c r="J718" s="156"/>
      <c r="K718" s="165"/>
      <c r="L718" s="165"/>
      <c r="M718" s="1"/>
      <c r="N718" s="164"/>
      <c r="O718" s="1"/>
      <c r="P718" s="153"/>
      <c r="Q718" s="39"/>
      <c r="R718" s="39"/>
      <c r="S718" s="39"/>
      <c r="T718" s="154"/>
      <c r="U718" s="40"/>
    </row>
    <row r="719" spans="1:21" ht="20" customHeight="1" x14ac:dyDescent="0.15">
      <c r="A719" s="284" t="s">
        <v>6615</v>
      </c>
      <c r="B719" s="157"/>
      <c r="C719" s="157"/>
      <c r="D719" s="157"/>
      <c r="E719" s="157"/>
      <c r="F719" s="157"/>
      <c r="G719" s="3"/>
      <c r="H719" s="156"/>
      <c r="I719" s="156"/>
      <c r="J719" s="156"/>
      <c r="K719" s="165"/>
      <c r="L719" s="165"/>
      <c r="M719" s="1"/>
      <c r="N719" s="164"/>
      <c r="O719" s="1"/>
      <c r="P719" s="153"/>
      <c r="Q719" s="39"/>
      <c r="R719" s="39"/>
      <c r="S719" s="39"/>
      <c r="T719" s="154"/>
      <c r="U719" s="40"/>
    </row>
    <row r="720" spans="1:21" ht="20" customHeight="1" x14ac:dyDescent="0.15">
      <c r="A720" s="284" t="s">
        <v>6616</v>
      </c>
      <c r="B720" s="157"/>
      <c r="C720" s="157"/>
      <c r="D720" s="157"/>
      <c r="E720" s="157"/>
      <c r="F720" s="157"/>
      <c r="G720" s="3"/>
      <c r="H720" s="156"/>
      <c r="I720" s="156"/>
      <c r="J720" s="156"/>
      <c r="K720" s="165"/>
      <c r="L720" s="165"/>
      <c r="M720" s="1"/>
      <c r="N720" s="164"/>
      <c r="O720" s="1"/>
      <c r="P720" s="153"/>
      <c r="Q720" s="39"/>
      <c r="R720" s="39"/>
      <c r="S720" s="39"/>
      <c r="T720" s="154"/>
      <c r="U720" s="40"/>
    </row>
    <row r="721" spans="1:21" ht="20" customHeight="1" x14ac:dyDescent="0.15">
      <c r="A721" s="284" t="s">
        <v>6617</v>
      </c>
      <c r="B721" s="157"/>
      <c r="C721" s="157"/>
      <c r="D721" s="157"/>
      <c r="E721" s="157"/>
      <c r="F721" s="157"/>
      <c r="G721" s="3"/>
      <c r="H721" s="156"/>
      <c r="I721" s="156"/>
      <c r="J721" s="156"/>
      <c r="K721" s="165"/>
      <c r="L721" s="165"/>
      <c r="M721" s="1"/>
      <c r="N721" s="164"/>
      <c r="O721" s="1"/>
      <c r="P721" s="153"/>
      <c r="Q721" s="39"/>
      <c r="R721" s="39"/>
      <c r="S721" s="39"/>
      <c r="T721" s="154"/>
      <c r="U721" s="40"/>
    </row>
    <row r="722" spans="1:21" ht="20" customHeight="1" x14ac:dyDescent="0.15">
      <c r="A722" s="284" t="s">
        <v>6618</v>
      </c>
      <c r="B722" s="157"/>
      <c r="C722" s="157"/>
      <c r="D722" s="157"/>
      <c r="E722" s="157"/>
      <c r="F722" s="157"/>
      <c r="G722" s="3"/>
      <c r="H722" s="156"/>
      <c r="I722" s="156"/>
      <c r="J722" s="156"/>
      <c r="K722" s="165"/>
      <c r="L722" s="165"/>
      <c r="M722" s="1"/>
      <c r="N722" s="164"/>
      <c r="O722" s="1"/>
      <c r="P722" s="153"/>
      <c r="Q722" s="39"/>
      <c r="R722" s="39"/>
      <c r="S722" s="39"/>
      <c r="T722" s="154"/>
      <c r="U722" s="40"/>
    </row>
    <row r="723" spans="1:21" ht="20" customHeight="1" x14ac:dyDescent="0.15">
      <c r="A723" s="284" t="s">
        <v>6619</v>
      </c>
      <c r="B723" s="157"/>
      <c r="C723" s="157"/>
      <c r="D723" s="157"/>
      <c r="E723" s="157"/>
      <c r="F723" s="157"/>
      <c r="G723" s="3"/>
      <c r="H723" s="156"/>
      <c r="I723" s="156"/>
      <c r="J723" s="156"/>
      <c r="K723" s="165"/>
      <c r="L723" s="165"/>
      <c r="M723" s="1"/>
      <c r="N723" s="164"/>
      <c r="O723" s="1"/>
      <c r="P723" s="153"/>
      <c r="Q723" s="39"/>
      <c r="R723" s="39"/>
      <c r="S723" s="39"/>
      <c r="T723" s="154"/>
      <c r="U723" s="40"/>
    </row>
    <row r="724" spans="1:21" ht="20" customHeight="1" x14ac:dyDescent="0.15">
      <c r="A724" s="284" t="s">
        <v>6620</v>
      </c>
      <c r="B724" s="157"/>
      <c r="C724" s="157"/>
      <c r="D724" s="157"/>
      <c r="E724" s="157"/>
      <c r="F724" s="157"/>
      <c r="G724" s="3"/>
      <c r="H724" s="156"/>
      <c r="I724" s="156"/>
      <c r="J724" s="156"/>
      <c r="K724" s="165"/>
      <c r="L724" s="165"/>
      <c r="M724" s="1"/>
      <c r="N724" s="164"/>
      <c r="O724" s="1"/>
      <c r="P724" s="153"/>
      <c r="Q724" s="39"/>
      <c r="R724" s="39"/>
      <c r="S724" s="39"/>
      <c r="T724" s="154"/>
      <c r="U724" s="40"/>
    </row>
    <row r="725" spans="1:21" ht="20" customHeight="1" x14ac:dyDescent="0.15">
      <c r="A725" s="284" t="s">
        <v>6621</v>
      </c>
      <c r="B725" s="157"/>
      <c r="C725" s="157"/>
      <c r="D725" s="157"/>
      <c r="E725" s="157"/>
      <c r="F725" s="157"/>
      <c r="G725" s="3"/>
      <c r="H725" s="156"/>
      <c r="I725" s="156"/>
      <c r="J725" s="156"/>
      <c r="K725" s="165"/>
      <c r="L725" s="165"/>
      <c r="M725" s="1"/>
      <c r="N725" s="164"/>
      <c r="O725" s="1"/>
      <c r="P725" s="153"/>
      <c r="Q725" s="39"/>
      <c r="R725" s="39"/>
      <c r="S725" s="39"/>
      <c r="T725" s="154"/>
      <c r="U725" s="40"/>
    </row>
    <row r="726" spans="1:21" ht="20" customHeight="1" x14ac:dyDescent="0.15">
      <c r="A726" s="284" t="s">
        <v>6622</v>
      </c>
      <c r="B726" s="157"/>
      <c r="C726" s="157"/>
      <c r="D726" s="157"/>
      <c r="E726" s="157"/>
      <c r="F726" s="157"/>
      <c r="G726" s="3"/>
      <c r="H726" s="156"/>
      <c r="I726" s="156"/>
      <c r="J726" s="156"/>
      <c r="K726" s="165"/>
      <c r="L726" s="165"/>
      <c r="M726" s="1"/>
      <c r="N726" s="164"/>
      <c r="O726" s="1"/>
      <c r="P726" s="153"/>
      <c r="Q726" s="39"/>
      <c r="R726" s="39"/>
      <c r="S726" s="39"/>
      <c r="T726" s="154"/>
      <c r="U726" s="40"/>
    </row>
    <row r="727" spans="1:21" ht="20" customHeight="1" x14ac:dyDescent="0.15">
      <c r="A727" s="284" t="s">
        <v>6623</v>
      </c>
      <c r="B727" s="157"/>
      <c r="C727" s="157"/>
      <c r="D727" s="157"/>
      <c r="E727" s="157"/>
      <c r="F727" s="157"/>
      <c r="G727" s="3"/>
      <c r="H727" s="156"/>
      <c r="I727" s="156"/>
      <c r="J727" s="156"/>
      <c r="K727" s="165"/>
      <c r="L727" s="165"/>
      <c r="M727" s="1"/>
      <c r="N727" s="164"/>
      <c r="O727" s="1"/>
      <c r="P727" s="153"/>
      <c r="Q727" s="39"/>
      <c r="R727" s="39"/>
      <c r="S727" s="39"/>
      <c r="T727" s="154"/>
      <c r="U727" s="40"/>
    </row>
    <row r="728" spans="1:21" ht="20" customHeight="1" x14ac:dyDescent="0.15">
      <c r="A728" s="284" t="s">
        <v>6624</v>
      </c>
      <c r="B728" s="157"/>
      <c r="C728" s="157"/>
      <c r="D728" s="157"/>
      <c r="E728" s="157"/>
      <c r="F728" s="157"/>
      <c r="G728" s="3"/>
      <c r="H728" s="156"/>
      <c r="I728" s="156"/>
      <c r="J728" s="156"/>
      <c r="K728" s="165"/>
      <c r="L728" s="165"/>
      <c r="M728" s="1"/>
      <c r="N728" s="164"/>
      <c r="O728" s="1"/>
      <c r="P728" s="153"/>
      <c r="Q728" s="39"/>
      <c r="R728" s="39"/>
      <c r="S728" s="39"/>
      <c r="T728" s="154"/>
      <c r="U728" s="40"/>
    </row>
    <row r="729" spans="1:21" ht="20" customHeight="1" x14ac:dyDescent="0.15">
      <c r="A729" s="284" t="s">
        <v>6625</v>
      </c>
      <c r="B729" s="157"/>
      <c r="C729" s="157"/>
      <c r="D729" s="157"/>
      <c r="E729" s="157"/>
      <c r="F729" s="157"/>
      <c r="G729" s="3"/>
      <c r="H729" s="156"/>
      <c r="I729" s="156"/>
      <c r="J729" s="156"/>
      <c r="K729" s="165"/>
      <c r="L729" s="165"/>
      <c r="M729" s="1"/>
      <c r="N729" s="164"/>
      <c r="O729" s="1"/>
      <c r="P729" s="153"/>
      <c r="Q729" s="39"/>
      <c r="R729" s="39"/>
      <c r="S729" s="39"/>
      <c r="T729" s="154"/>
      <c r="U729" s="40"/>
    </row>
    <row r="730" spans="1:21" ht="20" customHeight="1" x14ac:dyDescent="0.15">
      <c r="A730" s="284" t="s">
        <v>6626</v>
      </c>
      <c r="B730" s="157"/>
      <c r="C730" s="157"/>
      <c r="D730" s="157"/>
      <c r="E730" s="157"/>
      <c r="F730" s="157"/>
      <c r="G730" s="3"/>
      <c r="H730" s="156"/>
      <c r="I730" s="156"/>
      <c r="J730" s="156"/>
      <c r="K730" s="165"/>
      <c r="L730" s="165"/>
      <c r="M730" s="1"/>
      <c r="N730" s="164"/>
      <c r="O730" s="1"/>
      <c r="P730" s="153"/>
      <c r="Q730" s="39"/>
      <c r="R730" s="39"/>
      <c r="S730" s="39"/>
      <c r="T730" s="154"/>
      <c r="U730" s="40"/>
    </row>
    <row r="731" spans="1:21" ht="20" customHeight="1" x14ac:dyDescent="0.15">
      <c r="A731" s="284" t="s">
        <v>6627</v>
      </c>
      <c r="B731" s="157"/>
      <c r="C731" s="157"/>
      <c r="D731" s="157"/>
      <c r="E731" s="157"/>
      <c r="F731" s="157"/>
      <c r="G731" s="3"/>
      <c r="H731" s="156"/>
      <c r="I731" s="156"/>
      <c r="J731" s="156"/>
      <c r="K731" s="165"/>
      <c r="L731" s="165"/>
      <c r="M731" s="1"/>
      <c r="N731" s="164"/>
      <c r="O731" s="1"/>
      <c r="P731" s="153"/>
      <c r="Q731" s="39"/>
      <c r="R731" s="39"/>
      <c r="S731" s="39"/>
      <c r="T731" s="154"/>
      <c r="U731" s="40"/>
    </row>
    <row r="732" spans="1:21" ht="20" customHeight="1" x14ac:dyDescent="0.15">
      <c r="A732" s="284" t="s">
        <v>6628</v>
      </c>
      <c r="B732" s="157"/>
      <c r="C732" s="157"/>
      <c r="D732" s="157"/>
      <c r="E732" s="157"/>
      <c r="F732" s="157"/>
      <c r="G732" s="3"/>
      <c r="H732" s="156"/>
      <c r="I732" s="156"/>
      <c r="J732" s="156"/>
      <c r="K732" s="165"/>
      <c r="L732" s="165"/>
      <c r="M732" s="1"/>
      <c r="N732" s="164"/>
      <c r="O732" s="1"/>
      <c r="P732" s="153"/>
      <c r="Q732" s="39"/>
      <c r="R732" s="39"/>
      <c r="S732" s="39"/>
      <c r="T732" s="154"/>
      <c r="U732" s="40"/>
    </row>
    <row r="733" spans="1:21" ht="20" customHeight="1" x14ac:dyDescent="0.15">
      <c r="A733" s="284" t="s">
        <v>6629</v>
      </c>
      <c r="B733" s="157"/>
      <c r="C733" s="157"/>
      <c r="D733" s="157"/>
      <c r="E733" s="157"/>
      <c r="F733" s="157"/>
      <c r="G733" s="3"/>
      <c r="H733" s="156"/>
      <c r="I733" s="156"/>
      <c r="J733" s="156"/>
      <c r="K733" s="165"/>
      <c r="L733" s="165"/>
      <c r="M733" s="1"/>
      <c r="N733" s="164"/>
      <c r="O733" s="1"/>
      <c r="P733" s="153"/>
      <c r="Q733" s="39"/>
      <c r="R733" s="39"/>
      <c r="S733" s="39"/>
      <c r="T733" s="154"/>
      <c r="U733" s="40"/>
    </row>
    <row r="734" spans="1:21" ht="20" customHeight="1" x14ac:dyDescent="0.15">
      <c r="A734" s="284" t="s">
        <v>6630</v>
      </c>
      <c r="B734" s="157"/>
      <c r="C734" s="157"/>
      <c r="D734" s="157"/>
      <c r="E734" s="157"/>
      <c r="F734" s="157"/>
      <c r="G734" s="3"/>
      <c r="H734" s="156"/>
      <c r="I734" s="156"/>
      <c r="J734" s="156"/>
      <c r="K734" s="165"/>
      <c r="L734" s="165"/>
      <c r="M734" s="1"/>
      <c r="N734" s="164"/>
      <c r="O734" s="1"/>
      <c r="P734" s="153"/>
      <c r="Q734" s="39"/>
      <c r="R734" s="39"/>
      <c r="S734" s="39"/>
      <c r="T734" s="154"/>
      <c r="U734" s="40"/>
    </row>
    <row r="735" spans="1:21" ht="20" customHeight="1" x14ac:dyDescent="0.15">
      <c r="A735" s="284" t="s">
        <v>6631</v>
      </c>
      <c r="B735" s="157"/>
      <c r="C735" s="157"/>
      <c r="D735" s="157"/>
      <c r="E735" s="157"/>
      <c r="F735" s="157"/>
      <c r="G735" s="3"/>
      <c r="H735" s="156"/>
      <c r="I735" s="156"/>
      <c r="J735" s="156"/>
      <c r="K735" s="165"/>
      <c r="L735" s="165"/>
      <c r="M735" s="1"/>
      <c r="N735" s="164"/>
      <c r="O735" s="1"/>
      <c r="P735" s="153"/>
      <c r="Q735" s="39"/>
      <c r="R735" s="39"/>
      <c r="S735" s="39"/>
      <c r="T735" s="154"/>
      <c r="U735" s="40"/>
    </row>
    <row r="736" spans="1:21" ht="20" customHeight="1" x14ac:dyDescent="0.15">
      <c r="A736" s="284" t="s">
        <v>6632</v>
      </c>
      <c r="B736" s="157"/>
      <c r="C736" s="157"/>
      <c r="D736" s="157"/>
      <c r="E736" s="157"/>
      <c r="F736" s="157"/>
      <c r="G736" s="3"/>
      <c r="H736" s="156"/>
      <c r="I736" s="156"/>
      <c r="J736" s="156"/>
      <c r="K736" s="165"/>
      <c r="L736" s="165"/>
      <c r="M736" s="1"/>
      <c r="N736" s="164"/>
      <c r="O736" s="1"/>
      <c r="P736" s="153"/>
      <c r="Q736" s="39"/>
      <c r="R736" s="39"/>
      <c r="S736" s="39"/>
      <c r="T736" s="154"/>
      <c r="U736" s="40"/>
    </row>
    <row r="737" spans="1:21" ht="20" customHeight="1" x14ac:dyDescent="0.15">
      <c r="A737" s="284" t="s">
        <v>6633</v>
      </c>
      <c r="B737" s="157"/>
      <c r="C737" s="157"/>
      <c r="D737" s="157"/>
      <c r="E737" s="157"/>
      <c r="F737" s="157"/>
      <c r="G737" s="3"/>
      <c r="H737" s="156"/>
      <c r="I737" s="156"/>
      <c r="J737" s="156"/>
      <c r="K737" s="165"/>
      <c r="L737" s="165"/>
      <c r="M737" s="1"/>
      <c r="N737" s="164"/>
      <c r="O737" s="1"/>
      <c r="P737" s="153"/>
      <c r="Q737" s="39"/>
      <c r="R737" s="39"/>
      <c r="S737" s="39"/>
      <c r="T737" s="154"/>
      <c r="U737" s="40"/>
    </row>
    <row r="738" spans="1:21" ht="20" customHeight="1" x14ac:dyDescent="0.15">
      <c r="A738" s="284" t="s">
        <v>6634</v>
      </c>
      <c r="B738" s="157"/>
      <c r="C738" s="157"/>
      <c r="D738" s="157"/>
      <c r="E738" s="157"/>
      <c r="F738" s="157"/>
      <c r="G738" s="3"/>
      <c r="H738" s="156"/>
      <c r="I738" s="156"/>
      <c r="J738" s="156"/>
      <c r="K738" s="165"/>
      <c r="L738" s="165"/>
      <c r="M738" s="1"/>
      <c r="N738" s="164"/>
      <c r="O738" s="1"/>
      <c r="P738" s="153"/>
      <c r="Q738" s="39"/>
      <c r="R738" s="39"/>
      <c r="S738" s="39"/>
      <c r="T738" s="154"/>
      <c r="U738" s="40"/>
    </row>
    <row r="739" spans="1:21" ht="20" customHeight="1" x14ac:dyDescent="0.15">
      <c r="A739" s="284" t="s">
        <v>6635</v>
      </c>
      <c r="B739" s="157"/>
      <c r="C739" s="157"/>
      <c r="D739" s="157"/>
      <c r="E739" s="157"/>
      <c r="F739" s="157"/>
      <c r="G739" s="3"/>
      <c r="H739" s="156"/>
      <c r="I739" s="156"/>
      <c r="J739" s="156"/>
      <c r="K739" s="165"/>
      <c r="L739" s="165"/>
      <c r="M739" s="1"/>
      <c r="N739" s="164"/>
      <c r="O739" s="1"/>
      <c r="P739" s="153"/>
      <c r="Q739" s="39"/>
      <c r="R739" s="39"/>
      <c r="S739" s="39"/>
      <c r="T739" s="154"/>
      <c r="U739" s="40"/>
    </row>
    <row r="740" spans="1:21" ht="20" customHeight="1" x14ac:dyDescent="0.15">
      <c r="A740" s="284" t="s">
        <v>6636</v>
      </c>
      <c r="B740" s="157"/>
      <c r="C740" s="157"/>
      <c r="D740" s="157"/>
      <c r="E740" s="157"/>
      <c r="F740" s="157"/>
      <c r="G740" s="3"/>
      <c r="H740" s="156"/>
      <c r="I740" s="156"/>
      <c r="J740" s="156"/>
      <c r="K740" s="165"/>
      <c r="L740" s="165"/>
      <c r="M740" s="1"/>
      <c r="N740" s="164"/>
      <c r="O740" s="1"/>
      <c r="P740" s="153"/>
      <c r="Q740" s="39"/>
      <c r="R740" s="39"/>
      <c r="S740" s="39"/>
      <c r="T740" s="154"/>
      <c r="U740" s="40"/>
    </row>
    <row r="741" spans="1:21" ht="20" customHeight="1" x14ac:dyDescent="0.15">
      <c r="A741" s="284" t="s">
        <v>6637</v>
      </c>
      <c r="B741" s="157"/>
      <c r="C741" s="157"/>
      <c r="D741" s="157"/>
      <c r="E741" s="157"/>
      <c r="F741" s="157"/>
      <c r="G741" s="3"/>
      <c r="H741" s="156"/>
      <c r="I741" s="156"/>
      <c r="J741" s="156"/>
      <c r="K741" s="165"/>
      <c r="L741" s="165"/>
      <c r="M741" s="1"/>
      <c r="N741" s="164"/>
      <c r="O741" s="1"/>
      <c r="P741" s="153"/>
      <c r="Q741" s="39"/>
      <c r="R741" s="39"/>
      <c r="S741" s="39"/>
      <c r="T741" s="154"/>
      <c r="U741" s="40"/>
    </row>
    <row r="742" spans="1:21" ht="20" customHeight="1" x14ac:dyDescent="0.15">
      <c r="A742" s="284" t="s">
        <v>6638</v>
      </c>
      <c r="B742" s="157"/>
      <c r="C742" s="157"/>
      <c r="D742" s="157"/>
      <c r="E742" s="157"/>
      <c r="F742" s="157"/>
      <c r="G742" s="3"/>
      <c r="H742" s="156"/>
      <c r="I742" s="156"/>
      <c r="J742" s="156"/>
      <c r="K742" s="165"/>
      <c r="L742" s="165"/>
      <c r="M742" s="1"/>
      <c r="N742" s="164"/>
      <c r="O742" s="1"/>
      <c r="P742" s="153"/>
      <c r="Q742" s="39"/>
      <c r="R742" s="39"/>
      <c r="S742" s="39"/>
      <c r="T742" s="154"/>
      <c r="U742" s="40"/>
    </row>
    <row r="743" spans="1:21" ht="20" customHeight="1" x14ac:dyDescent="0.15">
      <c r="A743" s="284" t="s">
        <v>6639</v>
      </c>
      <c r="B743" s="157"/>
      <c r="C743" s="157"/>
      <c r="D743" s="157"/>
      <c r="E743" s="157"/>
      <c r="F743" s="157"/>
      <c r="G743" s="3"/>
      <c r="H743" s="156"/>
      <c r="I743" s="156"/>
      <c r="J743" s="156"/>
      <c r="K743" s="165"/>
      <c r="L743" s="165"/>
      <c r="M743" s="1"/>
      <c r="N743" s="164"/>
      <c r="O743" s="1"/>
      <c r="P743" s="153"/>
      <c r="Q743" s="39"/>
      <c r="R743" s="39"/>
      <c r="S743" s="39"/>
      <c r="T743" s="154"/>
      <c r="U743" s="40"/>
    </row>
    <row r="744" spans="1:21" ht="20" customHeight="1" x14ac:dyDescent="0.15">
      <c r="A744" s="284" t="s">
        <v>6640</v>
      </c>
      <c r="B744" s="157"/>
      <c r="C744" s="157"/>
      <c r="D744" s="157"/>
      <c r="E744" s="157"/>
      <c r="F744" s="157"/>
      <c r="G744" s="3"/>
      <c r="H744" s="156"/>
      <c r="I744" s="156"/>
      <c r="J744" s="156"/>
      <c r="K744" s="165"/>
      <c r="L744" s="165"/>
      <c r="M744" s="1"/>
      <c r="N744" s="164"/>
      <c r="O744" s="1"/>
      <c r="P744" s="153"/>
      <c r="Q744" s="39"/>
      <c r="R744" s="39"/>
      <c r="S744" s="39"/>
      <c r="T744" s="154"/>
      <c r="U744" s="40"/>
    </row>
    <row r="745" spans="1:21" ht="20" customHeight="1" x14ac:dyDescent="0.15">
      <c r="A745" s="284" t="s">
        <v>6641</v>
      </c>
      <c r="B745" s="157"/>
      <c r="C745" s="157"/>
      <c r="D745" s="157"/>
      <c r="E745" s="157"/>
      <c r="F745" s="157"/>
      <c r="G745" s="3"/>
      <c r="H745" s="156"/>
      <c r="I745" s="156"/>
      <c r="J745" s="156"/>
      <c r="K745" s="165"/>
      <c r="L745" s="165"/>
      <c r="M745" s="1"/>
      <c r="N745" s="164"/>
      <c r="O745" s="1"/>
      <c r="P745" s="153"/>
      <c r="Q745" s="39"/>
      <c r="R745" s="39"/>
      <c r="S745" s="39"/>
      <c r="T745" s="154"/>
      <c r="U745" s="40"/>
    </row>
    <row r="746" spans="1:21" ht="20" customHeight="1" x14ac:dyDescent="0.15">
      <c r="A746" s="284" t="s">
        <v>6642</v>
      </c>
      <c r="B746" s="157"/>
      <c r="C746" s="157"/>
      <c r="D746" s="157"/>
      <c r="E746" s="157"/>
      <c r="F746" s="157"/>
      <c r="G746" s="3"/>
      <c r="H746" s="156"/>
      <c r="I746" s="156"/>
      <c r="J746" s="156"/>
      <c r="K746" s="165"/>
      <c r="L746" s="165"/>
      <c r="M746" s="1"/>
      <c r="N746" s="164"/>
      <c r="O746" s="1"/>
      <c r="P746" s="153"/>
      <c r="Q746" s="39"/>
      <c r="R746" s="39"/>
      <c r="S746" s="39"/>
      <c r="T746" s="154"/>
      <c r="U746" s="40"/>
    </row>
    <row r="747" spans="1:21" ht="20" customHeight="1" x14ac:dyDescent="0.15">
      <c r="A747" s="284" t="s">
        <v>6643</v>
      </c>
      <c r="B747" s="157"/>
      <c r="C747" s="157"/>
      <c r="D747" s="157"/>
      <c r="E747" s="157"/>
      <c r="F747" s="157"/>
      <c r="G747" s="3"/>
      <c r="H747" s="156"/>
      <c r="I747" s="156"/>
      <c r="J747" s="156"/>
      <c r="K747" s="165"/>
      <c r="L747" s="165"/>
      <c r="M747" s="1"/>
      <c r="N747" s="164"/>
      <c r="O747" s="1"/>
      <c r="P747" s="153"/>
      <c r="Q747" s="39"/>
      <c r="R747" s="39"/>
      <c r="S747" s="39"/>
      <c r="T747" s="154"/>
      <c r="U747" s="40"/>
    </row>
    <row r="748" spans="1:21" ht="20" customHeight="1" x14ac:dyDescent="0.15">
      <c r="A748" s="284" t="s">
        <v>6644</v>
      </c>
      <c r="B748" s="157"/>
      <c r="C748" s="157"/>
      <c r="D748" s="157"/>
      <c r="E748" s="157"/>
      <c r="F748" s="157"/>
      <c r="G748" s="3"/>
      <c r="H748" s="156"/>
      <c r="I748" s="156"/>
      <c r="J748" s="156"/>
      <c r="K748" s="165"/>
      <c r="L748" s="165"/>
      <c r="M748" s="1"/>
      <c r="N748" s="164"/>
      <c r="O748" s="1"/>
      <c r="P748" s="153"/>
      <c r="Q748" s="39"/>
      <c r="R748" s="39"/>
      <c r="S748" s="39"/>
      <c r="T748" s="154"/>
      <c r="U748" s="40"/>
    </row>
    <row r="749" spans="1:21" ht="20" customHeight="1" x14ac:dyDescent="0.15">
      <c r="A749" s="284" t="s">
        <v>6645</v>
      </c>
      <c r="B749" s="157"/>
      <c r="C749" s="157"/>
      <c r="D749" s="157"/>
      <c r="E749" s="157"/>
      <c r="F749" s="157"/>
      <c r="G749" s="3"/>
      <c r="H749" s="156"/>
      <c r="I749" s="156"/>
      <c r="J749" s="156"/>
      <c r="K749" s="165"/>
      <c r="L749" s="165"/>
      <c r="M749" s="1"/>
      <c r="N749" s="164"/>
      <c r="O749" s="1"/>
      <c r="P749" s="153"/>
      <c r="Q749" s="39"/>
      <c r="R749" s="39"/>
      <c r="S749" s="39"/>
      <c r="T749" s="154"/>
      <c r="U749" s="40"/>
    </row>
    <row r="750" spans="1:21" ht="20" customHeight="1" x14ac:dyDescent="0.15">
      <c r="A750" s="284" t="s">
        <v>6646</v>
      </c>
      <c r="B750" s="157"/>
      <c r="C750" s="157"/>
      <c r="D750" s="157"/>
      <c r="E750" s="157"/>
      <c r="F750" s="157"/>
      <c r="G750" s="3"/>
      <c r="H750" s="156"/>
      <c r="I750" s="156"/>
      <c r="J750" s="156"/>
      <c r="K750" s="165"/>
      <c r="L750" s="165"/>
      <c r="M750" s="1"/>
      <c r="N750" s="164"/>
      <c r="O750" s="1"/>
      <c r="P750" s="153"/>
      <c r="Q750" s="39"/>
      <c r="R750" s="39"/>
      <c r="S750" s="39"/>
      <c r="T750" s="154"/>
      <c r="U750" s="40"/>
    </row>
    <row r="751" spans="1:21" ht="20" customHeight="1" x14ac:dyDescent="0.15">
      <c r="A751" s="284" t="s">
        <v>6647</v>
      </c>
      <c r="B751" s="157"/>
      <c r="C751" s="157"/>
      <c r="D751" s="157"/>
      <c r="E751" s="157"/>
      <c r="F751" s="157"/>
      <c r="G751" s="3"/>
      <c r="H751" s="156"/>
      <c r="I751" s="156"/>
      <c r="J751" s="156"/>
      <c r="K751" s="165"/>
      <c r="L751" s="165"/>
      <c r="M751" s="1"/>
      <c r="N751" s="164"/>
      <c r="O751" s="1"/>
      <c r="P751" s="153"/>
      <c r="Q751" s="39"/>
      <c r="R751" s="39"/>
      <c r="S751" s="39"/>
      <c r="T751" s="154"/>
      <c r="U751" s="40"/>
    </row>
    <row r="752" spans="1:21" ht="20" customHeight="1" x14ac:dyDescent="0.15">
      <c r="A752" s="284" t="s">
        <v>6648</v>
      </c>
      <c r="B752" s="157"/>
      <c r="C752" s="157"/>
      <c r="D752" s="157"/>
      <c r="E752" s="157"/>
      <c r="F752" s="157"/>
      <c r="G752" s="3"/>
      <c r="H752" s="156"/>
      <c r="I752" s="156"/>
      <c r="J752" s="156"/>
      <c r="K752" s="165"/>
      <c r="L752" s="165"/>
      <c r="M752" s="1"/>
      <c r="N752" s="164"/>
      <c r="O752" s="1"/>
      <c r="P752" s="153"/>
      <c r="Q752" s="39"/>
      <c r="R752" s="39"/>
      <c r="S752" s="39"/>
      <c r="T752" s="154"/>
      <c r="U752" s="40"/>
    </row>
    <row r="753" spans="1:21" ht="20" customHeight="1" x14ac:dyDescent="0.15">
      <c r="A753" s="284" t="s">
        <v>6649</v>
      </c>
      <c r="B753" s="157"/>
      <c r="C753" s="157"/>
      <c r="D753" s="157"/>
      <c r="E753" s="157"/>
      <c r="F753" s="157"/>
      <c r="G753" s="3"/>
      <c r="H753" s="156"/>
      <c r="I753" s="156"/>
      <c r="J753" s="156"/>
      <c r="K753" s="165"/>
      <c r="L753" s="165"/>
      <c r="M753" s="1"/>
      <c r="N753" s="164"/>
      <c r="O753" s="1"/>
      <c r="P753" s="153"/>
      <c r="Q753" s="39"/>
      <c r="R753" s="39"/>
      <c r="S753" s="39"/>
      <c r="T753" s="154"/>
      <c r="U753" s="40"/>
    </row>
    <row r="754" spans="1:21" ht="20" customHeight="1" x14ac:dyDescent="0.15">
      <c r="A754" s="284" t="s">
        <v>6650</v>
      </c>
      <c r="B754" s="157"/>
      <c r="C754" s="157"/>
      <c r="D754" s="157"/>
      <c r="E754" s="157"/>
      <c r="F754" s="157"/>
      <c r="G754" s="3"/>
      <c r="H754" s="156"/>
      <c r="I754" s="156"/>
      <c r="J754" s="156"/>
      <c r="K754" s="165"/>
      <c r="L754" s="165"/>
      <c r="M754" s="1"/>
      <c r="N754" s="164"/>
      <c r="O754" s="1"/>
      <c r="P754" s="153"/>
      <c r="Q754" s="39"/>
      <c r="R754" s="39"/>
      <c r="S754" s="39"/>
      <c r="T754" s="154"/>
      <c r="U754" s="40"/>
    </row>
    <row r="755" spans="1:21" ht="20" customHeight="1" x14ac:dyDescent="0.15">
      <c r="A755" s="284" t="s">
        <v>6651</v>
      </c>
      <c r="B755" s="157"/>
      <c r="C755" s="157"/>
      <c r="D755" s="157"/>
      <c r="E755" s="157"/>
      <c r="F755" s="157"/>
      <c r="G755" s="3"/>
      <c r="H755" s="156"/>
      <c r="I755" s="156"/>
      <c r="J755" s="156"/>
      <c r="K755" s="165"/>
      <c r="L755" s="165"/>
      <c r="M755" s="1"/>
      <c r="N755" s="164"/>
      <c r="O755" s="1"/>
      <c r="P755" s="153"/>
      <c r="Q755" s="39"/>
      <c r="R755" s="39"/>
      <c r="S755" s="39"/>
      <c r="T755" s="154"/>
      <c r="U755" s="40"/>
    </row>
    <row r="756" spans="1:21" ht="20" customHeight="1" x14ac:dyDescent="0.15">
      <c r="A756" s="284" t="s">
        <v>6652</v>
      </c>
      <c r="B756" s="157"/>
      <c r="C756" s="157"/>
      <c r="D756" s="157"/>
      <c r="E756" s="157"/>
      <c r="F756" s="157"/>
      <c r="G756" s="3"/>
      <c r="H756" s="156"/>
      <c r="I756" s="156"/>
      <c r="J756" s="156"/>
      <c r="K756" s="165"/>
      <c r="L756" s="165"/>
      <c r="M756" s="1"/>
      <c r="N756" s="164"/>
      <c r="O756" s="1"/>
      <c r="P756" s="153"/>
      <c r="Q756" s="39"/>
      <c r="R756" s="39"/>
      <c r="S756" s="39"/>
      <c r="T756" s="154"/>
      <c r="U756" s="40"/>
    </row>
    <row r="757" spans="1:21" ht="20" customHeight="1" x14ac:dyDescent="0.15">
      <c r="A757" s="284" t="s">
        <v>6653</v>
      </c>
      <c r="B757" s="157"/>
      <c r="C757" s="157"/>
      <c r="D757" s="157"/>
      <c r="E757" s="157"/>
      <c r="F757" s="157"/>
      <c r="G757" s="3"/>
      <c r="H757" s="156"/>
      <c r="I757" s="156"/>
      <c r="J757" s="156"/>
      <c r="K757" s="165"/>
      <c r="L757" s="165"/>
      <c r="M757" s="1"/>
      <c r="N757" s="164"/>
      <c r="O757" s="1"/>
      <c r="P757" s="153"/>
      <c r="Q757" s="39"/>
      <c r="R757" s="39"/>
      <c r="S757" s="39"/>
      <c r="T757" s="154"/>
      <c r="U757" s="40"/>
    </row>
    <row r="758" spans="1:21" ht="20" customHeight="1" x14ac:dyDescent="0.15">
      <c r="A758" s="284" t="s">
        <v>6654</v>
      </c>
      <c r="B758" s="157"/>
      <c r="C758" s="157"/>
      <c r="D758" s="157"/>
      <c r="E758" s="157"/>
      <c r="F758" s="157"/>
      <c r="G758" s="3"/>
      <c r="H758" s="156"/>
      <c r="I758" s="156"/>
      <c r="J758" s="156"/>
      <c r="K758" s="165"/>
      <c r="L758" s="165"/>
      <c r="M758" s="1"/>
      <c r="N758" s="164"/>
      <c r="O758" s="1"/>
      <c r="P758" s="153"/>
      <c r="Q758" s="39"/>
      <c r="R758" s="39"/>
      <c r="S758" s="39"/>
      <c r="T758" s="154"/>
      <c r="U758" s="40"/>
    </row>
    <row r="759" spans="1:21" ht="20" customHeight="1" x14ac:dyDescent="0.15">
      <c r="A759" s="284" t="s">
        <v>6655</v>
      </c>
      <c r="B759" s="157"/>
      <c r="C759" s="157"/>
      <c r="D759" s="157"/>
      <c r="E759" s="157"/>
      <c r="F759" s="157"/>
      <c r="G759" s="3"/>
      <c r="H759" s="156"/>
      <c r="I759" s="156"/>
      <c r="J759" s="156"/>
      <c r="K759" s="165"/>
      <c r="L759" s="165"/>
      <c r="M759" s="1"/>
      <c r="N759" s="164"/>
      <c r="O759" s="1"/>
      <c r="P759" s="153"/>
      <c r="Q759" s="39"/>
      <c r="R759" s="39"/>
      <c r="S759" s="39"/>
      <c r="T759" s="154"/>
      <c r="U759" s="40"/>
    </row>
    <row r="760" spans="1:21" ht="20" customHeight="1" x14ac:dyDescent="0.15">
      <c r="A760" s="284" t="s">
        <v>6656</v>
      </c>
      <c r="B760" s="157"/>
      <c r="C760" s="157"/>
      <c r="D760" s="157"/>
      <c r="E760" s="157"/>
      <c r="F760" s="157"/>
      <c r="G760" s="3"/>
      <c r="H760" s="156"/>
      <c r="I760" s="156"/>
      <c r="J760" s="156"/>
      <c r="K760" s="165"/>
      <c r="L760" s="165"/>
      <c r="M760" s="1"/>
      <c r="N760" s="164"/>
      <c r="O760" s="1"/>
      <c r="P760" s="153"/>
      <c r="Q760" s="39"/>
      <c r="R760" s="39"/>
      <c r="S760" s="39"/>
      <c r="T760" s="154"/>
      <c r="U760" s="40"/>
    </row>
    <row r="761" spans="1:21" ht="20" customHeight="1" x14ac:dyDescent="0.15">
      <c r="A761" s="284" t="s">
        <v>6657</v>
      </c>
      <c r="B761" s="157"/>
      <c r="C761" s="157"/>
      <c r="D761" s="157"/>
      <c r="E761" s="157"/>
      <c r="F761" s="157"/>
      <c r="G761" s="3"/>
      <c r="H761" s="156"/>
      <c r="I761" s="156"/>
      <c r="J761" s="156"/>
      <c r="K761" s="165"/>
      <c r="L761" s="165"/>
      <c r="M761" s="1"/>
      <c r="N761" s="164"/>
      <c r="O761" s="1"/>
      <c r="P761" s="153"/>
      <c r="Q761" s="39"/>
      <c r="R761" s="39"/>
      <c r="S761" s="39"/>
      <c r="T761" s="154"/>
      <c r="U761" s="40"/>
    </row>
    <row r="762" spans="1:21" ht="20" customHeight="1" x14ac:dyDescent="0.15">
      <c r="A762" s="284" t="s">
        <v>6658</v>
      </c>
      <c r="B762" s="157"/>
      <c r="C762" s="157"/>
      <c r="D762" s="157"/>
      <c r="E762" s="157"/>
      <c r="F762" s="157"/>
      <c r="G762" s="3"/>
      <c r="H762" s="156"/>
      <c r="I762" s="156"/>
      <c r="J762" s="156"/>
      <c r="K762" s="165"/>
      <c r="L762" s="165"/>
      <c r="M762" s="1"/>
      <c r="N762" s="164"/>
      <c r="O762" s="1"/>
      <c r="P762" s="153"/>
      <c r="Q762" s="39"/>
      <c r="R762" s="39"/>
      <c r="S762" s="39"/>
      <c r="T762" s="154"/>
      <c r="U762" s="40"/>
    </row>
    <row r="763" spans="1:21" ht="20" customHeight="1" x14ac:dyDescent="0.15">
      <c r="A763" s="284" t="s">
        <v>6659</v>
      </c>
      <c r="B763" s="157"/>
      <c r="C763" s="157"/>
      <c r="D763" s="157"/>
      <c r="E763" s="157"/>
      <c r="F763" s="157"/>
      <c r="G763" s="3"/>
      <c r="H763" s="156"/>
      <c r="I763" s="156"/>
      <c r="J763" s="156"/>
      <c r="K763" s="165"/>
      <c r="L763" s="165"/>
      <c r="M763" s="1"/>
      <c r="N763" s="164"/>
      <c r="O763" s="1"/>
      <c r="P763" s="153"/>
      <c r="Q763" s="39"/>
      <c r="R763" s="39"/>
      <c r="S763" s="39"/>
      <c r="T763" s="154"/>
      <c r="U763" s="40"/>
    </row>
    <row r="764" spans="1:21" ht="20" customHeight="1" x14ac:dyDescent="0.15">
      <c r="A764" s="284" t="s">
        <v>6660</v>
      </c>
      <c r="B764" s="157"/>
      <c r="C764" s="157"/>
      <c r="D764" s="157"/>
      <c r="E764" s="157"/>
      <c r="F764" s="157"/>
      <c r="G764" s="3"/>
      <c r="H764" s="156"/>
      <c r="I764" s="156"/>
      <c r="J764" s="156"/>
      <c r="K764" s="165"/>
      <c r="L764" s="165"/>
      <c r="M764" s="1"/>
      <c r="N764" s="164"/>
      <c r="O764" s="1"/>
      <c r="P764" s="153"/>
      <c r="Q764" s="39"/>
      <c r="R764" s="39"/>
      <c r="S764" s="39"/>
      <c r="T764" s="154"/>
      <c r="U764" s="40"/>
    </row>
    <row r="765" spans="1:21" ht="20" customHeight="1" x14ac:dyDescent="0.15">
      <c r="A765" s="284" t="s">
        <v>6661</v>
      </c>
      <c r="B765" s="157"/>
      <c r="C765" s="157"/>
      <c r="D765" s="157"/>
      <c r="E765" s="157"/>
      <c r="F765" s="157"/>
      <c r="G765" s="3"/>
      <c r="H765" s="156"/>
      <c r="I765" s="156"/>
      <c r="J765" s="156"/>
      <c r="K765" s="165"/>
      <c r="L765" s="165"/>
      <c r="M765" s="1"/>
      <c r="N765" s="164"/>
      <c r="O765" s="1"/>
      <c r="P765" s="153"/>
      <c r="Q765" s="39"/>
      <c r="R765" s="39"/>
      <c r="S765" s="39"/>
      <c r="T765" s="154"/>
      <c r="U765" s="40"/>
    </row>
    <row r="766" spans="1:21" ht="20" customHeight="1" x14ac:dyDescent="0.15">
      <c r="A766" s="284" t="s">
        <v>6662</v>
      </c>
      <c r="B766" s="157"/>
      <c r="C766" s="157"/>
      <c r="D766" s="157"/>
      <c r="E766" s="157"/>
      <c r="F766" s="157"/>
      <c r="G766" s="3"/>
      <c r="H766" s="156"/>
      <c r="I766" s="156"/>
      <c r="J766" s="156"/>
      <c r="K766" s="165"/>
      <c r="L766" s="165"/>
      <c r="M766" s="1"/>
      <c r="N766" s="164"/>
      <c r="O766" s="1"/>
      <c r="P766" s="153"/>
      <c r="Q766" s="39"/>
      <c r="R766" s="39"/>
      <c r="S766" s="39"/>
      <c r="T766" s="154"/>
      <c r="U766" s="40"/>
    </row>
    <row r="767" spans="1:21" ht="20" customHeight="1" x14ac:dyDescent="0.15">
      <c r="A767" s="284" t="s">
        <v>6663</v>
      </c>
      <c r="B767" s="157"/>
      <c r="C767" s="157"/>
      <c r="D767" s="157"/>
      <c r="E767" s="157"/>
      <c r="F767" s="157"/>
      <c r="G767" s="3"/>
      <c r="H767" s="156"/>
      <c r="I767" s="156"/>
      <c r="J767" s="156"/>
      <c r="K767" s="165"/>
      <c r="L767" s="165"/>
      <c r="M767" s="1"/>
      <c r="N767" s="164"/>
      <c r="O767" s="1"/>
      <c r="P767" s="153"/>
      <c r="Q767" s="39"/>
      <c r="R767" s="39"/>
      <c r="S767" s="39"/>
      <c r="T767" s="154"/>
      <c r="U767" s="40"/>
    </row>
    <row r="768" spans="1:21" ht="20" customHeight="1" x14ac:dyDescent="0.15">
      <c r="A768" s="284" t="s">
        <v>6664</v>
      </c>
      <c r="B768" s="157"/>
      <c r="C768" s="157"/>
      <c r="D768" s="157"/>
      <c r="E768" s="157"/>
      <c r="F768" s="157"/>
      <c r="G768" s="3"/>
      <c r="H768" s="156"/>
      <c r="I768" s="156"/>
      <c r="J768" s="156"/>
      <c r="K768" s="165"/>
      <c r="L768" s="165"/>
      <c r="M768" s="1"/>
      <c r="N768" s="164"/>
      <c r="O768" s="1"/>
      <c r="P768" s="153"/>
      <c r="Q768" s="39"/>
      <c r="R768" s="39"/>
      <c r="S768" s="39"/>
      <c r="T768" s="154"/>
      <c r="U768" s="40"/>
    </row>
    <row r="769" spans="1:21" ht="20" customHeight="1" x14ac:dyDescent="0.15">
      <c r="A769" s="284" t="s">
        <v>6665</v>
      </c>
      <c r="B769" s="157"/>
      <c r="C769" s="157"/>
      <c r="D769" s="157"/>
      <c r="E769" s="157"/>
      <c r="F769" s="157"/>
      <c r="G769" s="3"/>
      <c r="H769" s="156"/>
      <c r="I769" s="156"/>
      <c r="J769" s="156"/>
      <c r="K769" s="165"/>
      <c r="L769" s="165"/>
      <c r="M769" s="1"/>
      <c r="N769" s="164"/>
      <c r="O769" s="1"/>
      <c r="P769" s="153"/>
      <c r="Q769" s="39"/>
      <c r="R769" s="39"/>
      <c r="S769" s="39"/>
      <c r="T769" s="154"/>
      <c r="U769" s="40"/>
    </row>
    <row r="770" spans="1:21" ht="20" customHeight="1" x14ac:dyDescent="0.15">
      <c r="A770" s="284" t="s">
        <v>6666</v>
      </c>
      <c r="B770" s="157"/>
      <c r="C770" s="157"/>
      <c r="D770" s="157"/>
      <c r="E770" s="157"/>
      <c r="F770" s="157"/>
      <c r="G770" s="3"/>
      <c r="H770" s="156"/>
      <c r="I770" s="156"/>
      <c r="J770" s="156"/>
      <c r="K770" s="165"/>
      <c r="L770" s="165"/>
      <c r="M770" s="1"/>
      <c r="N770" s="164"/>
      <c r="O770" s="1"/>
      <c r="P770" s="153"/>
      <c r="Q770" s="39"/>
      <c r="R770" s="39"/>
      <c r="S770" s="39"/>
      <c r="T770" s="154"/>
      <c r="U770" s="40"/>
    </row>
    <row r="771" spans="1:21" ht="20" customHeight="1" x14ac:dyDescent="0.15">
      <c r="A771" s="284" t="s">
        <v>6667</v>
      </c>
      <c r="B771" s="157"/>
      <c r="C771" s="157"/>
      <c r="D771" s="157"/>
      <c r="E771" s="157"/>
      <c r="F771" s="157"/>
      <c r="G771" s="3"/>
      <c r="H771" s="156"/>
      <c r="I771" s="156"/>
      <c r="J771" s="156"/>
      <c r="K771" s="165"/>
      <c r="L771" s="165"/>
      <c r="M771" s="1"/>
      <c r="N771" s="164"/>
      <c r="O771" s="1"/>
      <c r="P771" s="153"/>
      <c r="Q771" s="39"/>
      <c r="R771" s="39"/>
      <c r="S771" s="39"/>
      <c r="T771" s="154"/>
      <c r="U771" s="40"/>
    </row>
    <row r="772" spans="1:21" ht="20" customHeight="1" x14ac:dyDescent="0.15">
      <c r="A772" s="284" t="s">
        <v>6668</v>
      </c>
      <c r="B772" s="157"/>
      <c r="C772" s="157"/>
      <c r="D772" s="157"/>
      <c r="E772" s="157"/>
      <c r="F772" s="157"/>
      <c r="G772" s="3"/>
      <c r="H772" s="156"/>
      <c r="I772" s="156"/>
      <c r="J772" s="156"/>
      <c r="K772" s="165"/>
      <c r="L772" s="165"/>
      <c r="M772" s="1"/>
      <c r="N772" s="164"/>
      <c r="O772" s="1"/>
      <c r="P772" s="153"/>
      <c r="Q772" s="39"/>
      <c r="R772" s="39"/>
      <c r="S772" s="39"/>
      <c r="T772" s="154"/>
      <c r="U772" s="40"/>
    </row>
    <row r="773" spans="1:21" ht="20" customHeight="1" x14ac:dyDescent="0.15">
      <c r="A773" s="284" t="s">
        <v>6669</v>
      </c>
      <c r="B773" s="157"/>
      <c r="C773" s="157"/>
      <c r="D773" s="157"/>
      <c r="E773" s="157"/>
      <c r="F773" s="157"/>
      <c r="G773" s="3"/>
      <c r="H773" s="156"/>
      <c r="I773" s="156"/>
      <c r="J773" s="156"/>
      <c r="K773" s="165"/>
      <c r="L773" s="165"/>
      <c r="M773" s="1"/>
      <c r="N773" s="164"/>
      <c r="O773" s="1"/>
      <c r="P773" s="153"/>
      <c r="Q773" s="39"/>
      <c r="R773" s="39"/>
      <c r="S773" s="39"/>
      <c r="T773" s="154"/>
      <c r="U773" s="40"/>
    </row>
    <row r="774" spans="1:21" ht="20" customHeight="1" x14ac:dyDescent="0.15">
      <c r="A774" s="284" t="s">
        <v>6670</v>
      </c>
      <c r="B774" s="157"/>
      <c r="C774" s="157"/>
      <c r="D774" s="157"/>
      <c r="E774" s="157"/>
      <c r="F774" s="157"/>
      <c r="G774" s="3"/>
      <c r="H774" s="156"/>
      <c r="I774" s="156"/>
      <c r="J774" s="156"/>
      <c r="K774" s="165"/>
      <c r="L774" s="165"/>
      <c r="M774" s="1"/>
      <c r="N774" s="164"/>
      <c r="O774" s="1"/>
      <c r="P774" s="153"/>
      <c r="Q774" s="39"/>
      <c r="R774" s="39"/>
      <c r="S774" s="39"/>
      <c r="T774" s="154"/>
      <c r="U774" s="40"/>
    </row>
    <row r="775" spans="1:21" ht="20" customHeight="1" x14ac:dyDescent="0.15">
      <c r="A775" s="284" t="s">
        <v>6671</v>
      </c>
      <c r="B775" s="157"/>
      <c r="C775" s="157"/>
      <c r="D775" s="157"/>
      <c r="E775" s="157"/>
      <c r="F775" s="157"/>
      <c r="G775" s="3"/>
      <c r="H775" s="156"/>
      <c r="I775" s="156"/>
      <c r="J775" s="156"/>
      <c r="K775" s="165"/>
      <c r="L775" s="165"/>
      <c r="M775" s="1"/>
      <c r="N775" s="164"/>
      <c r="O775" s="1"/>
      <c r="P775" s="153"/>
      <c r="Q775" s="39"/>
      <c r="R775" s="39"/>
      <c r="S775" s="39"/>
      <c r="T775" s="154"/>
      <c r="U775" s="40"/>
    </row>
    <row r="776" spans="1:21" ht="20" customHeight="1" x14ac:dyDescent="0.15">
      <c r="A776" s="284" t="s">
        <v>6672</v>
      </c>
      <c r="B776" s="157"/>
      <c r="C776" s="157"/>
      <c r="D776" s="157"/>
      <c r="E776" s="157"/>
      <c r="F776" s="157"/>
      <c r="G776" s="3"/>
      <c r="H776" s="156"/>
      <c r="I776" s="156"/>
      <c r="J776" s="156"/>
      <c r="K776" s="165"/>
      <c r="L776" s="165"/>
      <c r="M776" s="1"/>
      <c r="N776" s="164"/>
      <c r="O776" s="1"/>
      <c r="P776" s="153"/>
      <c r="Q776" s="39"/>
      <c r="R776" s="39"/>
      <c r="S776" s="39"/>
      <c r="T776" s="154"/>
      <c r="U776" s="40"/>
    </row>
    <row r="777" spans="1:21" ht="20" customHeight="1" x14ac:dyDescent="0.15">
      <c r="A777" s="284" t="s">
        <v>6673</v>
      </c>
      <c r="B777" s="157"/>
      <c r="C777" s="157"/>
      <c r="D777" s="157"/>
      <c r="E777" s="157"/>
      <c r="F777" s="157"/>
      <c r="G777" s="3"/>
      <c r="H777" s="156"/>
      <c r="I777" s="156"/>
      <c r="J777" s="156"/>
      <c r="K777" s="165"/>
      <c r="L777" s="165"/>
      <c r="M777" s="1"/>
      <c r="N777" s="164"/>
      <c r="O777" s="1"/>
      <c r="P777" s="153"/>
      <c r="Q777" s="39"/>
      <c r="R777" s="39"/>
      <c r="S777" s="39"/>
      <c r="T777" s="154"/>
      <c r="U777" s="40"/>
    </row>
    <row r="778" spans="1:21" ht="20" customHeight="1" x14ac:dyDescent="0.15">
      <c r="A778" s="284" t="s">
        <v>6674</v>
      </c>
      <c r="B778" s="157"/>
      <c r="C778" s="157"/>
      <c r="D778" s="157"/>
      <c r="E778" s="157"/>
      <c r="F778" s="157"/>
      <c r="G778" s="3"/>
      <c r="H778" s="156"/>
      <c r="I778" s="156"/>
      <c r="J778" s="156"/>
      <c r="K778" s="165"/>
      <c r="L778" s="165"/>
      <c r="M778" s="1"/>
      <c r="N778" s="164"/>
      <c r="O778" s="1"/>
      <c r="P778" s="153"/>
      <c r="Q778" s="39"/>
      <c r="R778" s="39"/>
      <c r="S778" s="39"/>
      <c r="T778" s="154"/>
      <c r="U778" s="40"/>
    </row>
    <row r="779" spans="1:21" ht="20" customHeight="1" x14ac:dyDescent="0.15">
      <c r="A779" s="284" t="s">
        <v>6675</v>
      </c>
      <c r="B779" s="157"/>
      <c r="C779" s="157"/>
      <c r="D779" s="157"/>
      <c r="E779" s="157"/>
      <c r="F779" s="157"/>
      <c r="G779" s="3"/>
      <c r="H779" s="156"/>
      <c r="I779" s="156"/>
      <c r="J779" s="156"/>
      <c r="K779" s="165"/>
      <c r="L779" s="165"/>
      <c r="M779" s="1"/>
      <c r="N779" s="164"/>
      <c r="O779" s="1"/>
      <c r="P779" s="153"/>
      <c r="Q779" s="39"/>
      <c r="R779" s="39"/>
      <c r="S779" s="39"/>
      <c r="T779" s="154"/>
      <c r="U779" s="40"/>
    </row>
    <row r="780" spans="1:21" ht="20" customHeight="1" x14ac:dyDescent="0.15">
      <c r="A780" s="284" t="s">
        <v>6676</v>
      </c>
      <c r="B780" s="157"/>
      <c r="C780" s="157"/>
      <c r="D780" s="157"/>
      <c r="E780" s="157"/>
      <c r="F780" s="157"/>
      <c r="G780" s="3"/>
      <c r="H780" s="156"/>
      <c r="I780" s="156"/>
      <c r="J780" s="156"/>
      <c r="K780" s="165"/>
      <c r="L780" s="165"/>
      <c r="M780" s="1"/>
      <c r="N780" s="164"/>
      <c r="O780" s="1"/>
      <c r="P780" s="153"/>
      <c r="Q780" s="39"/>
      <c r="R780" s="39"/>
      <c r="S780" s="39"/>
      <c r="T780" s="154"/>
      <c r="U780" s="40"/>
    </row>
    <row r="781" spans="1:21" ht="20" customHeight="1" x14ac:dyDescent="0.15">
      <c r="A781" s="284" t="s">
        <v>6677</v>
      </c>
      <c r="B781" s="157"/>
      <c r="C781" s="157"/>
      <c r="D781" s="157"/>
      <c r="E781" s="157"/>
      <c r="F781" s="157"/>
      <c r="G781" s="3"/>
      <c r="H781" s="156"/>
      <c r="I781" s="156"/>
      <c r="J781" s="156"/>
      <c r="K781" s="165"/>
      <c r="L781" s="165"/>
      <c r="M781" s="1"/>
      <c r="N781" s="164"/>
      <c r="O781" s="1"/>
      <c r="P781" s="153"/>
      <c r="Q781" s="39"/>
      <c r="R781" s="39"/>
      <c r="S781" s="39"/>
      <c r="T781" s="154"/>
      <c r="U781" s="40"/>
    </row>
    <row r="782" spans="1:21" ht="20" customHeight="1" x14ac:dyDescent="0.15">
      <c r="A782" s="284" t="s">
        <v>6678</v>
      </c>
      <c r="B782" s="157"/>
      <c r="C782" s="157"/>
      <c r="D782" s="157"/>
      <c r="E782" s="157"/>
      <c r="F782" s="157"/>
      <c r="G782" s="3"/>
      <c r="H782" s="156"/>
      <c r="I782" s="156"/>
      <c r="J782" s="156"/>
      <c r="K782" s="165"/>
      <c r="L782" s="165"/>
      <c r="M782" s="1"/>
      <c r="N782" s="164"/>
      <c r="O782" s="1"/>
      <c r="P782" s="153"/>
      <c r="Q782" s="39"/>
      <c r="R782" s="39"/>
      <c r="S782" s="39"/>
      <c r="T782" s="154"/>
      <c r="U782" s="40"/>
    </row>
    <row r="783" spans="1:21" ht="20" customHeight="1" x14ac:dyDescent="0.15">
      <c r="A783" s="284" t="s">
        <v>6679</v>
      </c>
      <c r="B783" s="157"/>
      <c r="C783" s="157"/>
      <c r="D783" s="157"/>
      <c r="E783" s="157"/>
      <c r="F783" s="157"/>
      <c r="G783" s="3"/>
      <c r="H783" s="156"/>
      <c r="I783" s="156"/>
      <c r="J783" s="156"/>
      <c r="K783" s="165"/>
      <c r="L783" s="165"/>
      <c r="M783" s="1"/>
      <c r="N783" s="164"/>
      <c r="O783" s="1"/>
      <c r="P783" s="153"/>
      <c r="Q783" s="39"/>
      <c r="R783" s="39"/>
      <c r="S783" s="39"/>
      <c r="T783" s="154"/>
      <c r="U783" s="40"/>
    </row>
    <row r="784" spans="1:21" ht="20" customHeight="1" x14ac:dyDescent="0.15">
      <c r="A784" s="284" t="s">
        <v>6680</v>
      </c>
      <c r="B784" s="157"/>
      <c r="C784" s="157"/>
      <c r="D784" s="157"/>
      <c r="E784" s="157"/>
      <c r="F784" s="157"/>
      <c r="G784" s="3"/>
      <c r="H784" s="156"/>
      <c r="I784" s="156"/>
      <c r="J784" s="156"/>
      <c r="K784" s="165"/>
      <c r="L784" s="165"/>
      <c r="M784" s="1"/>
      <c r="N784" s="164"/>
      <c r="O784" s="1"/>
      <c r="P784" s="153"/>
      <c r="Q784" s="39"/>
      <c r="R784" s="39"/>
      <c r="S784" s="39"/>
      <c r="T784" s="154"/>
      <c r="U784" s="40"/>
    </row>
    <row r="785" spans="1:21" ht="20" customHeight="1" x14ac:dyDescent="0.15">
      <c r="A785" s="284" t="s">
        <v>6681</v>
      </c>
      <c r="B785" s="157"/>
      <c r="C785" s="157"/>
      <c r="D785" s="157"/>
      <c r="E785" s="157"/>
      <c r="F785" s="157"/>
      <c r="G785" s="3"/>
      <c r="H785" s="156"/>
      <c r="I785" s="156"/>
      <c r="J785" s="156"/>
      <c r="K785" s="165"/>
      <c r="L785" s="165"/>
      <c r="M785" s="1"/>
      <c r="N785" s="164"/>
      <c r="O785" s="1"/>
      <c r="P785" s="153"/>
      <c r="Q785" s="39"/>
      <c r="R785" s="39"/>
      <c r="S785" s="39"/>
      <c r="T785" s="154"/>
      <c r="U785" s="40"/>
    </row>
    <row r="786" spans="1:21" ht="20" customHeight="1" x14ac:dyDescent="0.15">
      <c r="A786" s="284" t="s">
        <v>6682</v>
      </c>
      <c r="B786" s="157"/>
      <c r="C786" s="157"/>
      <c r="D786" s="157"/>
      <c r="E786" s="157"/>
      <c r="F786" s="157"/>
      <c r="G786" s="3"/>
      <c r="H786" s="156"/>
      <c r="I786" s="156"/>
      <c r="J786" s="156"/>
      <c r="K786" s="165"/>
      <c r="L786" s="165"/>
      <c r="M786" s="1"/>
      <c r="N786" s="164"/>
      <c r="O786" s="1"/>
      <c r="P786" s="153"/>
      <c r="Q786" s="39"/>
      <c r="R786" s="39"/>
      <c r="S786" s="39"/>
      <c r="T786" s="154"/>
      <c r="U786" s="40"/>
    </row>
    <row r="787" spans="1:21" ht="20" customHeight="1" x14ac:dyDescent="0.15">
      <c r="A787" s="284" t="s">
        <v>6683</v>
      </c>
      <c r="B787" s="157"/>
      <c r="C787" s="157"/>
      <c r="D787" s="157"/>
      <c r="E787" s="157"/>
      <c r="F787" s="157"/>
      <c r="G787" s="3"/>
      <c r="H787" s="156"/>
      <c r="I787" s="156"/>
      <c r="J787" s="156"/>
      <c r="K787" s="165"/>
      <c r="L787" s="165"/>
      <c r="M787" s="1"/>
      <c r="N787" s="164"/>
      <c r="O787" s="1"/>
      <c r="P787" s="153"/>
      <c r="Q787" s="39"/>
      <c r="R787" s="39"/>
      <c r="S787" s="39"/>
      <c r="T787" s="154"/>
      <c r="U787" s="40"/>
    </row>
    <row r="788" spans="1:21" ht="20" customHeight="1" x14ac:dyDescent="0.15">
      <c r="A788" s="284" t="s">
        <v>6684</v>
      </c>
      <c r="B788" s="157"/>
      <c r="C788" s="157"/>
      <c r="D788" s="157"/>
      <c r="E788" s="157"/>
      <c r="F788" s="157"/>
      <c r="G788" s="3"/>
      <c r="H788" s="156"/>
      <c r="I788" s="156"/>
      <c r="J788" s="156"/>
      <c r="K788" s="165"/>
      <c r="L788" s="165"/>
      <c r="M788" s="1"/>
      <c r="N788" s="164"/>
      <c r="O788" s="1"/>
      <c r="P788" s="153"/>
      <c r="Q788" s="39"/>
      <c r="R788" s="39"/>
      <c r="S788" s="39"/>
      <c r="T788" s="154"/>
      <c r="U788" s="40"/>
    </row>
    <row r="789" spans="1:21" ht="20" customHeight="1" x14ac:dyDescent="0.15">
      <c r="A789" s="284" t="s">
        <v>6685</v>
      </c>
      <c r="B789" s="157"/>
      <c r="C789" s="157"/>
      <c r="D789" s="157"/>
      <c r="E789" s="157"/>
      <c r="F789" s="157"/>
      <c r="G789" s="3"/>
      <c r="H789" s="156"/>
      <c r="I789" s="156"/>
      <c r="J789" s="156"/>
      <c r="K789" s="165"/>
      <c r="L789" s="165"/>
      <c r="M789" s="1"/>
      <c r="N789" s="164"/>
      <c r="O789" s="1"/>
      <c r="P789" s="153"/>
      <c r="Q789" s="39"/>
      <c r="R789" s="39"/>
      <c r="S789" s="39"/>
      <c r="T789" s="154"/>
      <c r="U789" s="40"/>
    </row>
    <row r="790" spans="1:21" ht="20" customHeight="1" x14ac:dyDescent="0.15">
      <c r="A790" s="284" t="s">
        <v>6686</v>
      </c>
      <c r="B790" s="157"/>
      <c r="C790" s="157"/>
      <c r="D790" s="157"/>
      <c r="E790" s="157"/>
      <c r="F790" s="157"/>
      <c r="G790" s="3"/>
      <c r="H790" s="156"/>
      <c r="I790" s="156"/>
      <c r="J790" s="156"/>
      <c r="K790" s="165"/>
      <c r="L790" s="165"/>
      <c r="M790" s="1"/>
      <c r="N790" s="164"/>
      <c r="O790" s="1"/>
      <c r="P790" s="153"/>
      <c r="Q790" s="39"/>
      <c r="R790" s="39"/>
      <c r="S790" s="39"/>
      <c r="T790" s="154"/>
      <c r="U790" s="40"/>
    </row>
    <row r="791" spans="1:21" ht="20" customHeight="1" x14ac:dyDescent="0.15">
      <c r="A791" s="284" t="s">
        <v>6687</v>
      </c>
      <c r="B791" s="157"/>
      <c r="C791" s="157"/>
      <c r="D791" s="157"/>
      <c r="E791" s="157"/>
      <c r="F791" s="157"/>
      <c r="G791" s="3"/>
      <c r="H791" s="156"/>
      <c r="I791" s="156"/>
      <c r="J791" s="156"/>
      <c r="K791" s="165"/>
      <c r="L791" s="165"/>
      <c r="M791" s="1"/>
      <c r="N791" s="164"/>
      <c r="O791" s="1"/>
      <c r="P791" s="153"/>
      <c r="Q791" s="39"/>
      <c r="R791" s="39"/>
      <c r="S791" s="39"/>
      <c r="T791" s="154"/>
      <c r="U791" s="40"/>
    </row>
    <row r="792" spans="1:21" ht="20" customHeight="1" x14ac:dyDescent="0.15">
      <c r="A792" s="284" t="s">
        <v>6688</v>
      </c>
      <c r="B792" s="157"/>
      <c r="C792" s="157"/>
      <c r="D792" s="157"/>
      <c r="E792" s="157"/>
      <c r="F792" s="157"/>
      <c r="G792" s="3"/>
      <c r="H792" s="156"/>
      <c r="I792" s="156"/>
      <c r="J792" s="156"/>
      <c r="K792" s="165"/>
      <c r="L792" s="165"/>
      <c r="M792" s="1"/>
      <c r="N792" s="164"/>
      <c r="O792" s="1"/>
      <c r="P792" s="153"/>
      <c r="Q792" s="39"/>
      <c r="R792" s="39"/>
      <c r="S792" s="39"/>
      <c r="T792" s="154"/>
      <c r="U792" s="40"/>
    </row>
    <row r="793" spans="1:21" ht="20" customHeight="1" x14ac:dyDescent="0.15">
      <c r="A793" s="284" t="s">
        <v>6689</v>
      </c>
      <c r="B793" s="157"/>
      <c r="C793" s="157"/>
      <c r="D793" s="157"/>
      <c r="E793" s="157"/>
      <c r="F793" s="157"/>
      <c r="G793" s="3"/>
      <c r="H793" s="156"/>
      <c r="I793" s="156"/>
      <c r="J793" s="156"/>
      <c r="K793" s="165"/>
      <c r="L793" s="165"/>
      <c r="M793" s="1"/>
      <c r="N793" s="164"/>
      <c r="O793" s="1"/>
      <c r="P793" s="153"/>
      <c r="Q793" s="39"/>
      <c r="R793" s="39"/>
      <c r="S793" s="39"/>
      <c r="T793" s="154"/>
      <c r="U793" s="40"/>
    </row>
    <row r="794" spans="1:21" ht="20" customHeight="1" x14ac:dyDescent="0.15">
      <c r="A794" s="284" t="s">
        <v>6690</v>
      </c>
      <c r="B794" s="157"/>
      <c r="C794" s="157"/>
      <c r="D794" s="157"/>
      <c r="E794" s="157"/>
      <c r="F794" s="157"/>
      <c r="G794" s="3"/>
      <c r="H794" s="156"/>
      <c r="I794" s="156"/>
      <c r="J794" s="156"/>
      <c r="K794" s="165"/>
      <c r="L794" s="165"/>
      <c r="M794" s="1"/>
      <c r="N794" s="164"/>
      <c r="O794" s="1"/>
      <c r="P794" s="153"/>
      <c r="Q794" s="39"/>
      <c r="R794" s="39"/>
      <c r="S794" s="39"/>
      <c r="T794" s="154"/>
      <c r="U794" s="40"/>
    </row>
    <row r="795" spans="1:21" ht="20" customHeight="1" x14ac:dyDescent="0.15">
      <c r="A795" s="284" t="s">
        <v>6691</v>
      </c>
      <c r="B795" s="157"/>
      <c r="C795" s="157"/>
      <c r="D795" s="157"/>
      <c r="E795" s="157"/>
      <c r="F795" s="157"/>
      <c r="G795" s="3"/>
      <c r="H795" s="156"/>
      <c r="I795" s="156"/>
      <c r="J795" s="156"/>
      <c r="K795" s="165"/>
      <c r="L795" s="165"/>
      <c r="M795" s="1"/>
      <c r="N795" s="164"/>
      <c r="O795" s="1"/>
      <c r="P795" s="153"/>
      <c r="Q795" s="39"/>
      <c r="R795" s="39"/>
      <c r="S795" s="39"/>
      <c r="T795" s="154"/>
      <c r="U795" s="40"/>
    </row>
    <row r="796" spans="1:21" ht="20" customHeight="1" x14ac:dyDescent="0.15">
      <c r="A796" s="284" t="s">
        <v>6692</v>
      </c>
      <c r="B796" s="157"/>
      <c r="C796" s="157"/>
      <c r="D796" s="157"/>
      <c r="E796" s="157"/>
      <c r="F796" s="157"/>
      <c r="G796" s="3"/>
      <c r="H796" s="156"/>
      <c r="I796" s="156"/>
      <c r="J796" s="156"/>
      <c r="K796" s="165"/>
      <c r="L796" s="165"/>
      <c r="M796" s="1"/>
      <c r="N796" s="164"/>
      <c r="O796" s="1"/>
      <c r="P796" s="153"/>
      <c r="Q796" s="39"/>
      <c r="R796" s="39"/>
      <c r="S796" s="39"/>
      <c r="T796" s="154"/>
      <c r="U796" s="40"/>
    </row>
    <row r="797" spans="1:21" ht="20" customHeight="1" x14ac:dyDescent="0.15">
      <c r="A797" s="284" t="s">
        <v>6693</v>
      </c>
      <c r="B797" s="157"/>
      <c r="C797" s="157"/>
      <c r="D797" s="157"/>
      <c r="E797" s="157"/>
      <c r="F797" s="157"/>
      <c r="G797" s="3"/>
      <c r="H797" s="156"/>
      <c r="I797" s="156"/>
      <c r="J797" s="156"/>
      <c r="K797" s="165"/>
      <c r="L797" s="165"/>
      <c r="M797" s="1"/>
      <c r="N797" s="164"/>
      <c r="O797" s="1"/>
      <c r="P797" s="153"/>
      <c r="Q797" s="39"/>
      <c r="R797" s="39"/>
      <c r="S797" s="39"/>
      <c r="T797" s="154"/>
      <c r="U797" s="40"/>
    </row>
    <row r="798" spans="1:21" ht="20" customHeight="1" x14ac:dyDescent="0.15">
      <c r="A798" s="284" t="s">
        <v>6694</v>
      </c>
      <c r="B798" s="157"/>
      <c r="C798" s="157"/>
      <c r="D798" s="157"/>
      <c r="E798" s="157"/>
      <c r="F798" s="157"/>
      <c r="G798" s="3"/>
      <c r="H798" s="156"/>
      <c r="I798" s="156"/>
      <c r="J798" s="156"/>
      <c r="K798" s="165"/>
      <c r="L798" s="165"/>
      <c r="M798" s="1"/>
      <c r="N798" s="164"/>
      <c r="O798" s="1"/>
      <c r="P798" s="153"/>
      <c r="Q798" s="39"/>
      <c r="R798" s="39"/>
      <c r="S798" s="39"/>
      <c r="T798" s="154"/>
      <c r="U798" s="40"/>
    </row>
    <row r="799" spans="1:21" ht="20" customHeight="1" x14ac:dyDescent="0.15">
      <c r="A799" s="284" t="s">
        <v>6695</v>
      </c>
      <c r="B799" s="157"/>
      <c r="C799" s="157"/>
      <c r="D799" s="157"/>
      <c r="E799" s="157"/>
      <c r="F799" s="157"/>
      <c r="G799" s="3"/>
      <c r="H799" s="156"/>
      <c r="I799" s="156"/>
      <c r="J799" s="156"/>
      <c r="K799" s="165"/>
      <c r="L799" s="165"/>
      <c r="M799" s="1"/>
      <c r="N799" s="164"/>
      <c r="O799" s="1"/>
      <c r="P799" s="153"/>
      <c r="Q799" s="39"/>
      <c r="R799" s="39"/>
      <c r="S799" s="39"/>
      <c r="T799" s="154"/>
      <c r="U799" s="40"/>
    </row>
    <row r="800" spans="1:21" ht="20" customHeight="1" x14ac:dyDescent="0.15">
      <c r="A800" s="284" t="s">
        <v>6696</v>
      </c>
      <c r="B800" s="157"/>
      <c r="C800" s="157"/>
      <c r="D800" s="157"/>
      <c r="E800" s="157"/>
      <c r="F800" s="157"/>
      <c r="G800" s="3"/>
      <c r="H800" s="156"/>
      <c r="I800" s="156"/>
      <c r="J800" s="156"/>
      <c r="K800" s="165"/>
      <c r="L800" s="165"/>
      <c r="M800" s="1"/>
      <c r="N800" s="164"/>
      <c r="O800" s="1"/>
      <c r="P800" s="153"/>
      <c r="Q800" s="39"/>
      <c r="R800" s="39"/>
      <c r="S800" s="39"/>
      <c r="T800" s="154"/>
      <c r="U800" s="40"/>
    </row>
    <row r="801" spans="1:21" ht="20" customHeight="1" x14ac:dyDescent="0.15">
      <c r="A801" s="284" t="s">
        <v>6697</v>
      </c>
      <c r="B801" s="157"/>
      <c r="C801" s="157"/>
      <c r="D801" s="157"/>
      <c r="E801" s="157"/>
      <c r="F801" s="157"/>
      <c r="G801" s="3"/>
      <c r="H801" s="156"/>
      <c r="I801" s="156"/>
      <c r="J801" s="156"/>
      <c r="K801" s="165"/>
      <c r="L801" s="165"/>
      <c r="M801" s="1"/>
      <c r="N801" s="164"/>
      <c r="O801" s="1"/>
      <c r="P801" s="153"/>
      <c r="Q801" s="39"/>
      <c r="R801" s="39"/>
      <c r="S801" s="39"/>
      <c r="T801" s="154"/>
      <c r="U801" s="40"/>
    </row>
    <row r="802" spans="1:21" ht="20" customHeight="1" x14ac:dyDescent="0.15">
      <c r="A802" s="284" t="s">
        <v>6698</v>
      </c>
      <c r="B802" s="157"/>
      <c r="C802" s="157"/>
      <c r="D802" s="157"/>
      <c r="E802" s="157"/>
      <c r="F802" s="157"/>
      <c r="G802" s="3"/>
      <c r="H802" s="156"/>
      <c r="I802" s="156"/>
      <c r="J802" s="156"/>
      <c r="K802" s="165"/>
      <c r="L802" s="165"/>
      <c r="M802" s="1"/>
      <c r="N802" s="164"/>
      <c r="O802" s="1"/>
      <c r="P802" s="153"/>
      <c r="Q802" s="39"/>
      <c r="R802" s="39"/>
      <c r="S802" s="39"/>
      <c r="T802" s="154"/>
      <c r="U802" s="40"/>
    </row>
    <row r="803" spans="1:21" ht="20" customHeight="1" x14ac:dyDescent="0.15">
      <c r="A803" s="284" t="s">
        <v>6699</v>
      </c>
      <c r="B803" s="157"/>
      <c r="C803" s="157"/>
      <c r="D803" s="157"/>
      <c r="E803" s="157"/>
      <c r="F803" s="157"/>
      <c r="G803" s="3"/>
      <c r="H803" s="156"/>
      <c r="I803" s="156"/>
      <c r="J803" s="156"/>
      <c r="K803" s="165"/>
      <c r="L803" s="165"/>
      <c r="M803" s="1"/>
      <c r="N803" s="164"/>
      <c r="O803" s="1"/>
      <c r="P803" s="153"/>
      <c r="Q803" s="39"/>
      <c r="R803" s="39"/>
      <c r="S803" s="39"/>
      <c r="T803" s="154"/>
      <c r="U803" s="40"/>
    </row>
    <row r="804" spans="1:21" ht="20" customHeight="1" x14ac:dyDescent="0.15">
      <c r="A804" s="284" t="s">
        <v>6700</v>
      </c>
      <c r="B804" s="157"/>
      <c r="C804" s="157"/>
      <c r="D804" s="157"/>
      <c r="E804" s="157"/>
      <c r="F804" s="157"/>
      <c r="G804" s="3"/>
      <c r="H804" s="156"/>
      <c r="I804" s="156"/>
      <c r="J804" s="156"/>
      <c r="K804" s="165"/>
      <c r="L804" s="165"/>
      <c r="M804" s="1"/>
      <c r="N804" s="164"/>
      <c r="O804" s="1"/>
      <c r="P804" s="153"/>
      <c r="Q804" s="39"/>
      <c r="R804" s="39"/>
      <c r="S804" s="39"/>
      <c r="T804" s="154"/>
      <c r="U804" s="40"/>
    </row>
    <row r="805" spans="1:21" ht="20" customHeight="1" x14ac:dyDescent="0.15">
      <c r="A805" s="284" t="s">
        <v>6701</v>
      </c>
      <c r="B805" s="157"/>
      <c r="C805" s="157"/>
      <c r="D805" s="157"/>
      <c r="E805" s="157"/>
      <c r="F805" s="157"/>
      <c r="G805" s="3"/>
      <c r="H805" s="156"/>
      <c r="I805" s="156"/>
      <c r="J805" s="156"/>
      <c r="K805" s="165"/>
      <c r="L805" s="165"/>
      <c r="M805" s="1"/>
      <c r="N805" s="164"/>
      <c r="O805" s="1"/>
      <c r="P805" s="153"/>
      <c r="Q805" s="39"/>
      <c r="R805" s="39"/>
      <c r="S805" s="39"/>
      <c r="T805" s="154"/>
      <c r="U805" s="40"/>
    </row>
    <row r="806" spans="1:21" ht="20" customHeight="1" x14ac:dyDescent="0.15">
      <c r="A806" s="284" t="s">
        <v>6702</v>
      </c>
      <c r="B806" s="157"/>
      <c r="C806" s="157"/>
      <c r="D806" s="157"/>
      <c r="E806" s="157"/>
      <c r="F806" s="157"/>
      <c r="G806" s="3"/>
      <c r="H806" s="156"/>
      <c r="I806" s="156"/>
      <c r="J806" s="156"/>
      <c r="K806" s="165"/>
      <c r="L806" s="165"/>
      <c r="M806" s="1"/>
      <c r="N806" s="164"/>
      <c r="O806" s="1"/>
      <c r="P806" s="153"/>
      <c r="Q806" s="39"/>
      <c r="R806" s="39"/>
      <c r="S806" s="39"/>
      <c r="T806" s="154"/>
      <c r="U806" s="40"/>
    </row>
    <row r="807" spans="1:21" ht="20" customHeight="1" x14ac:dyDescent="0.15">
      <c r="A807" s="284" t="s">
        <v>6703</v>
      </c>
      <c r="B807" s="157"/>
      <c r="C807" s="157"/>
      <c r="D807" s="157"/>
      <c r="E807" s="157"/>
      <c r="F807" s="157"/>
      <c r="G807" s="3"/>
      <c r="H807" s="156"/>
      <c r="I807" s="156"/>
      <c r="J807" s="156"/>
      <c r="K807" s="165"/>
      <c r="L807" s="165"/>
      <c r="M807" s="1"/>
      <c r="N807" s="164"/>
      <c r="O807" s="1"/>
      <c r="P807" s="153"/>
      <c r="Q807" s="39"/>
      <c r="R807" s="39"/>
      <c r="S807" s="39"/>
      <c r="T807" s="154"/>
      <c r="U807" s="40"/>
    </row>
    <row r="808" spans="1:21" ht="20" customHeight="1" x14ac:dyDescent="0.15">
      <c r="A808" s="284" t="s">
        <v>6704</v>
      </c>
      <c r="B808" s="157"/>
      <c r="C808" s="157"/>
      <c r="D808" s="157"/>
      <c r="E808" s="157"/>
      <c r="F808" s="157"/>
      <c r="G808" s="3"/>
      <c r="H808" s="156"/>
      <c r="I808" s="156"/>
      <c r="J808" s="156"/>
      <c r="K808" s="165"/>
      <c r="L808" s="165"/>
      <c r="M808" s="1"/>
      <c r="N808" s="164"/>
      <c r="O808" s="1"/>
      <c r="P808" s="153"/>
      <c r="Q808" s="39"/>
      <c r="R808" s="39"/>
      <c r="S808" s="39"/>
      <c r="T808" s="154"/>
      <c r="U808" s="40"/>
    </row>
    <row r="809" spans="1:21" ht="20" customHeight="1" x14ac:dyDescent="0.15">
      <c r="A809" s="284" t="s">
        <v>6705</v>
      </c>
      <c r="B809" s="157"/>
      <c r="C809" s="157"/>
      <c r="D809" s="157"/>
      <c r="E809" s="157"/>
      <c r="F809" s="157"/>
      <c r="G809" s="3"/>
      <c r="H809" s="156"/>
      <c r="I809" s="156"/>
      <c r="J809" s="156"/>
      <c r="K809" s="165"/>
      <c r="L809" s="165"/>
      <c r="M809" s="1"/>
      <c r="N809" s="164"/>
      <c r="O809" s="1"/>
      <c r="P809" s="153"/>
      <c r="Q809" s="39"/>
      <c r="R809" s="39"/>
      <c r="S809" s="39"/>
      <c r="T809" s="154"/>
      <c r="U809" s="40"/>
    </row>
    <row r="810" spans="1:21" ht="20" customHeight="1" x14ac:dyDescent="0.15">
      <c r="A810" s="284" t="s">
        <v>6706</v>
      </c>
      <c r="B810" s="157"/>
      <c r="C810" s="157"/>
      <c r="D810" s="157"/>
      <c r="E810" s="157"/>
      <c r="F810" s="157"/>
      <c r="G810" s="3"/>
      <c r="H810" s="156"/>
      <c r="I810" s="156"/>
      <c r="J810" s="156"/>
      <c r="K810" s="165"/>
      <c r="L810" s="165"/>
      <c r="M810" s="1"/>
      <c r="N810" s="164"/>
      <c r="O810" s="1"/>
      <c r="P810" s="153"/>
      <c r="Q810" s="39"/>
      <c r="R810" s="39"/>
      <c r="S810" s="39"/>
      <c r="T810" s="154"/>
      <c r="U810" s="40"/>
    </row>
    <row r="811" spans="1:21" ht="20" customHeight="1" x14ac:dyDescent="0.15">
      <c r="A811" s="284" t="s">
        <v>6707</v>
      </c>
      <c r="B811" s="157"/>
      <c r="C811" s="157"/>
      <c r="D811" s="157"/>
      <c r="E811" s="157"/>
      <c r="F811" s="157"/>
      <c r="G811" s="3"/>
      <c r="H811" s="156"/>
      <c r="I811" s="156"/>
      <c r="J811" s="156"/>
      <c r="K811" s="165"/>
      <c r="L811" s="165"/>
      <c r="M811" s="1"/>
      <c r="N811" s="164"/>
      <c r="O811" s="1"/>
      <c r="P811" s="153"/>
      <c r="Q811" s="39"/>
      <c r="R811" s="39"/>
      <c r="S811" s="39"/>
      <c r="T811" s="154"/>
      <c r="U811" s="40"/>
    </row>
    <row r="812" spans="1:21" ht="20" customHeight="1" x14ac:dyDescent="0.15">
      <c r="A812" s="284" t="s">
        <v>6708</v>
      </c>
      <c r="B812" s="157"/>
      <c r="C812" s="157"/>
      <c r="D812" s="157"/>
      <c r="E812" s="157"/>
      <c r="F812" s="157"/>
      <c r="G812" s="3"/>
      <c r="H812" s="156"/>
      <c r="I812" s="156"/>
      <c r="J812" s="156"/>
      <c r="K812" s="165"/>
      <c r="L812" s="165"/>
      <c r="M812" s="1"/>
      <c r="N812" s="164"/>
      <c r="O812" s="1"/>
      <c r="P812" s="153"/>
      <c r="Q812" s="39"/>
      <c r="R812" s="39"/>
      <c r="S812" s="39"/>
      <c r="T812" s="154"/>
      <c r="U812" s="40"/>
    </row>
    <row r="813" spans="1:21" ht="20" customHeight="1" x14ac:dyDescent="0.15">
      <c r="A813" s="284" t="s">
        <v>6709</v>
      </c>
      <c r="B813" s="157"/>
      <c r="C813" s="157"/>
      <c r="D813" s="157"/>
      <c r="E813" s="157"/>
      <c r="F813" s="157"/>
      <c r="G813" s="3"/>
      <c r="H813" s="156"/>
      <c r="I813" s="156"/>
      <c r="J813" s="156"/>
      <c r="K813" s="165"/>
      <c r="L813" s="165"/>
      <c r="M813" s="1"/>
      <c r="N813" s="164"/>
      <c r="O813" s="1"/>
      <c r="P813" s="153"/>
      <c r="Q813" s="39"/>
      <c r="R813" s="39"/>
      <c r="S813" s="39"/>
      <c r="T813" s="154"/>
      <c r="U813" s="40"/>
    </row>
    <row r="814" spans="1:21" ht="20" customHeight="1" x14ac:dyDescent="0.15">
      <c r="A814" s="284" t="s">
        <v>6710</v>
      </c>
      <c r="B814" s="157"/>
      <c r="C814" s="157"/>
      <c r="D814" s="157"/>
      <c r="E814" s="157"/>
      <c r="F814" s="157"/>
      <c r="G814" s="3"/>
      <c r="H814" s="156"/>
      <c r="I814" s="156"/>
      <c r="J814" s="156"/>
      <c r="K814" s="165"/>
      <c r="L814" s="165"/>
      <c r="M814" s="1"/>
      <c r="N814" s="164"/>
      <c r="O814" s="1"/>
      <c r="P814" s="153"/>
      <c r="Q814" s="39"/>
      <c r="R814" s="39"/>
      <c r="S814" s="39"/>
      <c r="T814" s="154"/>
      <c r="U814" s="40"/>
    </row>
    <row r="815" spans="1:21" ht="20" customHeight="1" x14ac:dyDescent="0.15">
      <c r="A815" s="284" t="s">
        <v>6711</v>
      </c>
      <c r="B815" s="157"/>
      <c r="C815" s="157"/>
      <c r="D815" s="157"/>
      <c r="E815" s="157"/>
      <c r="F815" s="157"/>
      <c r="G815" s="3"/>
      <c r="H815" s="156"/>
      <c r="I815" s="156"/>
      <c r="J815" s="156"/>
      <c r="K815" s="165"/>
      <c r="L815" s="165"/>
      <c r="M815" s="1"/>
      <c r="N815" s="164"/>
      <c r="O815" s="1"/>
      <c r="P815" s="153"/>
      <c r="Q815" s="39"/>
      <c r="R815" s="39"/>
      <c r="S815" s="39"/>
      <c r="T815" s="154"/>
      <c r="U815" s="40"/>
    </row>
    <row r="816" spans="1:21" ht="20" customHeight="1" x14ac:dyDescent="0.15">
      <c r="A816" s="284" t="s">
        <v>6712</v>
      </c>
      <c r="B816" s="157"/>
      <c r="C816" s="157"/>
      <c r="D816" s="157"/>
      <c r="E816" s="157"/>
      <c r="F816" s="157"/>
      <c r="G816" s="3"/>
      <c r="H816" s="156"/>
      <c r="I816" s="156"/>
      <c r="J816" s="156"/>
      <c r="K816" s="165"/>
      <c r="L816" s="165"/>
      <c r="M816" s="1"/>
      <c r="N816" s="164"/>
      <c r="O816" s="1"/>
      <c r="P816" s="153"/>
      <c r="Q816" s="39"/>
      <c r="R816" s="39"/>
      <c r="S816" s="39"/>
      <c r="T816" s="154"/>
      <c r="U816" s="40"/>
    </row>
    <row r="817" spans="1:21" ht="20" customHeight="1" x14ac:dyDescent="0.15">
      <c r="A817" s="284" t="s">
        <v>6713</v>
      </c>
      <c r="B817" s="157"/>
      <c r="C817" s="157"/>
      <c r="D817" s="157"/>
      <c r="E817" s="157"/>
      <c r="F817" s="157"/>
      <c r="G817" s="3"/>
      <c r="H817" s="156"/>
      <c r="I817" s="156"/>
      <c r="J817" s="156"/>
      <c r="K817" s="165"/>
      <c r="L817" s="165"/>
      <c r="M817" s="1"/>
      <c r="N817" s="164"/>
      <c r="O817" s="1"/>
      <c r="P817" s="153"/>
      <c r="Q817" s="39"/>
      <c r="R817" s="39"/>
      <c r="S817" s="39"/>
      <c r="T817" s="154"/>
      <c r="U817" s="40"/>
    </row>
    <row r="818" spans="1:21" ht="20" customHeight="1" x14ac:dyDescent="0.15">
      <c r="A818" s="284" t="s">
        <v>6714</v>
      </c>
      <c r="B818" s="157"/>
      <c r="C818" s="157"/>
      <c r="D818" s="157"/>
      <c r="E818" s="157"/>
      <c r="F818" s="157"/>
      <c r="G818" s="3"/>
      <c r="H818" s="156"/>
      <c r="I818" s="156"/>
      <c r="J818" s="156"/>
      <c r="K818" s="165"/>
      <c r="L818" s="165"/>
      <c r="M818" s="1"/>
      <c r="N818" s="164"/>
      <c r="O818" s="1"/>
      <c r="P818" s="153"/>
      <c r="Q818" s="39"/>
      <c r="R818" s="39"/>
      <c r="S818" s="39"/>
      <c r="T818" s="154"/>
      <c r="U818" s="40"/>
    </row>
    <row r="819" spans="1:21" ht="20" customHeight="1" x14ac:dyDescent="0.15">
      <c r="A819" s="284" t="s">
        <v>6715</v>
      </c>
      <c r="B819" s="157"/>
      <c r="C819" s="157"/>
      <c r="D819" s="157"/>
      <c r="E819" s="157"/>
      <c r="F819" s="157"/>
      <c r="G819" s="3"/>
      <c r="H819" s="156"/>
      <c r="I819" s="156"/>
      <c r="J819" s="156"/>
      <c r="K819" s="165"/>
      <c r="L819" s="165"/>
      <c r="M819" s="1"/>
      <c r="N819" s="164"/>
      <c r="O819" s="1"/>
      <c r="P819" s="153"/>
      <c r="Q819" s="39"/>
      <c r="R819" s="39"/>
      <c r="S819" s="39"/>
      <c r="T819" s="154"/>
      <c r="U819" s="40"/>
    </row>
    <row r="820" spans="1:21" ht="20" customHeight="1" x14ac:dyDescent="0.15">
      <c r="A820" s="284" t="s">
        <v>6716</v>
      </c>
      <c r="B820" s="157"/>
      <c r="C820" s="157"/>
      <c r="D820" s="157"/>
      <c r="E820" s="157"/>
      <c r="F820" s="157"/>
      <c r="G820" s="3"/>
      <c r="H820" s="156"/>
      <c r="I820" s="156"/>
      <c r="J820" s="156"/>
      <c r="K820" s="165"/>
      <c r="L820" s="165"/>
      <c r="M820" s="1"/>
      <c r="N820" s="164"/>
      <c r="O820" s="1"/>
      <c r="P820" s="153"/>
      <c r="Q820" s="39"/>
      <c r="R820" s="39"/>
      <c r="S820" s="39"/>
      <c r="T820" s="154"/>
      <c r="U820" s="40"/>
    </row>
    <row r="821" spans="1:21" ht="20" customHeight="1" x14ac:dyDescent="0.15">
      <c r="A821" s="284" t="s">
        <v>6717</v>
      </c>
      <c r="B821" s="157"/>
      <c r="C821" s="157"/>
      <c r="D821" s="157"/>
      <c r="E821" s="157"/>
      <c r="F821" s="157"/>
      <c r="G821" s="3"/>
      <c r="H821" s="156"/>
      <c r="I821" s="156"/>
      <c r="J821" s="156"/>
      <c r="K821" s="165"/>
      <c r="L821" s="165"/>
      <c r="M821" s="1"/>
      <c r="N821" s="164"/>
      <c r="O821" s="1"/>
      <c r="P821" s="153"/>
      <c r="Q821" s="39"/>
      <c r="R821" s="39"/>
      <c r="S821" s="39"/>
      <c r="T821" s="154"/>
      <c r="U821" s="40"/>
    </row>
    <row r="822" spans="1:21" ht="20" customHeight="1" x14ac:dyDescent="0.15">
      <c r="A822" s="284" t="s">
        <v>6718</v>
      </c>
      <c r="B822" s="157"/>
      <c r="C822" s="157"/>
      <c r="D822" s="157"/>
      <c r="E822" s="157"/>
      <c r="F822" s="157"/>
      <c r="G822" s="3"/>
      <c r="H822" s="156"/>
      <c r="I822" s="156"/>
      <c r="J822" s="156"/>
      <c r="K822" s="165"/>
      <c r="L822" s="165"/>
      <c r="M822" s="1"/>
      <c r="N822" s="164"/>
      <c r="O822" s="1"/>
      <c r="P822" s="153"/>
      <c r="Q822" s="39"/>
      <c r="R822" s="39"/>
      <c r="S822" s="39"/>
      <c r="T822" s="154"/>
      <c r="U822" s="40"/>
    </row>
    <row r="823" spans="1:21" ht="20" customHeight="1" x14ac:dyDescent="0.15">
      <c r="A823" s="284" t="s">
        <v>6719</v>
      </c>
      <c r="B823" s="157"/>
      <c r="C823" s="157"/>
      <c r="D823" s="157"/>
      <c r="E823" s="157"/>
      <c r="F823" s="157"/>
      <c r="G823" s="3"/>
      <c r="H823" s="156"/>
      <c r="I823" s="156"/>
      <c r="J823" s="156"/>
      <c r="K823" s="165"/>
      <c r="L823" s="165"/>
      <c r="M823" s="1"/>
      <c r="N823" s="164"/>
      <c r="O823" s="1"/>
      <c r="P823" s="153"/>
      <c r="Q823" s="39"/>
      <c r="R823" s="39"/>
      <c r="S823" s="39"/>
      <c r="T823" s="154"/>
      <c r="U823" s="40"/>
    </row>
    <row r="824" spans="1:21" ht="20" customHeight="1" x14ac:dyDescent="0.15">
      <c r="A824" s="284" t="s">
        <v>6720</v>
      </c>
      <c r="B824" s="157"/>
      <c r="C824" s="157"/>
      <c r="D824" s="157"/>
      <c r="E824" s="157"/>
      <c r="F824" s="157"/>
      <c r="G824" s="3"/>
      <c r="H824" s="156"/>
      <c r="I824" s="156"/>
      <c r="J824" s="156"/>
      <c r="K824" s="165"/>
      <c r="L824" s="165"/>
      <c r="M824" s="1"/>
      <c r="N824" s="164"/>
      <c r="O824" s="1"/>
      <c r="P824" s="153"/>
      <c r="Q824" s="39"/>
      <c r="R824" s="39"/>
      <c r="S824" s="39"/>
      <c r="T824" s="154"/>
      <c r="U824" s="40"/>
    </row>
    <row r="825" spans="1:21" ht="20" customHeight="1" x14ac:dyDescent="0.15">
      <c r="A825" s="284" t="s">
        <v>6721</v>
      </c>
      <c r="B825" s="157"/>
      <c r="C825" s="157"/>
      <c r="D825" s="157"/>
      <c r="E825" s="157"/>
      <c r="F825" s="157"/>
      <c r="G825" s="3"/>
      <c r="H825" s="156"/>
      <c r="I825" s="156"/>
      <c r="J825" s="156"/>
      <c r="K825" s="165"/>
      <c r="L825" s="165"/>
      <c r="M825" s="1"/>
      <c r="N825" s="164"/>
      <c r="O825" s="1"/>
      <c r="P825" s="153"/>
      <c r="Q825" s="39"/>
      <c r="R825" s="39"/>
      <c r="S825" s="39"/>
      <c r="T825" s="154"/>
      <c r="U825" s="40"/>
    </row>
    <row r="826" spans="1:21" ht="20" customHeight="1" x14ac:dyDescent="0.15">
      <c r="A826" s="284" t="s">
        <v>6722</v>
      </c>
      <c r="B826" s="157"/>
      <c r="C826" s="157"/>
      <c r="D826" s="157"/>
      <c r="E826" s="157"/>
      <c r="F826" s="157"/>
      <c r="G826" s="3"/>
      <c r="H826" s="156"/>
      <c r="I826" s="156"/>
      <c r="J826" s="156"/>
      <c r="K826" s="165"/>
      <c r="L826" s="165"/>
      <c r="M826" s="1"/>
      <c r="N826" s="164"/>
      <c r="O826" s="1"/>
      <c r="P826" s="153"/>
      <c r="Q826" s="39"/>
      <c r="R826" s="39"/>
      <c r="S826" s="39"/>
      <c r="T826" s="154"/>
      <c r="U826" s="40"/>
    </row>
    <row r="827" spans="1:21" ht="20" customHeight="1" x14ac:dyDescent="0.15">
      <c r="A827" s="284" t="s">
        <v>6723</v>
      </c>
      <c r="B827" s="157"/>
      <c r="C827" s="157"/>
      <c r="D827" s="157"/>
      <c r="E827" s="157"/>
      <c r="F827" s="157"/>
      <c r="G827" s="3"/>
      <c r="H827" s="156"/>
      <c r="I827" s="156"/>
      <c r="J827" s="156"/>
      <c r="K827" s="165"/>
      <c r="L827" s="165"/>
      <c r="M827" s="1"/>
      <c r="N827" s="164"/>
      <c r="O827" s="1"/>
      <c r="P827" s="153"/>
      <c r="Q827" s="39"/>
      <c r="R827" s="39"/>
      <c r="S827" s="39"/>
      <c r="T827" s="154"/>
      <c r="U827" s="40"/>
    </row>
    <row r="828" spans="1:21" ht="20" customHeight="1" x14ac:dyDescent="0.15">
      <c r="A828" s="284" t="s">
        <v>6724</v>
      </c>
      <c r="B828" s="157"/>
      <c r="C828" s="157"/>
      <c r="D828" s="157"/>
      <c r="E828" s="157"/>
      <c r="F828" s="157"/>
      <c r="G828" s="3"/>
      <c r="H828" s="156"/>
      <c r="I828" s="156"/>
      <c r="J828" s="156"/>
      <c r="K828" s="165"/>
      <c r="L828" s="165"/>
      <c r="M828" s="1"/>
      <c r="N828" s="164"/>
      <c r="O828" s="1"/>
      <c r="P828" s="153"/>
      <c r="Q828" s="39"/>
      <c r="R828" s="39"/>
      <c r="S828" s="39"/>
      <c r="T828" s="154"/>
      <c r="U828" s="40"/>
    </row>
    <row r="829" spans="1:21" ht="20" customHeight="1" x14ac:dyDescent="0.15">
      <c r="A829" s="284" t="s">
        <v>6725</v>
      </c>
      <c r="B829" s="157"/>
      <c r="C829" s="157"/>
      <c r="D829" s="157"/>
      <c r="E829" s="157"/>
      <c r="F829" s="157"/>
      <c r="G829" s="3"/>
      <c r="H829" s="156"/>
      <c r="I829" s="156"/>
      <c r="J829" s="156"/>
      <c r="K829" s="165"/>
      <c r="L829" s="165"/>
      <c r="M829" s="1"/>
      <c r="N829" s="164"/>
      <c r="O829" s="1"/>
      <c r="P829" s="153"/>
      <c r="Q829" s="39"/>
      <c r="R829" s="39"/>
      <c r="S829" s="39"/>
      <c r="T829" s="154"/>
      <c r="U829" s="40"/>
    </row>
    <row r="830" spans="1:21" ht="20" customHeight="1" x14ac:dyDescent="0.15">
      <c r="A830" s="284" t="s">
        <v>6726</v>
      </c>
      <c r="B830" s="157"/>
      <c r="C830" s="157"/>
      <c r="D830" s="157"/>
      <c r="E830" s="157"/>
      <c r="F830" s="157"/>
      <c r="G830" s="3"/>
      <c r="H830" s="156"/>
      <c r="I830" s="156"/>
      <c r="J830" s="156"/>
      <c r="K830" s="165"/>
      <c r="L830" s="165"/>
      <c r="M830" s="1"/>
      <c r="N830" s="164"/>
      <c r="O830" s="1"/>
      <c r="P830" s="153"/>
      <c r="Q830" s="39"/>
      <c r="R830" s="39"/>
      <c r="S830" s="39"/>
      <c r="T830" s="154"/>
      <c r="U830" s="40"/>
    </row>
    <row r="831" spans="1:21" ht="20" customHeight="1" x14ac:dyDescent="0.15">
      <c r="A831" s="284" t="s">
        <v>6727</v>
      </c>
      <c r="B831" s="157"/>
      <c r="C831" s="157"/>
      <c r="D831" s="157"/>
      <c r="E831" s="157"/>
      <c r="F831" s="157"/>
      <c r="G831" s="3"/>
      <c r="H831" s="156"/>
      <c r="I831" s="156"/>
      <c r="J831" s="156"/>
      <c r="K831" s="165"/>
      <c r="L831" s="165"/>
      <c r="M831" s="1"/>
      <c r="N831" s="164"/>
      <c r="O831" s="1"/>
      <c r="P831" s="153"/>
      <c r="Q831" s="39"/>
      <c r="R831" s="39"/>
      <c r="S831" s="39"/>
      <c r="T831" s="154"/>
      <c r="U831" s="40"/>
    </row>
    <row r="832" spans="1:21" ht="20" customHeight="1" x14ac:dyDescent="0.15">
      <c r="A832" s="284" t="s">
        <v>6728</v>
      </c>
      <c r="B832" s="157"/>
      <c r="C832" s="157"/>
      <c r="D832" s="157"/>
      <c r="E832" s="157"/>
      <c r="F832" s="157"/>
      <c r="G832" s="3"/>
      <c r="H832" s="156"/>
      <c r="I832" s="156"/>
      <c r="J832" s="156"/>
      <c r="K832" s="165"/>
      <c r="L832" s="165"/>
      <c r="M832" s="1"/>
      <c r="N832" s="164"/>
      <c r="O832" s="1"/>
      <c r="P832" s="153"/>
      <c r="Q832" s="39"/>
      <c r="R832" s="39"/>
      <c r="S832" s="39"/>
      <c r="T832" s="154"/>
      <c r="U832" s="40"/>
    </row>
    <row r="833" spans="1:21" ht="20" customHeight="1" x14ac:dyDescent="0.15">
      <c r="A833" s="284" t="s">
        <v>6729</v>
      </c>
      <c r="B833" s="157"/>
      <c r="C833" s="157"/>
      <c r="D833" s="157"/>
      <c r="E833" s="157"/>
      <c r="F833" s="157"/>
      <c r="G833" s="3"/>
      <c r="H833" s="156"/>
      <c r="I833" s="156"/>
      <c r="J833" s="156"/>
      <c r="K833" s="165"/>
      <c r="L833" s="165"/>
      <c r="M833" s="1"/>
      <c r="N833" s="164"/>
      <c r="O833" s="1"/>
      <c r="P833" s="153"/>
      <c r="Q833" s="39"/>
      <c r="R833" s="39"/>
      <c r="S833" s="39"/>
      <c r="T833" s="154"/>
      <c r="U833" s="40"/>
    </row>
    <row r="834" spans="1:21" ht="20" customHeight="1" x14ac:dyDescent="0.15">
      <c r="A834" s="284" t="s">
        <v>6730</v>
      </c>
      <c r="B834" s="157"/>
      <c r="C834" s="157"/>
      <c r="D834" s="157"/>
      <c r="E834" s="157"/>
      <c r="F834" s="157"/>
      <c r="G834" s="3"/>
      <c r="H834" s="156"/>
      <c r="I834" s="156"/>
      <c r="J834" s="156"/>
      <c r="K834" s="165"/>
      <c r="L834" s="165"/>
      <c r="M834" s="1"/>
      <c r="N834" s="164"/>
      <c r="O834" s="1"/>
      <c r="P834" s="153"/>
      <c r="Q834" s="39"/>
      <c r="R834" s="39"/>
      <c r="S834" s="39"/>
      <c r="T834" s="154"/>
      <c r="U834" s="40"/>
    </row>
    <row r="835" spans="1:21" ht="20" customHeight="1" x14ac:dyDescent="0.15">
      <c r="A835" s="284" t="s">
        <v>6731</v>
      </c>
      <c r="B835" s="157"/>
      <c r="C835" s="157"/>
      <c r="D835" s="157"/>
      <c r="E835" s="157"/>
      <c r="F835" s="157"/>
      <c r="G835" s="3"/>
      <c r="H835" s="156"/>
      <c r="I835" s="156"/>
      <c r="J835" s="156"/>
      <c r="K835" s="165"/>
      <c r="L835" s="165"/>
      <c r="M835" s="1"/>
      <c r="N835" s="164"/>
      <c r="O835" s="1"/>
      <c r="P835" s="153"/>
      <c r="Q835" s="39"/>
      <c r="R835" s="39"/>
      <c r="S835" s="39"/>
      <c r="T835" s="154"/>
      <c r="U835" s="40"/>
    </row>
    <row r="836" spans="1:21" ht="20" customHeight="1" x14ac:dyDescent="0.15">
      <c r="A836" s="284" t="s">
        <v>6732</v>
      </c>
      <c r="B836" s="157"/>
      <c r="C836" s="157"/>
      <c r="D836" s="157"/>
      <c r="E836" s="157"/>
      <c r="F836" s="157"/>
      <c r="G836" s="3"/>
      <c r="H836" s="156"/>
      <c r="I836" s="156"/>
      <c r="J836" s="156"/>
      <c r="K836" s="165"/>
      <c r="L836" s="165"/>
      <c r="M836" s="1"/>
      <c r="N836" s="164"/>
      <c r="O836" s="1"/>
      <c r="P836" s="153"/>
      <c r="Q836" s="39"/>
      <c r="R836" s="39"/>
      <c r="S836" s="39"/>
      <c r="T836" s="154"/>
      <c r="U836" s="40"/>
    </row>
    <row r="837" spans="1:21" ht="20" customHeight="1" x14ac:dyDescent="0.15">
      <c r="A837" s="284" t="s">
        <v>6733</v>
      </c>
      <c r="B837" s="157"/>
      <c r="C837" s="157"/>
      <c r="D837" s="157"/>
      <c r="E837" s="157"/>
      <c r="F837" s="157"/>
      <c r="G837" s="3"/>
      <c r="H837" s="156"/>
      <c r="I837" s="156"/>
      <c r="J837" s="156"/>
      <c r="K837" s="165"/>
      <c r="L837" s="165"/>
      <c r="M837" s="1"/>
      <c r="N837" s="164"/>
      <c r="O837" s="1"/>
      <c r="P837" s="153"/>
      <c r="Q837" s="39"/>
      <c r="R837" s="39"/>
      <c r="S837" s="39"/>
      <c r="T837" s="154"/>
      <c r="U837" s="40"/>
    </row>
    <row r="838" spans="1:21" ht="20" customHeight="1" x14ac:dyDescent="0.15">
      <c r="A838" s="284" t="s">
        <v>6734</v>
      </c>
      <c r="B838" s="157"/>
      <c r="C838" s="157"/>
      <c r="D838" s="157"/>
      <c r="E838" s="157"/>
      <c r="F838" s="157"/>
      <c r="G838" s="3"/>
      <c r="H838" s="156"/>
      <c r="I838" s="156"/>
      <c r="J838" s="156"/>
      <c r="K838" s="165"/>
      <c r="L838" s="165"/>
      <c r="M838" s="1"/>
      <c r="N838" s="164"/>
      <c r="O838" s="1"/>
      <c r="P838" s="153"/>
      <c r="Q838" s="39"/>
      <c r="R838" s="39"/>
      <c r="S838" s="39"/>
      <c r="T838" s="154"/>
      <c r="U838" s="40"/>
    </row>
    <row r="839" spans="1:21" ht="20" customHeight="1" x14ac:dyDescent="0.15">
      <c r="A839" s="284" t="s">
        <v>6735</v>
      </c>
      <c r="B839" s="157"/>
      <c r="C839" s="157"/>
      <c r="D839" s="157"/>
      <c r="E839" s="157"/>
      <c r="F839" s="157"/>
      <c r="G839" s="3"/>
      <c r="H839" s="156"/>
      <c r="I839" s="156"/>
      <c r="J839" s="156"/>
      <c r="K839" s="165"/>
      <c r="L839" s="165"/>
      <c r="M839" s="1"/>
      <c r="N839" s="164"/>
      <c r="O839" s="1"/>
      <c r="P839" s="153"/>
      <c r="Q839" s="39"/>
      <c r="R839" s="39"/>
      <c r="S839" s="39"/>
      <c r="T839" s="154"/>
      <c r="U839" s="40"/>
    </row>
    <row r="840" spans="1:21" ht="20" customHeight="1" x14ac:dyDescent="0.15">
      <c r="A840" s="284" t="s">
        <v>6736</v>
      </c>
      <c r="B840" s="157"/>
      <c r="C840" s="157"/>
      <c r="D840" s="157"/>
      <c r="E840" s="157"/>
      <c r="F840" s="157"/>
      <c r="G840" s="3"/>
      <c r="H840" s="156"/>
      <c r="I840" s="156"/>
      <c r="J840" s="156"/>
      <c r="K840" s="165"/>
      <c r="L840" s="165"/>
      <c r="M840" s="1"/>
      <c r="N840" s="164"/>
      <c r="O840" s="1"/>
      <c r="P840" s="153"/>
      <c r="Q840" s="39"/>
      <c r="R840" s="39"/>
      <c r="S840" s="39"/>
      <c r="T840" s="154"/>
      <c r="U840" s="40"/>
    </row>
    <row r="841" spans="1:21" ht="20" customHeight="1" x14ac:dyDescent="0.15">
      <c r="A841" s="284" t="s">
        <v>6737</v>
      </c>
      <c r="B841" s="157"/>
      <c r="C841" s="157"/>
      <c r="D841" s="157"/>
      <c r="E841" s="157"/>
      <c r="F841" s="157"/>
      <c r="G841" s="3"/>
      <c r="H841" s="156"/>
      <c r="I841" s="156"/>
      <c r="J841" s="156"/>
      <c r="K841" s="165"/>
      <c r="L841" s="165"/>
      <c r="M841" s="1"/>
      <c r="N841" s="164"/>
      <c r="O841" s="1"/>
      <c r="P841" s="153"/>
      <c r="Q841" s="39"/>
      <c r="R841" s="39"/>
      <c r="S841" s="39"/>
      <c r="T841" s="154"/>
      <c r="U841" s="40"/>
    </row>
    <row r="842" spans="1:21" ht="20" customHeight="1" x14ac:dyDescent="0.15">
      <c r="A842" s="284" t="s">
        <v>6738</v>
      </c>
      <c r="B842" s="157"/>
      <c r="C842" s="157"/>
      <c r="D842" s="157"/>
      <c r="E842" s="157"/>
      <c r="F842" s="157"/>
      <c r="G842" s="3"/>
      <c r="H842" s="156"/>
      <c r="I842" s="156"/>
      <c r="J842" s="156"/>
      <c r="K842" s="165"/>
      <c r="L842" s="165"/>
      <c r="M842" s="1"/>
      <c r="N842" s="164"/>
      <c r="O842" s="1"/>
      <c r="P842" s="153"/>
      <c r="Q842" s="39"/>
      <c r="R842" s="39"/>
      <c r="S842" s="39"/>
      <c r="T842" s="154"/>
      <c r="U842" s="40"/>
    </row>
    <row r="843" spans="1:21" ht="20" customHeight="1" x14ac:dyDescent="0.15">
      <c r="A843" s="284" t="s">
        <v>6739</v>
      </c>
      <c r="B843" s="157"/>
      <c r="C843" s="157"/>
      <c r="D843" s="157"/>
      <c r="E843" s="157"/>
      <c r="F843" s="157"/>
      <c r="G843" s="3"/>
      <c r="H843" s="156"/>
      <c r="I843" s="156"/>
      <c r="J843" s="156"/>
      <c r="K843" s="165"/>
      <c r="L843" s="165"/>
      <c r="M843" s="1"/>
      <c r="N843" s="164"/>
      <c r="O843" s="1"/>
      <c r="P843" s="153"/>
      <c r="Q843" s="39"/>
      <c r="R843" s="39"/>
      <c r="S843" s="39"/>
      <c r="T843" s="154"/>
      <c r="U843" s="40"/>
    </row>
    <row r="844" spans="1:21" ht="20" customHeight="1" x14ac:dyDescent="0.15">
      <c r="A844" s="284" t="s">
        <v>6740</v>
      </c>
      <c r="B844" s="157"/>
      <c r="C844" s="157"/>
      <c r="D844" s="157"/>
      <c r="E844" s="157"/>
      <c r="F844" s="157"/>
      <c r="G844" s="3"/>
      <c r="H844" s="156"/>
      <c r="I844" s="156"/>
      <c r="J844" s="156"/>
      <c r="K844" s="165"/>
      <c r="L844" s="165"/>
      <c r="M844" s="1"/>
      <c r="N844" s="164"/>
      <c r="O844" s="1"/>
      <c r="P844" s="153"/>
      <c r="Q844" s="39"/>
      <c r="R844" s="39"/>
      <c r="S844" s="39"/>
      <c r="T844" s="154"/>
      <c r="U844" s="40"/>
    </row>
    <row r="845" spans="1:21" ht="20" customHeight="1" x14ac:dyDescent="0.15">
      <c r="A845" s="284" t="s">
        <v>6741</v>
      </c>
      <c r="B845" s="157"/>
      <c r="C845" s="157"/>
      <c r="D845" s="157"/>
      <c r="E845" s="157"/>
      <c r="F845" s="157"/>
      <c r="G845" s="3"/>
      <c r="H845" s="156"/>
      <c r="I845" s="156"/>
      <c r="J845" s="156"/>
      <c r="K845" s="165"/>
      <c r="L845" s="165"/>
      <c r="M845" s="1"/>
      <c r="N845" s="164"/>
      <c r="O845" s="1"/>
      <c r="P845" s="153"/>
      <c r="Q845" s="39"/>
      <c r="R845" s="39"/>
      <c r="S845" s="39"/>
      <c r="T845" s="154"/>
      <c r="U845" s="40"/>
    </row>
    <row r="846" spans="1:21" ht="20" customHeight="1" x14ac:dyDescent="0.15">
      <c r="A846" s="284" t="s">
        <v>6742</v>
      </c>
      <c r="B846" s="157"/>
      <c r="C846" s="157"/>
      <c r="D846" s="157"/>
      <c r="E846" s="157"/>
      <c r="F846" s="157"/>
      <c r="G846" s="3"/>
      <c r="H846" s="156"/>
      <c r="I846" s="156"/>
      <c r="J846" s="156"/>
      <c r="K846" s="165"/>
      <c r="L846" s="165"/>
      <c r="M846" s="1"/>
      <c r="N846" s="164"/>
      <c r="O846" s="1"/>
      <c r="P846" s="153"/>
      <c r="Q846" s="39"/>
      <c r="R846" s="39"/>
      <c r="S846" s="39"/>
      <c r="T846" s="154"/>
      <c r="U846" s="40"/>
    </row>
    <row r="847" spans="1:21" ht="20" customHeight="1" x14ac:dyDescent="0.15">
      <c r="A847" s="284" t="s">
        <v>6743</v>
      </c>
      <c r="B847" s="157"/>
      <c r="C847" s="157"/>
      <c r="D847" s="157"/>
      <c r="E847" s="157"/>
      <c r="F847" s="157"/>
      <c r="G847" s="3"/>
      <c r="H847" s="156"/>
      <c r="I847" s="156"/>
      <c r="J847" s="156"/>
      <c r="K847" s="165"/>
      <c r="L847" s="165"/>
      <c r="M847" s="1"/>
      <c r="N847" s="164"/>
      <c r="O847" s="1"/>
      <c r="P847" s="153"/>
      <c r="Q847" s="39"/>
      <c r="R847" s="39"/>
      <c r="S847" s="39"/>
      <c r="T847" s="154"/>
      <c r="U847" s="40"/>
    </row>
    <row r="848" spans="1:21" ht="20" customHeight="1" x14ac:dyDescent="0.15">
      <c r="A848" s="284" t="s">
        <v>6744</v>
      </c>
      <c r="B848" s="157"/>
      <c r="C848" s="157"/>
      <c r="D848" s="157"/>
      <c r="E848" s="157"/>
      <c r="F848" s="157"/>
      <c r="G848" s="3"/>
      <c r="H848" s="156"/>
      <c r="I848" s="156"/>
      <c r="J848" s="156"/>
      <c r="K848" s="165"/>
      <c r="L848" s="165"/>
      <c r="M848" s="1"/>
      <c r="N848" s="164"/>
      <c r="O848" s="1"/>
      <c r="P848" s="153"/>
      <c r="Q848" s="39"/>
      <c r="R848" s="39"/>
      <c r="S848" s="39"/>
      <c r="T848" s="154"/>
      <c r="U848" s="40"/>
    </row>
    <row r="849" spans="1:21" ht="20" customHeight="1" x14ac:dyDescent="0.15">
      <c r="A849" s="284" t="s">
        <v>6745</v>
      </c>
      <c r="B849" s="157"/>
      <c r="C849" s="157"/>
      <c r="D849" s="157"/>
      <c r="E849" s="157"/>
      <c r="F849" s="157"/>
      <c r="G849" s="3"/>
      <c r="H849" s="156"/>
      <c r="I849" s="156"/>
      <c r="J849" s="156"/>
      <c r="K849" s="165"/>
      <c r="L849" s="165"/>
      <c r="M849" s="1"/>
      <c r="N849" s="164"/>
      <c r="O849" s="1"/>
      <c r="P849" s="153"/>
      <c r="Q849" s="39"/>
      <c r="R849" s="39"/>
      <c r="S849" s="39"/>
      <c r="T849" s="154"/>
      <c r="U849" s="40"/>
    </row>
    <row r="850" spans="1:21" ht="20" customHeight="1" x14ac:dyDescent="0.15">
      <c r="A850" s="284" t="s">
        <v>6746</v>
      </c>
      <c r="B850" s="157"/>
      <c r="C850" s="157"/>
      <c r="D850" s="157"/>
      <c r="E850" s="157"/>
      <c r="F850" s="157"/>
      <c r="G850" s="3"/>
      <c r="H850" s="156"/>
      <c r="I850" s="156"/>
      <c r="J850" s="156"/>
      <c r="K850" s="165"/>
      <c r="L850" s="165"/>
      <c r="M850" s="1"/>
      <c r="N850" s="164"/>
      <c r="O850" s="1"/>
      <c r="P850" s="153"/>
      <c r="Q850" s="39"/>
      <c r="R850" s="39"/>
      <c r="S850" s="39"/>
      <c r="T850" s="154"/>
      <c r="U850" s="40"/>
    </row>
    <row r="851" spans="1:21" ht="20" customHeight="1" x14ac:dyDescent="0.15">
      <c r="A851" s="284" t="s">
        <v>6747</v>
      </c>
      <c r="B851" s="157"/>
      <c r="C851" s="157"/>
      <c r="D851" s="157"/>
      <c r="E851" s="157"/>
      <c r="F851" s="157"/>
      <c r="G851" s="3"/>
      <c r="H851" s="156"/>
      <c r="I851" s="156"/>
      <c r="J851" s="156"/>
      <c r="K851" s="165"/>
      <c r="L851" s="165"/>
      <c r="M851" s="1"/>
      <c r="N851" s="164"/>
      <c r="O851" s="1"/>
      <c r="P851" s="153"/>
      <c r="Q851" s="39"/>
      <c r="R851" s="39"/>
      <c r="S851" s="39"/>
      <c r="T851" s="154"/>
      <c r="U851" s="40"/>
    </row>
    <row r="852" spans="1:21" ht="20" customHeight="1" x14ac:dyDescent="0.15">
      <c r="A852" s="284" t="s">
        <v>6748</v>
      </c>
      <c r="B852" s="157"/>
      <c r="C852" s="157"/>
      <c r="D852" s="157"/>
      <c r="E852" s="157"/>
      <c r="F852" s="157"/>
      <c r="G852" s="3"/>
      <c r="H852" s="156"/>
      <c r="I852" s="156"/>
      <c r="J852" s="156"/>
      <c r="K852" s="165"/>
      <c r="L852" s="165"/>
      <c r="M852" s="1"/>
      <c r="N852" s="164"/>
      <c r="O852" s="1"/>
      <c r="P852" s="153"/>
      <c r="Q852" s="39"/>
      <c r="R852" s="39"/>
      <c r="S852" s="39"/>
      <c r="T852" s="154"/>
      <c r="U852" s="40"/>
    </row>
    <row r="853" spans="1:21" ht="20" customHeight="1" x14ac:dyDescent="0.15">
      <c r="A853" s="284" t="s">
        <v>6749</v>
      </c>
      <c r="B853" s="157"/>
      <c r="C853" s="157"/>
      <c r="D853" s="157"/>
      <c r="E853" s="157"/>
      <c r="F853" s="157"/>
      <c r="G853" s="3"/>
      <c r="H853" s="156"/>
      <c r="I853" s="156"/>
      <c r="J853" s="156"/>
      <c r="K853" s="165"/>
      <c r="L853" s="165"/>
      <c r="M853" s="1"/>
      <c r="N853" s="164"/>
      <c r="O853" s="1"/>
      <c r="P853" s="153"/>
      <c r="Q853" s="39"/>
      <c r="R853" s="39"/>
      <c r="S853" s="39"/>
      <c r="T853" s="154"/>
      <c r="U853" s="40"/>
    </row>
    <row r="854" spans="1:21" ht="20" customHeight="1" x14ac:dyDescent="0.15">
      <c r="A854" s="284" t="s">
        <v>6750</v>
      </c>
      <c r="B854" s="157"/>
      <c r="C854" s="157"/>
      <c r="D854" s="157"/>
      <c r="E854" s="157"/>
      <c r="F854" s="157"/>
      <c r="G854" s="3"/>
      <c r="H854" s="156"/>
      <c r="I854" s="156"/>
      <c r="J854" s="156"/>
      <c r="K854" s="165"/>
      <c r="L854" s="165"/>
      <c r="M854" s="1"/>
      <c r="N854" s="164"/>
      <c r="O854" s="1"/>
      <c r="P854" s="153"/>
      <c r="Q854" s="39"/>
      <c r="R854" s="39"/>
      <c r="S854" s="39"/>
      <c r="T854" s="154"/>
      <c r="U854" s="40"/>
    </row>
    <row r="855" spans="1:21" ht="20" customHeight="1" x14ac:dyDescent="0.15">
      <c r="A855" s="284" t="s">
        <v>6751</v>
      </c>
      <c r="B855" s="157"/>
      <c r="C855" s="157"/>
      <c r="D855" s="157"/>
      <c r="E855" s="157"/>
      <c r="F855" s="157"/>
      <c r="G855" s="3"/>
      <c r="H855" s="156"/>
      <c r="I855" s="156"/>
      <c r="J855" s="156"/>
      <c r="K855" s="165"/>
      <c r="L855" s="165"/>
      <c r="M855" s="1"/>
      <c r="N855" s="164"/>
      <c r="O855" s="1"/>
      <c r="P855" s="153"/>
      <c r="Q855" s="39"/>
      <c r="R855" s="39"/>
      <c r="S855" s="39"/>
      <c r="T855" s="154"/>
      <c r="U855" s="40"/>
    </row>
    <row r="856" spans="1:21" ht="20" customHeight="1" x14ac:dyDescent="0.15">
      <c r="A856" s="284" t="s">
        <v>6752</v>
      </c>
      <c r="B856" s="157"/>
      <c r="C856" s="157"/>
      <c r="D856" s="157"/>
      <c r="E856" s="157"/>
      <c r="F856" s="157"/>
      <c r="G856" s="3"/>
      <c r="H856" s="156"/>
      <c r="I856" s="156"/>
      <c r="J856" s="156"/>
      <c r="K856" s="165"/>
      <c r="L856" s="165"/>
      <c r="M856" s="1"/>
      <c r="N856" s="164"/>
      <c r="O856" s="1"/>
      <c r="P856" s="153"/>
      <c r="Q856" s="39"/>
      <c r="R856" s="39"/>
      <c r="S856" s="39"/>
      <c r="T856" s="154"/>
      <c r="U856" s="40"/>
    </row>
    <row r="857" spans="1:21" ht="20" customHeight="1" x14ac:dyDescent="0.15">
      <c r="A857" s="284" t="s">
        <v>6753</v>
      </c>
      <c r="B857" s="157"/>
      <c r="C857" s="157"/>
      <c r="D857" s="157"/>
      <c r="E857" s="157"/>
      <c r="F857" s="157"/>
      <c r="G857" s="3"/>
      <c r="H857" s="156"/>
      <c r="I857" s="156"/>
      <c r="J857" s="156"/>
      <c r="K857" s="165"/>
      <c r="L857" s="165"/>
      <c r="M857" s="1"/>
      <c r="N857" s="164"/>
      <c r="O857" s="1"/>
      <c r="P857" s="153"/>
      <c r="Q857" s="39"/>
      <c r="R857" s="39"/>
      <c r="S857" s="39"/>
      <c r="T857" s="154"/>
      <c r="U857" s="40"/>
    </row>
    <row r="858" spans="1:21" ht="20" customHeight="1" x14ac:dyDescent="0.15">
      <c r="A858" s="284" t="s">
        <v>6754</v>
      </c>
      <c r="B858" s="157"/>
      <c r="C858" s="157"/>
      <c r="D858" s="157"/>
      <c r="E858" s="157"/>
      <c r="F858" s="157"/>
      <c r="G858" s="3"/>
      <c r="H858" s="156"/>
      <c r="I858" s="156"/>
      <c r="J858" s="156"/>
      <c r="K858" s="165"/>
      <c r="L858" s="165"/>
      <c r="M858" s="1"/>
      <c r="N858" s="164"/>
      <c r="O858" s="1"/>
      <c r="P858" s="153"/>
      <c r="Q858" s="39"/>
      <c r="R858" s="39"/>
      <c r="S858" s="39"/>
      <c r="T858" s="154"/>
      <c r="U858" s="40"/>
    </row>
    <row r="859" spans="1:21" ht="20" customHeight="1" x14ac:dyDescent="0.15">
      <c r="A859" s="284" t="s">
        <v>6755</v>
      </c>
      <c r="B859" s="157"/>
      <c r="C859" s="157"/>
      <c r="D859" s="157"/>
      <c r="E859" s="157"/>
      <c r="F859" s="157"/>
      <c r="G859" s="3"/>
      <c r="H859" s="156"/>
      <c r="I859" s="156"/>
      <c r="J859" s="156"/>
      <c r="K859" s="165"/>
      <c r="L859" s="165"/>
      <c r="M859" s="1"/>
      <c r="N859" s="164"/>
      <c r="O859" s="1"/>
      <c r="P859" s="153"/>
      <c r="Q859" s="39"/>
      <c r="R859" s="39"/>
      <c r="S859" s="39"/>
      <c r="T859" s="154"/>
      <c r="U859" s="40"/>
    </row>
    <row r="860" spans="1:21" ht="20" customHeight="1" x14ac:dyDescent="0.15">
      <c r="A860" s="284" t="s">
        <v>6756</v>
      </c>
      <c r="B860" s="157"/>
      <c r="C860" s="157"/>
      <c r="D860" s="157"/>
      <c r="E860" s="157"/>
      <c r="F860" s="157"/>
      <c r="G860" s="3"/>
      <c r="H860" s="156"/>
      <c r="I860" s="156"/>
      <c r="J860" s="156"/>
      <c r="K860" s="165"/>
      <c r="L860" s="165"/>
      <c r="M860" s="1"/>
      <c r="N860" s="164"/>
      <c r="O860" s="1"/>
      <c r="P860" s="153"/>
      <c r="Q860" s="39"/>
      <c r="R860" s="39"/>
      <c r="S860" s="39"/>
      <c r="T860" s="154"/>
      <c r="U860" s="40"/>
    </row>
    <row r="861" spans="1:21" ht="20" customHeight="1" x14ac:dyDescent="0.15">
      <c r="A861" s="284" t="s">
        <v>6757</v>
      </c>
      <c r="B861" s="157"/>
      <c r="C861" s="157"/>
      <c r="D861" s="157"/>
      <c r="E861" s="157"/>
      <c r="F861" s="157"/>
      <c r="G861" s="3"/>
      <c r="H861" s="156"/>
      <c r="I861" s="156"/>
      <c r="J861" s="156"/>
      <c r="K861" s="165"/>
      <c r="L861" s="165"/>
      <c r="M861" s="1"/>
      <c r="N861" s="164"/>
      <c r="O861" s="1"/>
      <c r="P861" s="153"/>
      <c r="Q861" s="39"/>
      <c r="R861" s="39"/>
      <c r="S861" s="39"/>
      <c r="T861" s="154"/>
      <c r="U861" s="40"/>
    </row>
    <row r="862" spans="1:21" ht="20" customHeight="1" x14ac:dyDescent="0.15">
      <c r="A862" s="284" t="s">
        <v>6758</v>
      </c>
      <c r="B862" s="157"/>
      <c r="C862" s="157"/>
      <c r="D862" s="157"/>
      <c r="E862" s="157"/>
      <c r="F862" s="157"/>
      <c r="G862" s="3"/>
      <c r="H862" s="156"/>
      <c r="I862" s="156"/>
      <c r="J862" s="156"/>
      <c r="K862" s="165"/>
      <c r="L862" s="165"/>
      <c r="M862" s="1"/>
      <c r="N862" s="164"/>
      <c r="O862" s="1"/>
      <c r="P862" s="153"/>
      <c r="Q862" s="39"/>
      <c r="R862" s="39"/>
      <c r="S862" s="39"/>
      <c r="T862" s="154"/>
      <c r="U862" s="40"/>
    </row>
    <row r="863" spans="1:21" ht="20" customHeight="1" x14ac:dyDescent="0.15">
      <c r="A863" s="284" t="s">
        <v>6759</v>
      </c>
      <c r="B863" s="157"/>
      <c r="C863" s="157"/>
      <c r="D863" s="157"/>
      <c r="E863" s="157"/>
      <c r="F863" s="157"/>
      <c r="G863" s="3"/>
      <c r="H863" s="156"/>
      <c r="I863" s="156"/>
      <c r="J863" s="156"/>
      <c r="K863" s="165"/>
      <c r="L863" s="165"/>
      <c r="M863" s="1"/>
      <c r="N863" s="164"/>
      <c r="O863" s="1"/>
      <c r="P863" s="153"/>
      <c r="Q863" s="39"/>
      <c r="R863" s="39"/>
      <c r="S863" s="39"/>
      <c r="T863" s="154"/>
      <c r="U863" s="40"/>
    </row>
    <row r="864" spans="1:21" ht="20" customHeight="1" x14ac:dyDescent="0.15">
      <c r="A864" s="284" t="s">
        <v>6760</v>
      </c>
      <c r="B864" s="157"/>
      <c r="C864" s="157"/>
      <c r="D864" s="157"/>
      <c r="E864" s="157"/>
      <c r="F864" s="157"/>
      <c r="G864" s="3"/>
      <c r="H864" s="156"/>
      <c r="I864" s="156"/>
      <c r="J864" s="156"/>
      <c r="K864" s="165"/>
      <c r="L864" s="165"/>
      <c r="M864" s="1"/>
      <c r="N864" s="164"/>
      <c r="O864" s="1"/>
      <c r="P864" s="153"/>
      <c r="Q864" s="39"/>
      <c r="R864" s="39"/>
      <c r="S864" s="39"/>
      <c r="T864" s="154"/>
      <c r="U864" s="40"/>
    </row>
    <row r="865" spans="1:21" ht="20" customHeight="1" x14ac:dyDescent="0.15">
      <c r="A865" s="284" t="s">
        <v>6761</v>
      </c>
      <c r="B865" s="157"/>
      <c r="C865" s="157"/>
      <c r="D865" s="157"/>
      <c r="E865" s="157"/>
      <c r="F865" s="157"/>
      <c r="G865" s="3"/>
      <c r="H865" s="156"/>
      <c r="I865" s="156"/>
      <c r="J865" s="156"/>
      <c r="K865" s="165"/>
      <c r="L865" s="165"/>
      <c r="M865" s="1"/>
      <c r="N865" s="164"/>
      <c r="O865" s="1"/>
      <c r="P865" s="153"/>
      <c r="Q865" s="39"/>
      <c r="R865" s="39"/>
      <c r="S865" s="39"/>
      <c r="T865" s="154"/>
      <c r="U865" s="40"/>
    </row>
    <row r="866" spans="1:21" ht="20" customHeight="1" x14ac:dyDescent="0.15">
      <c r="A866" s="284" t="s">
        <v>6762</v>
      </c>
      <c r="B866" s="157"/>
      <c r="C866" s="157"/>
      <c r="D866" s="157"/>
      <c r="E866" s="157"/>
      <c r="F866" s="157"/>
      <c r="G866" s="3"/>
      <c r="H866" s="156"/>
      <c r="I866" s="156"/>
      <c r="J866" s="156"/>
      <c r="K866" s="165"/>
      <c r="L866" s="165"/>
      <c r="M866" s="1"/>
      <c r="N866" s="164"/>
      <c r="O866" s="1"/>
      <c r="P866" s="153"/>
      <c r="Q866" s="39"/>
      <c r="R866" s="39"/>
      <c r="S866" s="39"/>
      <c r="T866" s="154"/>
      <c r="U866" s="40"/>
    </row>
    <row r="867" spans="1:21" ht="20" customHeight="1" x14ac:dyDescent="0.15">
      <c r="A867" s="284" t="s">
        <v>6763</v>
      </c>
      <c r="B867" s="157"/>
      <c r="C867" s="157"/>
      <c r="D867" s="157"/>
      <c r="E867" s="157"/>
      <c r="F867" s="157"/>
      <c r="G867" s="3"/>
      <c r="H867" s="156"/>
      <c r="I867" s="156"/>
      <c r="J867" s="156"/>
      <c r="K867" s="165"/>
      <c r="L867" s="165"/>
      <c r="M867" s="1"/>
      <c r="N867" s="164"/>
      <c r="O867" s="1"/>
      <c r="P867" s="153"/>
      <c r="Q867" s="39"/>
      <c r="R867" s="39"/>
      <c r="S867" s="39"/>
      <c r="T867" s="154"/>
      <c r="U867" s="40"/>
    </row>
    <row r="868" spans="1:21" ht="20" customHeight="1" x14ac:dyDescent="0.15">
      <c r="A868" s="284" t="s">
        <v>6764</v>
      </c>
      <c r="B868" s="157"/>
      <c r="C868" s="157"/>
      <c r="D868" s="157"/>
      <c r="E868" s="157"/>
      <c r="F868" s="157"/>
      <c r="G868" s="3"/>
      <c r="H868" s="156"/>
      <c r="I868" s="156"/>
      <c r="J868" s="156"/>
      <c r="K868" s="165"/>
      <c r="L868" s="165"/>
      <c r="M868" s="1"/>
      <c r="N868" s="164"/>
      <c r="O868" s="1"/>
      <c r="P868" s="153"/>
      <c r="Q868" s="39"/>
      <c r="R868" s="39"/>
      <c r="S868" s="39"/>
      <c r="T868" s="154"/>
      <c r="U868" s="40"/>
    </row>
    <row r="869" spans="1:21" ht="20" customHeight="1" x14ac:dyDescent="0.15">
      <c r="A869" s="284" t="s">
        <v>6765</v>
      </c>
      <c r="B869" s="157"/>
      <c r="C869" s="157"/>
      <c r="D869" s="157"/>
      <c r="E869" s="157"/>
      <c r="F869" s="157"/>
      <c r="G869" s="3"/>
      <c r="H869" s="156"/>
      <c r="I869" s="156"/>
      <c r="J869" s="156"/>
      <c r="K869" s="165"/>
      <c r="L869" s="165"/>
      <c r="M869" s="1"/>
      <c r="N869" s="164"/>
      <c r="O869" s="1"/>
      <c r="P869" s="153"/>
      <c r="Q869" s="39"/>
      <c r="R869" s="39"/>
      <c r="S869" s="39"/>
      <c r="T869" s="154"/>
      <c r="U869" s="40"/>
    </row>
    <row r="870" spans="1:21" ht="20" customHeight="1" x14ac:dyDescent="0.15">
      <c r="A870" s="284" t="s">
        <v>6766</v>
      </c>
      <c r="B870" s="157"/>
      <c r="C870" s="157"/>
      <c r="D870" s="157"/>
      <c r="E870" s="157"/>
      <c r="F870" s="157"/>
      <c r="G870" s="3"/>
      <c r="H870" s="156"/>
      <c r="I870" s="156"/>
      <c r="J870" s="156"/>
      <c r="K870" s="165"/>
      <c r="L870" s="165"/>
      <c r="M870" s="1"/>
      <c r="N870" s="164"/>
      <c r="O870" s="1"/>
      <c r="P870" s="153"/>
      <c r="Q870" s="39"/>
      <c r="R870" s="39"/>
      <c r="S870" s="39"/>
      <c r="T870" s="154"/>
      <c r="U870" s="40"/>
    </row>
    <row r="871" spans="1:21" ht="20" customHeight="1" x14ac:dyDescent="0.15">
      <c r="A871" s="284" t="s">
        <v>6767</v>
      </c>
      <c r="B871" s="157"/>
      <c r="C871" s="157"/>
      <c r="D871" s="157"/>
      <c r="E871" s="157"/>
      <c r="F871" s="157"/>
      <c r="G871" s="3"/>
      <c r="H871" s="156"/>
      <c r="I871" s="156"/>
      <c r="J871" s="156"/>
      <c r="K871" s="165"/>
      <c r="L871" s="165"/>
      <c r="M871" s="1"/>
      <c r="N871" s="164"/>
      <c r="O871" s="1"/>
      <c r="P871" s="153"/>
      <c r="Q871" s="39"/>
      <c r="R871" s="39"/>
      <c r="S871" s="39"/>
      <c r="T871" s="154"/>
      <c r="U871" s="40"/>
    </row>
    <row r="872" spans="1:21" ht="20" customHeight="1" x14ac:dyDescent="0.15">
      <c r="A872" s="284" t="s">
        <v>6768</v>
      </c>
      <c r="B872" s="157"/>
      <c r="C872" s="157"/>
      <c r="D872" s="157"/>
      <c r="E872" s="157"/>
      <c r="F872" s="157"/>
      <c r="G872" s="3"/>
      <c r="H872" s="156"/>
      <c r="I872" s="156"/>
      <c r="J872" s="156"/>
      <c r="K872" s="165"/>
      <c r="L872" s="165"/>
      <c r="M872" s="1"/>
      <c r="N872" s="164"/>
      <c r="O872" s="1"/>
      <c r="P872" s="153"/>
      <c r="Q872" s="39"/>
      <c r="R872" s="39"/>
      <c r="S872" s="39"/>
      <c r="T872" s="154"/>
      <c r="U872" s="40"/>
    </row>
    <row r="873" spans="1:21" ht="20" customHeight="1" x14ac:dyDescent="0.15">
      <c r="A873" s="284" t="s">
        <v>6769</v>
      </c>
      <c r="B873" s="157"/>
      <c r="C873" s="157"/>
      <c r="D873" s="157"/>
      <c r="E873" s="157"/>
      <c r="F873" s="157"/>
      <c r="G873" s="3"/>
      <c r="H873" s="156"/>
      <c r="I873" s="156"/>
      <c r="J873" s="156"/>
      <c r="K873" s="165"/>
      <c r="L873" s="165"/>
      <c r="M873" s="1"/>
      <c r="N873" s="164"/>
      <c r="O873" s="1"/>
      <c r="P873" s="153"/>
      <c r="Q873" s="39"/>
      <c r="R873" s="39"/>
      <c r="S873" s="39"/>
      <c r="T873" s="154"/>
      <c r="U873" s="40"/>
    </row>
    <row r="874" spans="1:21" ht="20" customHeight="1" x14ac:dyDescent="0.15">
      <c r="A874" s="284" t="s">
        <v>6770</v>
      </c>
      <c r="B874" s="157"/>
      <c r="C874" s="157"/>
      <c r="D874" s="157"/>
      <c r="E874" s="157"/>
      <c r="F874" s="157"/>
      <c r="G874" s="3"/>
      <c r="H874" s="156"/>
      <c r="I874" s="156"/>
      <c r="J874" s="156"/>
      <c r="K874" s="165"/>
      <c r="L874" s="165"/>
      <c r="M874" s="1"/>
      <c r="N874" s="164"/>
      <c r="O874" s="1"/>
      <c r="P874" s="153"/>
      <c r="Q874" s="39"/>
      <c r="R874" s="39"/>
      <c r="S874" s="39"/>
      <c r="T874" s="154"/>
      <c r="U874" s="40"/>
    </row>
    <row r="875" spans="1:21" ht="20" customHeight="1" x14ac:dyDescent="0.15">
      <c r="A875" s="284" t="s">
        <v>6771</v>
      </c>
      <c r="B875" s="157"/>
      <c r="C875" s="157"/>
      <c r="D875" s="157"/>
      <c r="E875" s="157"/>
      <c r="F875" s="157"/>
      <c r="G875" s="3"/>
      <c r="H875" s="156"/>
      <c r="I875" s="156"/>
      <c r="J875" s="156"/>
      <c r="K875" s="165"/>
      <c r="L875" s="165"/>
      <c r="M875" s="1"/>
      <c r="N875" s="164"/>
      <c r="O875" s="1"/>
      <c r="P875" s="153"/>
      <c r="Q875" s="39"/>
      <c r="R875" s="39"/>
      <c r="S875" s="39"/>
      <c r="T875" s="154"/>
      <c r="U875" s="40"/>
    </row>
    <row r="876" spans="1:21" ht="20" customHeight="1" x14ac:dyDescent="0.15">
      <c r="A876" s="284" t="s">
        <v>6772</v>
      </c>
      <c r="B876" s="157"/>
      <c r="C876" s="157"/>
      <c r="D876" s="157"/>
      <c r="E876" s="157"/>
      <c r="F876" s="157"/>
      <c r="G876" s="3"/>
      <c r="H876" s="156"/>
      <c r="I876" s="156"/>
      <c r="J876" s="156"/>
      <c r="K876" s="165"/>
      <c r="L876" s="165"/>
      <c r="M876" s="1"/>
      <c r="N876" s="164"/>
      <c r="O876" s="1"/>
      <c r="P876" s="153"/>
      <c r="Q876" s="39"/>
      <c r="R876" s="39"/>
      <c r="S876" s="39"/>
      <c r="T876" s="154"/>
      <c r="U876" s="40"/>
    </row>
    <row r="877" spans="1:21" ht="20" customHeight="1" x14ac:dyDescent="0.15">
      <c r="A877" s="284" t="s">
        <v>6773</v>
      </c>
      <c r="B877" s="157"/>
      <c r="C877" s="157"/>
      <c r="D877" s="157"/>
      <c r="E877" s="157"/>
      <c r="F877" s="157"/>
      <c r="G877" s="3"/>
      <c r="H877" s="156"/>
      <c r="I877" s="156"/>
      <c r="J877" s="156"/>
      <c r="K877" s="165"/>
      <c r="L877" s="165"/>
      <c r="M877" s="1"/>
      <c r="N877" s="164"/>
      <c r="O877" s="1"/>
      <c r="P877" s="153"/>
      <c r="Q877" s="39"/>
      <c r="R877" s="39"/>
      <c r="S877" s="39"/>
      <c r="T877" s="154"/>
      <c r="U877" s="40"/>
    </row>
    <row r="878" spans="1:21" ht="20" customHeight="1" x14ac:dyDescent="0.15">
      <c r="A878" s="284" t="s">
        <v>6774</v>
      </c>
      <c r="B878" s="157"/>
      <c r="C878" s="157"/>
      <c r="D878" s="157"/>
      <c r="E878" s="157"/>
      <c r="F878" s="157"/>
      <c r="G878" s="3"/>
      <c r="H878" s="156"/>
      <c r="I878" s="156"/>
      <c r="J878" s="156"/>
      <c r="K878" s="165"/>
      <c r="L878" s="165"/>
      <c r="M878" s="1"/>
      <c r="N878" s="164"/>
      <c r="O878" s="1"/>
      <c r="P878" s="153"/>
      <c r="Q878" s="39"/>
      <c r="R878" s="39"/>
      <c r="S878" s="39"/>
      <c r="T878" s="154"/>
      <c r="U878" s="40"/>
    </row>
    <row r="879" spans="1:21" ht="20" customHeight="1" x14ac:dyDescent="0.15">
      <c r="A879" s="284" t="s">
        <v>6775</v>
      </c>
      <c r="B879" s="157"/>
      <c r="C879" s="157"/>
      <c r="D879" s="157"/>
      <c r="E879" s="157"/>
      <c r="F879" s="157"/>
      <c r="G879" s="3"/>
      <c r="H879" s="156"/>
      <c r="I879" s="156"/>
      <c r="J879" s="156"/>
      <c r="K879" s="165"/>
      <c r="L879" s="165"/>
      <c r="M879" s="1"/>
      <c r="N879" s="164"/>
      <c r="O879" s="1"/>
      <c r="P879" s="153"/>
      <c r="Q879" s="39"/>
      <c r="R879" s="39"/>
      <c r="S879" s="39"/>
      <c r="T879" s="154"/>
      <c r="U879" s="40"/>
    </row>
    <row r="880" spans="1:21" ht="20" customHeight="1" x14ac:dyDescent="0.15">
      <c r="A880" s="284" t="s">
        <v>6776</v>
      </c>
      <c r="B880" s="157"/>
      <c r="C880" s="157"/>
      <c r="D880" s="157"/>
      <c r="E880" s="157"/>
      <c r="F880" s="157"/>
      <c r="G880" s="3"/>
      <c r="H880" s="156"/>
      <c r="I880" s="156"/>
      <c r="J880" s="156"/>
      <c r="K880" s="165"/>
      <c r="L880" s="165"/>
      <c r="M880" s="1"/>
      <c r="N880" s="164"/>
      <c r="O880" s="1"/>
      <c r="P880" s="153"/>
      <c r="Q880" s="39"/>
      <c r="R880" s="39"/>
      <c r="S880" s="39"/>
      <c r="T880" s="154"/>
      <c r="U880" s="40"/>
    </row>
    <row r="881" spans="1:21" ht="20" customHeight="1" x14ac:dyDescent="0.15">
      <c r="A881" s="284" t="s">
        <v>6777</v>
      </c>
      <c r="B881" s="157"/>
      <c r="C881" s="157"/>
      <c r="D881" s="157"/>
      <c r="E881" s="157"/>
      <c r="F881" s="157"/>
      <c r="G881" s="3"/>
      <c r="H881" s="156"/>
      <c r="I881" s="156"/>
      <c r="J881" s="156"/>
      <c r="K881" s="165"/>
      <c r="L881" s="165"/>
      <c r="M881" s="1"/>
      <c r="N881" s="164"/>
      <c r="O881" s="1"/>
      <c r="P881" s="153"/>
      <c r="Q881" s="39"/>
      <c r="R881" s="39"/>
      <c r="S881" s="39"/>
      <c r="T881" s="154"/>
      <c r="U881" s="40"/>
    </row>
    <row r="882" spans="1:21" ht="20" customHeight="1" x14ac:dyDescent="0.15">
      <c r="A882" s="284" t="s">
        <v>6778</v>
      </c>
      <c r="B882" s="157"/>
      <c r="C882" s="157"/>
      <c r="D882" s="157"/>
      <c r="E882" s="157"/>
      <c r="F882" s="157"/>
      <c r="G882" s="3"/>
      <c r="H882" s="156"/>
      <c r="I882" s="156"/>
      <c r="J882" s="156"/>
      <c r="K882" s="165"/>
      <c r="L882" s="165"/>
      <c r="M882" s="1"/>
      <c r="N882" s="164"/>
      <c r="O882" s="1"/>
      <c r="P882" s="153"/>
      <c r="Q882" s="39"/>
      <c r="R882" s="39"/>
      <c r="S882" s="39"/>
      <c r="T882" s="154"/>
      <c r="U882" s="40"/>
    </row>
    <row r="883" spans="1:21" ht="20" customHeight="1" x14ac:dyDescent="0.15">
      <c r="A883" s="284" t="s">
        <v>6779</v>
      </c>
      <c r="B883" s="157"/>
      <c r="C883" s="157"/>
      <c r="D883" s="157"/>
      <c r="E883" s="157"/>
      <c r="F883" s="157"/>
      <c r="G883" s="3"/>
      <c r="H883" s="156"/>
      <c r="I883" s="156"/>
      <c r="J883" s="156"/>
      <c r="K883" s="165"/>
      <c r="L883" s="165"/>
      <c r="M883" s="1"/>
      <c r="N883" s="164"/>
      <c r="O883" s="1"/>
      <c r="P883" s="153"/>
      <c r="Q883" s="39"/>
      <c r="R883" s="39"/>
      <c r="S883" s="39"/>
      <c r="T883" s="154"/>
      <c r="U883" s="40"/>
    </row>
    <row r="884" spans="1:21" ht="20" customHeight="1" x14ac:dyDescent="0.15">
      <c r="A884" s="284" t="s">
        <v>6780</v>
      </c>
      <c r="B884" s="157"/>
      <c r="C884" s="157"/>
      <c r="D884" s="157"/>
      <c r="E884" s="157"/>
      <c r="F884" s="157"/>
      <c r="G884" s="3"/>
      <c r="H884" s="156"/>
      <c r="I884" s="156"/>
      <c r="J884" s="156"/>
      <c r="K884" s="165"/>
      <c r="L884" s="165"/>
      <c r="M884" s="1"/>
      <c r="N884" s="164"/>
      <c r="O884" s="1"/>
      <c r="P884" s="153"/>
      <c r="Q884" s="39"/>
      <c r="R884" s="39"/>
      <c r="S884" s="39"/>
      <c r="T884" s="154"/>
      <c r="U884" s="40"/>
    </row>
    <row r="885" spans="1:21" ht="20" customHeight="1" x14ac:dyDescent="0.15">
      <c r="A885" s="284" t="s">
        <v>6781</v>
      </c>
      <c r="B885" s="157"/>
      <c r="C885" s="157"/>
      <c r="D885" s="157"/>
      <c r="E885" s="157"/>
      <c r="F885" s="157"/>
      <c r="G885" s="3"/>
      <c r="H885" s="156"/>
      <c r="I885" s="156"/>
      <c r="J885" s="156"/>
      <c r="K885" s="165"/>
      <c r="L885" s="165"/>
      <c r="M885" s="1"/>
      <c r="N885" s="164"/>
      <c r="O885" s="1"/>
      <c r="P885" s="153"/>
      <c r="Q885" s="39"/>
      <c r="R885" s="39"/>
      <c r="S885" s="39"/>
      <c r="T885" s="154"/>
      <c r="U885" s="40"/>
    </row>
    <row r="886" spans="1:21" ht="20" customHeight="1" x14ac:dyDescent="0.15">
      <c r="A886" s="284" t="s">
        <v>6782</v>
      </c>
      <c r="B886" s="157"/>
      <c r="C886" s="157"/>
      <c r="D886" s="157"/>
      <c r="E886" s="157"/>
      <c r="F886" s="157"/>
      <c r="G886" s="3"/>
      <c r="H886" s="156"/>
      <c r="I886" s="156"/>
      <c r="J886" s="156"/>
      <c r="K886" s="165"/>
      <c r="L886" s="165"/>
      <c r="M886" s="1"/>
      <c r="N886" s="164"/>
      <c r="O886" s="1"/>
      <c r="P886" s="153"/>
      <c r="Q886" s="39"/>
      <c r="R886" s="39"/>
      <c r="S886" s="39"/>
      <c r="T886" s="154"/>
      <c r="U886" s="40"/>
    </row>
    <row r="887" spans="1:21" ht="20" customHeight="1" x14ac:dyDescent="0.15">
      <c r="A887" s="284" t="s">
        <v>6783</v>
      </c>
      <c r="B887" s="157"/>
      <c r="C887" s="157"/>
      <c r="D887" s="157"/>
      <c r="E887" s="157"/>
      <c r="F887" s="157"/>
      <c r="G887" s="3"/>
      <c r="H887" s="156"/>
      <c r="I887" s="156"/>
      <c r="J887" s="156"/>
      <c r="K887" s="165"/>
      <c r="L887" s="165"/>
      <c r="M887" s="1"/>
      <c r="N887" s="164"/>
      <c r="O887" s="1"/>
      <c r="P887" s="153"/>
      <c r="Q887" s="39"/>
      <c r="R887" s="39"/>
      <c r="S887" s="39"/>
      <c r="T887" s="154"/>
      <c r="U887" s="40"/>
    </row>
    <row r="888" spans="1:21" ht="20" customHeight="1" x14ac:dyDescent="0.15">
      <c r="A888" s="284" t="s">
        <v>6784</v>
      </c>
      <c r="B888" s="157"/>
      <c r="C888" s="157"/>
      <c r="D888" s="157"/>
      <c r="E888" s="157"/>
      <c r="F888" s="157"/>
      <c r="G888" s="3"/>
      <c r="H888" s="156"/>
      <c r="I888" s="156"/>
      <c r="J888" s="156"/>
      <c r="K888" s="165"/>
      <c r="L888" s="165"/>
      <c r="M888" s="1"/>
      <c r="N888" s="164"/>
      <c r="O888" s="1"/>
      <c r="P888" s="153"/>
      <c r="Q888" s="39"/>
      <c r="R888" s="39"/>
      <c r="S888" s="39"/>
      <c r="T888" s="154"/>
      <c r="U888" s="40"/>
    </row>
    <row r="889" spans="1:21" ht="20" customHeight="1" x14ac:dyDescent="0.15">
      <c r="A889" s="284" t="s">
        <v>6785</v>
      </c>
      <c r="B889" s="157"/>
      <c r="C889" s="157"/>
      <c r="D889" s="157"/>
      <c r="E889" s="157"/>
      <c r="F889" s="157"/>
      <c r="G889" s="3"/>
      <c r="H889" s="156"/>
      <c r="I889" s="156"/>
      <c r="J889" s="156"/>
      <c r="K889" s="165"/>
      <c r="L889" s="165"/>
      <c r="M889" s="1"/>
      <c r="N889" s="164"/>
      <c r="O889" s="1"/>
      <c r="P889" s="153"/>
      <c r="Q889" s="39"/>
      <c r="R889" s="39"/>
      <c r="S889" s="39"/>
      <c r="T889" s="154"/>
      <c r="U889" s="40"/>
    </row>
    <row r="890" spans="1:21" ht="20" customHeight="1" x14ac:dyDescent="0.15">
      <c r="A890" s="284" t="s">
        <v>6786</v>
      </c>
      <c r="B890" s="157"/>
      <c r="C890" s="157"/>
      <c r="D890" s="157"/>
      <c r="E890" s="157"/>
      <c r="F890" s="157"/>
      <c r="G890" s="3"/>
      <c r="H890" s="156"/>
      <c r="I890" s="156"/>
      <c r="J890" s="156"/>
      <c r="K890" s="165"/>
      <c r="L890" s="165"/>
      <c r="M890" s="1"/>
      <c r="N890" s="164"/>
      <c r="O890" s="1"/>
      <c r="P890" s="153"/>
      <c r="Q890" s="39"/>
      <c r="R890" s="39"/>
      <c r="S890" s="39"/>
      <c r="T890" s="154"/>
      <c r="U890" s="40"/>
    </row>
    <row r="891" spans="1:21" ht="20" customHeight="1" x14ac:dyDescent="0.15">
      <c r="A891" s="284" t="s">
        <v>6787</v>
      </c>
      <c r="B891" s="157"/>
      <c r="C891" s="157"/>
      <c r="D891" s="157"/>
      <c r="E891" s="157"/>
      <c r="F891" s="157"/>
      <c r="G891" s="3"/>
      <c r="H891" s="156"/>
      <c r="I891" s="156"/>
      <c r="J891" s="156"/>
      <c r="K891" s="165"/>
      <c r="L891" s="165"/>
      <c r="M891" s="1"/>
      <c r="N891" s="164"/>
      <c r="O891" s="1"/>
      <c r="P891" s="153"/>
      <c r="Q891" s="39"/>
      <c r="R891" s="39"/>
      <c r="S891" s="39"/>
      <c r="T891" s="154"/>
      <c r="U891" s="40"/>
    </row>
    <row r="892" spans="1:21" ht="20" customHeight="1" x14ac:dyDescent="0.15">
      <c r="A892" s="284" t="s">
        <v>6788</v>
      </c>
      <c r="B892" s="157"/>
      <c r="C892" s="157"/>
      <c r="D892" s="157"/>
      <c r="E892" s="157"/>
      <c r="F892" s="157"/>
      <c r="G892" s="3"/>
      <c r="H892" s="156"/>
      <c r="I892" s="156"/>
      <c r="J892" s="156"/>
      <c r="K892" s="165"/>
      <c r="L892" s="165"/>
      <c r="M892" s="1"/>
      <c r="N892" s="164"/>
      <c r="O892" s="1"/>
      <c r="P892" s="153"/>
      <c r="Q892" s="39"/>
      <c r="R892" s="39"/>
      <c r="S892" s="39"/>
      <c r="T892" s="154"/>
      <c r="U892" s="40"/>
    </row>
    <row r="893" spans="1:21" ht="20" customHeight="1" x14ac:dyDescent="0.15">
      <c r="A893" s="284" t="s">
        <v>6789</v>
      </c>
      <c r="B893" s="157"/>
      <c r="C893" s="157"/>
      <c r="D893" s="157"/>
      <c r="E893" s="157"/>
      <c r="F893" s="157"/>
      <c r="G893" s="3"/>
      <c r="H893" s="156"/>
      <c r="I893" s="156"/>
      <c r="J893" s="156"/>
      <c r="K893" s="165"/>
      <c r="L893" s="165"/>
      <c r="M893" s="1"/>
      <c r="N893" s="164"/>
      <c r="O893" s="1"/>
      <c r="P893" s="153"/>
      <c r="Q893" s="39"/>
      <c r="R893" s="39"/>
      <c r="S893" s="39"/>
      <c r="T893" s="154"/>
      <c r="U893" s="40"/>
    </row>
    <row r="894" spans="1:21" ht="20" customHeight="1" x14ac:dyDescent="0.15">
      <c r="A894" s="284" t="s">
        <v>6790</v>
      </c>
      <c r="B894" s="157"/>
      <c r="C894" s="157"/>
      <c r="D894" s="157"/>
      <c r="E894" s="157"/>
      <c r="F894" s="157"/>
      <c r="G894" s="3"/>
      <c r="H894" s="156"/>
      <c r="I894" s="156"/>
      <c r="J894" s="156"/>
      <c r="K894" s="165"/>
      <c r="L894" s="165"/>
      <c r="M894" s="1"/>
      <c r="N894" s="164"/>
      <c r="O894" s="1"/>
      <c r="P894" s="153"/>
      <c r="Q894" s="39"/>
      <c r="R894" s="39"/>
      <c r="S894" s="39"/>
      <c r="T894" s="154"/>
      <c r="U894" s="40"/>
    </row>
    <row r="895" spans="1:21" ht="20" customHeight="1" x14ac:dyDescent="0.15">
      <c r="A895" s="284" t="s">
        <v>6791</v>
      </c>
      <c r="B895" s="157"/>
      <c r="C895" s="157"/>
      <c r="D895" s="157"/>
      <c r="E895" s="157"/>
      <c r="F895" s="157"/>
      <c r="G895" s="3"/>
      <c r="H895" s="156"/>
      <c r="I895" s="156"/>
      <c r="J895" s="156"/>
      <c r="K895" s="165"/>
      <c r="L895" s="165"/>
      <c r="M895" s="1"/>
      <c r="N895" s="164"/>
      <c r="O895" s="1"/>
      <c r="P895" s="153"/>
      <c r="Q895" s="39"/>
      <c r="R895" s="39"/>
      <c r="S895" s="39"/>
      <c r="T895" s="154"/>
      <c r="U895" s="40"/>
    </row>
    <row r="896" spans="1:21" ht="20" customHeight="1" x14ac:dyDescent="0.15">
      <c r="A896" s="284" t="s">
        <v>6792</v>
      </c>
      <c r="B896" s="157"/>
      <c r="C896" s="157"/>
      <c r="D896" s="157"/>
      <c r="E896" s="157"/>
      <c r="F896" s="157"/>
      <c r="G896" s="3"/>
      <c r="H896" s="156"/>
      <c r="I896" s="156"/>
      <c r="J896" s="156"/>
      <c r="K896" s="165"/>
      <c r="L896" s="165"/>
      <c r="M896" s="1"/>
      <c r="N896" s="164"/>
      <c r="O896" s="1"/>
      <c r="P896" s="153"/>
      <c r="Q896" s="39"/>
      <c r="R896" s="39"/>
      <c r="S896" s="39"/>
      <c r="T896" s="154"/>
      <c r="U896" s="40"/>
    </row>
    <row r="897" spans="1:21" ht="20" customHeight="1" x14ac:dyDescent="0.15">
      <c r="A897" s="284" t="s">
        <v>6793</v>
      </c>
      <c r="B897" s="157"/>
      <c r="C897" s="157"/>
      <c r="D897" s="157"/>
      <c r="E897" s="157"/>
      <c r="F897" s="157"/>
      <c r="G897" s="3"/>
      <c r="H897" s="156"/>
      <c r="I897" s="156"/>
      <c r="J897" s="156"/>
      <c r="K897" s="165"/>
      <c r="L897" s="165"/>
      <c r="M897" s="1"/>
      <c r="N897" s="164"/>
      <c r="O897" s="1"/>
      <c r="P897" s="153"/>
      <c r="Q897" s="39"/>
      <c r="R897" s="39"/>
      <c r="S897" s="39"/>
      <c r="T897" s="154"/>
      <c r="U897" s="40"/>
    </row>
    <row r="898" spans="1:21" ht="20" customHeight="1" x14ac:dyDescent="0.15">
      <c r="A898" s="284" t="s">
        <v>6794</v>
      </c>
      <c r="B898" s="157"/>
      <c r="C898" s="157"/>
      <c r="D898" s="157"/>
      <c r="E898" s="157"/>
      <c r="F898" s="157"/>
      <c r="G898" s="3"/>
      <c r="H898" s="156"/>
      <c r="I898" s="156"/>
      <c r="J898" s="156"/>
      <c r="K898" s="165"/>
      <c r="L898" s="165"/>
      <c r="M898" s="1"/>
      <c r="N898" s="164"/>
      <c r="O898" s="1"/>
      <c r="P898" s="153"/>
      <c r="Q898" s="39"/>
      <c r="R898" s="39"/>
      <c r="S898" s="39"/>
      <c r="T898" s="154"/>
      <c r="U898" s="40"/>
    </row>
    <row r="899" spans="1:21" ht="20" customHeight="1" x14ac:dyDescent="0.15">
      <c r="A899" s="284" t="s">
        <v>6795</v>
      </c>
      <c r="B899" s="157"/>
      <c r="C899" s="157"/>
      <c r="D899" s="157"/>
      <c r="E899" s="157"/>
      <c r="F899" s="157"/>
      <c r="G899" s="3"/>
      <c r="H899" s="156"/>
      <c r="I899" s="156"/>
      <c r="J899" s="156"/>
      <c r="K899" s="165"/>
      <c r="L899" s="165"/>
      <c r="M899" s="1"/>
      <c r="N899" s="164"/>
      <c r="O899" s="1"/>
      <c r="P899" s="153"/>
      <c r="Q899" s="39"/>
      <c r="R899" s="39"/>
      <c r="S899" s="39"/>
      <c r="T899" s="154"/>
      <c r="U899" s="40"/>
    </row>
    <row r="900" spans="1:21" ht="20" customHeight="1" x14ac:dyDescent="0.15">
      <c r="A900" s="284" t="s">
        <v>6796</v>
      </c>
      <c r="B900" s="157"/>
      <c r="C900" s="157"/>
      <c r="D900" s="157"/>
      <c r="E900" s="157"/>
      <c r="F900" s="157"/>
      <c r="G900" s="3"/>
      <c r="H900" s="156"/>
      <c r="I900" s="156"/>
      <c r="J900" s="156"/>
      <c r="K900" s="165"/>
      <c r="L900" s="165"/>
      <c r="M900" s="1"/>
      <c r="N900" s="164"/>
      <c r="O900" s="1"/>
      <c r="P900" s="153"/>
      <c r="Q900" s="39"/>
      <c r="R900" s="39"/>
      <c r="S900" s="39"/>
      <c r="T900" s="154"/>
      <c r="U900" s="40"/>
    </row>
    <row r="901" spans="1:21" ht="20" customHeight="1" x14ac:dyDescent="0.15">
      <c r="A901" s="284" t="s">
        <v>6797</v>
      </c>
      <c r="B901" s="157"/>
      <c r="C901" s="157"/>
      <c r="D901" s="157"/>
      <c r="E901" s="157"/>
      <c r="F901" s="157"/>
      <c r="G901" s="3"/>
      <c r="H901" s="156"/>
      <c r="I901" s="156"/>
      <c r="J901" s="156"/>
      <c r="K901" s="165"/>
      <c r="L901" s="165"/>
      <c r="M901" s="1"/>
      <c r="N901" s="164"/>
      <c r="O901" s="1"/>
      <c r="P901" s="153"/>
      <c r="Q901" s="39"/>
      <c r="R901" s="39"/>
      <c r="S901" s="39"/>
      <c r="T901" s="154"/>
      <c r="U901" s="40"/>
    </row>
    <row r="902" spans="1:21" ht="20" customHeight="1" x14ac:dyDescent="0.15">
      <c r="A902" s="284" t="s">
        <v>6798</v>
      </c>
      <c r="B902" s="157"/>
      <c r="C902" s="157"/>
      <c r="D902" s="157"/>
      <c r="E902" s="157"/>
      <c r="F902" s="157"/>
      <c r="G902" s="3"/>
      <c r="H902" s="156"/>
      <c r="I902" s="156"/>
      <c r="J902" s="156"/>
      <c r="K902" s="165"/>
      <c r="L902" s="165"/>
      <c r="M902" s="1"/>
      <c r="N902" s="164"/>
      <c r="O902" s="1"/>
      <c r="P902" s="153"/>
      <c r="Q902" s="39"/>
      <c r="R902" s="39"/>
      <c r="S902" s="39"/>
      <c r="T902" s="154"/>
      <c r="U902" s="40"/>
    </row>
    <row r="903" spans="1:21" ht="20" customHeight="1" x14ac:dyDescent="0.15">
      <c r="A903" s="284" t="s">
        <v>6799</v>
      </c>
      <c r="B903" s="157"/>
      <c r="C903" s="157"/>
      <c r="D903" s="157"/>
      <c r="E903" s="157"/>
      <c r="F903" s="157"/>
      <c r="G903" s="3"/>
      <c r="H903" s="156"/>
      <c r="I903" s="156"/>
      <c r="J903" s="156"/>
      <c r="K903" s="165"/>
      <c r="L903" s="165"/>
      <c r="M903" s="1"/>
      <c r="N903" s="164"/>
      <c r="O903" s="1"/>
      <c r="P903" s="153"/>
      <c r="Q903" s="39"/>
      <c r="R903" s="39"/>
      <c r="S903" s="39"/>
      <c r="T903" s="154"/>
      <c r="U903" s="40"/>
    </row>
    <row r="904" spans="1:21" ht="20" customHeight="1" x14ac:dyDescent="0.15">
      <c r="A904" s="284" t="s">
        <v>6800</v>
      </c>
      <c r="B904" s="157"/>
      <c r="C904" s="157"/>
      <c r="D904" s="157"/>
      <c r="E904" s="157"/>
      <c r="F904" s="157"/>
      <c r="G904" s="3"/>
      <c r="H904" s="156"/>
      <c r="I904" s="156"/>
      <c r="J904" s="156"/>
      <c r="K904" s="165"/>
      <c r="L904" s="165"/>
      <c r="M904" s="1"/>
      <c r="N904" s="164"/>
      <c r="O904" s="1"/>
      <c r="P904" s="153"/>
      <c r="Q904" s="39"/>
      <c r="R904" s="39"/>
      <c r="S904" s="39"/>
      <c r="T904" s="154"/>
      <c r="U904" s="40"/>
    </row>
    <row r="905" spans="1:21" ht="20" customHeight="1" x14ac:dyDescent="0.15">
      <c r="A905" s="284" t="s">
        <v>6801</v>
      </c>
      <c r="B905" s="157"/>
      <c r="C905" s="157"/>
      <c r="D905" s="157"/>
      <c r="E905" s="157"/>
      <c r="F905" s="157"/>
      <c r="G905" s="3"/>
      <c r="H905" s="156"/>
      <c r="I905" s="156"/>
      <c r="J905" s="156"/>
      <c r="K905" s="165"/>
      <c r="L905" s="165"/>
      <c r="M905" s="1"/>
      <c r="N905" s="164"/>
      <c r="O905" s="1"/>
      <c r="P905" s="153"/>
      <c r="Q905" s="39"/>
      <c r="R905" s="39"/>
      <c r="S905" s="39"/>
      <c r="T905" s="154"/>
      <c r="U905" s="40"/>
    </row>
    <row r="906" spans="1:21" ht="20" customHeight="1" x14ac:dyDescent="0.15">
      <c r="A906" s="284" t="s">
        <v>6802</v>
      </c>
      <c r="B906" s="157"/>
      <c r="C906" s="157"/>
      <c r="D906" s="157"/>
      <c r="E906" s="157"/>
      <c r="F906" s="157"/>
      <c r="G906" s="3"/>
      <c r="H906" s="156"/>
      <c r="I906" s="156"/>
      <c r="J906" s="156"/>
      <c r="K906" s="165"/>
      <c r="L906" s="165"/>
      <c r="M906" s="1"/>
      <c r="N906" s="164"/>
      <c r="O906" s="1"/>
      <c r="P906" s="153"/>
      <c r="Q906" s="39"/>
      <c r="R906" s="39"/>
      <c r="S906" s="39"/>
      <c r="T906" s="154"/>
      <c r="U906" s="40"/>
    </row>
    <row r="907" spans="1:21" ht="20" customHeight="1" x14ac:dyDescent="0.15">
      <c r="A907" s="284" t="s">
        <v>6803</v>
      </c>
      <c r="B907" s="157"/>
      <c r="C907" s="157"/>
      <c r="D907" s="157"/>
      <c r="E907" s="157"/>
      <c r="F907" s="157"/>
      <c r="G907" s="3"/>
      <c r="H907" s="156"/>
      <c r="I907" s="156"/>
      <c r="J907" s="156"/>
      <c r="K907" s="165"/>
      <c r="L907" s="165"/>
      <c r="M907" s="1"/>
      <c r="N907" s="164"/>
      <c r="O907" s="1"/>
      <c r="P907" s="153"/>
      <c r="Q907" s="39"/>
      <c r="R907" s="39"/>
      <c r="S907" s="39"/>
      <c r="T907" s="154"/>
      <c r="U907" s="40"/>
    </row>
    <row r="908" spans="1:21" ht="20" customHeight="1" x14ac:dyDescent="0.15">
      <c r="A908" s="284" t="s">
        <v>6804</v>
      </c>
      <c r="B908" s="157"/>
      <c r="C908" s="157"/>
      <c r="D908" s="157"/>
      <c r="E908" s="157"/>
      <c r="F908" s="157"/>
      <c r="G908" s="3"/>
      <c r="H908" s="156"/>
      <c r="I908" s="156"/>
      <c r="J908" s="156"/>
      <c r="K908" s="165"/>
      <c r="L908" s="165"/>
      <c r="M908" s="1"/>
      <c r="N908" s="164"/>
      <c r="O908" s="1"/>
      <c r="P908" s="153"/>
      <c r="Q908" s="39"/>
      <c r="R908" s="39"/>
      <c r="S908" s="39"/>
      <c r="T908" s="154"/>
      <c r="U908" s="40"/>
    </row>
    <row r="909" spans="1:21" ht="20" customHeight="1" x14ac:dyDescent="0.15">
      <c r="A909" s="284" t="s">
        <v>6805</v>
      </c>
      <c r="B909" s="157"/>
      <c r="C909" s="157"/>
      <c r="D909" s="157"/>
      <c r="E909" s="157"/>
      <c r="F909" s="157"/>
      <c r="G909" s="3"/>
      <c r="H909" s="156"/>
      <c r="I909" s="156"/>
      <c r="J909" s="156"/>
      <c r="K909" s="165"/>
      <c r="L909" s="165"/>
      <c r="M909" s="1"/>
      <c r="N909" s="164"/>
      <c r="O909" s="1"/>
      <c r="P909" s="153"/>
      <c r="Q909" s="39"/>
      <c r="R909" s="39"/>
      <c r="S909" s="39"/>
      <c r="T909" s="154"/>
      <c r="U909" s="40"/>
    </row>
    <row r="910" spans="1:21" ht="20" customHeight="1" x14ac:dyDescent="0.15">
      <c r="A910" s="284" t="s">
        <v>6806</v>
      </c>
      <c r="B910" s="157"/>
      <c r="C910" s="157"/>
      <c r="D910" s="157"/>
      <c r="E910" s="157"/>
      <c r="F910" s="157"/>
      <c r="G910" s="3"/>
      <c r="H910" s="156"/>
      <c r="I910" s="156"/>
      <c r="J910" s="156"/>
      <c r="K910" s="165"/>
      <c r="L910" s="165"/>
      <c r="M910" s="1"/>
      <c r="N910" s="164"/>
      <c r="O910" s="1"/>
      <c r="P910" s="153"/>
      <c r="Q910" s="39"/>
      <c r="R910" s="39"/>
      <c r="S910" s="39"/>
      <c r="T910" s="154"/>
      <c r="U910" s="40"/>
    </row>
    <row r="911" spans="1:21" ht="20" customHeight="1" x14ac:dyDescent="0.15">
      <c r="A911" s="284" t="s">
        <v>6807</v>
      </c>
      <c r="B911" s="157"/>
      <c r="C911" s="157"/>
      <c r="D911" s="157"/>
      <c r="E911" s="157"/>
      <c r="F911" s="157"/>
      <c r="G911" s="3"/>
      <c r="H911" s="156"/>
      <c r="I911" s="156"/>
      <c r="J911" s="156"/>
      <c r="K911" s="165"/>
      <c r="L911" s="165"/>
      <c r="M911" s="1"/>
      <c r="N911" s="164"/>
      <c r="O911" s="1"/>
      <c r="P911" s="153"/>
      <c r="Q911" s="39"/>
      <c r="R911" s="39"/>
      <c r="S911" s="39"/>
      <c r="T911" s="154"/>
      <c r="U911" s="40"/>
    </row>
    <row r="912" spans="1:21" ht="20" customHeight="1" x14ac:dyDescent="0.15">
      <c r="A912" s="284" t="s">
        <v>6808</v>
      </c>
      <c r="B912" s="157"/>
      <c r="C912" s="157"/>
      <c r="D912" s="157"/>
      <c r="E912" s="157"/>
      <c r="F912" s="157"/>
      <c r="G912" s="3"/>
      <c r="H912" s="156"/>
      <c r="I912" s="156"/>
      <c r="J912" s="156"/>
      <c r="K912" s="165"/>
      <c r="L912" s="165"/>
      <c r="M912" s="1"/>
      <c r="N912" s="164"/>
      <c r="O912" s="1"/>
      <c r="P912" s="153"/>
      <c r="Q912" s="39"/>
      <c r="R912" s="39"/>
      <c r="S912" s="39"/>
      <c r="T912" s="154"/>
      <c r="U912" s="40"/>
    </row>
    <row r="913" spans="1:21" ht="20" customHeight="1" x14ac:dyDescent="0.15">
      <c r="A913" s="284" t="s">
        <v>6809</v>
      </c>
      <c r="B913" s="157"/>
      <c r="C913" s="157"/>
      <c r="D913" s="157"/>
      <c r="E913" s="157"/>
      <c r="F913" s="157"/>
      <c r="G913" s="3"/>
      <c r="H913" s="156"/>
      <c r="I913" s="156"/>
      <c r="J913" s="156"/>
      <c r="K913" s="165"/>
      <c r="L913" s="165"/>
      <c r="M913" s="1"/>
      <c r="N913" s="164"/>
      <c r="O913" s="1"/>
      <c r="P913" s="153"/>
      <c r="Q913" s="39"/>
      <c r="R913" s="39"/>
      <c r="S913" s="39"/>
      <c r="T913" s="154"/>
      <c r="U913" s="40"/>
    </row>
    <row r="914" spans="1:21" ht="20" customHeight="1" x14ac:dyDescent="0.15">
      <c r="A914" s="284" t="s">
        <v>6810</v>
      </c>
      <c r="B914" s="157"/>
      <c r="C914" s="157"/>
      <c r="D914" s="157"/>
      <c r="E914" s="157"/>
      <c r="F914" s="157"/>
      <c r="G914" s="3"/>
      <c r="H914" s="156"/>
      <c r="I914" s="156"/>
      <c r="J914" s="156"/>
      <c r="K914" s="165"/>
      <c r="L914" s="165"/>
      <c r="M914" s="1"/>
      <c r="N914" s="164"/>
      <c r="O914" s="1"/>
      <c r="P914" s="153"/>
      <c r="Q914" s="39"/>
      <c r="R914" s="39"/>
      <c r="S914" s="39"/>
      <c r="T914" s="154"/>
      <c r="U914" s="40"/>
    </row>
    <row r="915" spans="1:21" ht="20" customHeight="1" x14ac:dyDescent="0.15">
      <c r="A915" s="284" t="s">
        <v>6811</v>
      </c>
      <c r="B915" s="157"/>
      <c r="C915" s="157"/>
      <c r="D915" s="157"/>
      <c r="E915" s="157"/>
      <c r="F915" s="157"/>
      <c r="G915" s="3"/>
      <c r="H915" s="156"/>
      <c r="I915" s="156"/>
      <c r="J915" s="156"/>
      <c r="K915" s="165"/>
      <c r="L915" s="165"/>
      <c r="M915" s="1"/>
      <c r="N915" s="164"/>
      <c r="O915" s="1"/>
      <c r="P915" s="153"/>
      <c r="Q915" s="39"/>
      <c r="R915" s="39"/>
      <c r="S915" s="39"/>
      <c r="T915" s="154"/>
      <c r="U915" s="40"/>
    </row>
    <row r="916" spans="1:21" ht="20" customHeight="1" x14ac:dyDescent="0.15">
      <c r="A916" s="284" t="s">
        <v>6812</v>
      </c>
      <c r="B916" s="157"/>
      <c r="C916" s="157"/>
      <c r="D916" s="157"/>
      <c r="E916" s="157"/>
      <c r="F916" s="157"/>
      <c r="G916" s="3"/>
      <c r="H916" s="156"/>
      <c r="I916" s="156"/>
      <c r="J916" s="156"/>
      <c r="K916" s="165"/>
      <c r="L916" s="165"/>
      <c r="M916" s="1"/>
      <c r="N916" s="164"/>
      <c r="O916" s="1"/>
      <c r="P916" s="153"/>
      <c r="Q916" s="39"/>
      <c r="R916" s="39"/>
      <c r="S916" s="39"/>
      <c r="T916" s="154"/>
      <c r="U916" s="40"/>
    </row>
    <row r="917" spans="1:21" ht="20" customHeight="1" x14ac:dyDescent="0.15">
      <c r="A917" s="284" t="s">
        <v>6813</v>
      </c>
      <c r="B917" s="157"/>
      <c r="C917" s="157"/>
      <c r="D917" s="157"/>
      <c r="E917" s="157"/>
      <c r="F917" s="157"/>
      <c r="G917" s="3"/>
      <c r="H917" s="156"/>
      <c r="I917" s="156"/>
      <c r="J917" s="156"/>
      <c r="K917" s="165"/>
      <c r="L917" s="165"/>
      <c r="M917" s="1"/>
      <c r="N917" s="164"/>
      <c r="O917" s="1"/>
      <c r="P917" s="153"/>
      <c r="Q917" s="39"/>
      <c r="R917" s="39"/>
      <c r="S917" s="39"/>
      <c r="T917" s="154"/>
      <c r="U917" s="40"/>
    </row>
    <row r="918" spans="1:21" ht="20" customHeight="1" x14ac:dyDescent="0.15">
      <c r="A918" s="284" t="s">
        <v>6814</v>
      </c>
      <c r="B918" s="157"/>
      <c r="C918" s="157"/>
      <c r="D918" s="157"/>
      <c r="E918" s="157"/>
      <c r="F918" s="157"/>
      <c r="G918" s="3"/>
      <c r="H918" s="156"/>
      <c r="I918" s="156"/>
      <c r="J918" s="156"/>
      <c r="K918" s="165"/>
      <c r="L918" s="165"/>
      <c r="M918" s="1"/>
      <c r="N918" s="164"/>
      <c r="O918" s="1"/>
      <c r="P918" s="153"/>
      <c r="Q918" s="39"/>
      <c r="R918" s="39"/>
      <c r="S918" s="39"/>
      <c r="T918" s="154"/>
      <c r="U918" s="40"/>
    </row>
    <row r="919" spans="1:21" ht="20" customHeight="1" x14ac:dyDescent="0.15">
      <c r="A919" s="284" t="s">
        <v>6815</v>
      </c>
      <c r="B919" s="157"/>
      <c r="C919" s="157"/>
      <c r="D919" s="157"/>
      <c r="E919" s="157"/>
      <c r="F919" s="157"/>
      <c r="G919" s="3"/>
      <c r="H919" s="156"/>
      <c r="I919" s="156"/>
      <c r="J919" s="156"/>
      <c r="K919" s="165"/>
      <c r="L919" s="165"/>
      <c r="M919" s="1"/>
      <c r="N919" s="164"/>
      <c r="O919" s="1"/>
      <c r="P919" s="153"/>
      <c r="Q919" s="39"/>
      <c r="R919" s="39"/>
      <c r="S919" s="39"/>
      <c r="T919" s="154"/>
      <c r="U919" s="40"/>
    </row>
    <row r="920" spans="1:21" ht="20" customHeight="1" x14ac:dyDescent="0.15">
      <c r="A920" s="284" t="s">
        <v>6816</v>
      </c>
      <c r="B920" s="157"/>
      <c r="C920" s="157"/>
      <c r="D920" s="157"/>
      <c r="E920" s="157"/>
      <c r="F920" s="157"/>
      <c r="G920" s="3"/>
      <c r="H920" s="156"/>
      <c r="I920" s="156"/>
      <c r="J920" s="156"/>
      <c r="K920" s="165"/>
      <c r="L920" s="165"/>
      <c r="M920" s="1"/>
      <c r="N920" s="164"/>
      <c r="O920" s="1"/>
      <c r="P920" s="153"/>
      <c r="Q920" s="39"/>
      <c r="R920" s="39"/>
      <c r="S920" s="39"/>
      <c r="T920" s="154"/>
      <c r="U920" s="40"/>
    </row>
    <row r="921" spans="1:21" ht="20" customHeight="1" x14ac:dyDescent="0.15">
      <c r="A921" s="284" t="s">
        <v>6817</v>
      </c>
      <c r="B921" s="157"/>
      <c r="C921" s="157"/>
      <c r="D921" s="157"/>
      <c r="E921" s="157"/>
      <c r="F921" s="157"/>
      <c r="G921" s="3"/>
      <c r="H921" s="156"/>
      <c r="I921" s="156"/>
      <c r="J921" s="156"/>
      <c r="K921" s="165"/>
      <c r="L921" s="165"/>
      <c r="M921" s="1"/>
      <c r="N921" s="164"/>
      <c r="O921" s="1"/>
      <c r="P921" s="153"/>
      <c r="Q921" s="39"/>
      <c r="R921" s="39"/>
      <c r="S921" s="39"/>
      <c r="T921" s="154"/>
      <c r="U921" s="40"/>
    </row>
    <row r="922" spans="1:21" ht="20" customHeight="1" x14ac:dyDescent="0.15">
      <c r="A922" s="284" t="s">
        <v>6818</v>
      </c>
      <c r="B922" s="157"/>
      <c r="C922" s="157"/>
      <c r="D922" s="157"/>
      <c r="E922" s="157"/>
      <c r="F922" s="157"/>
      <c r="G922" s="3"/>
      <c r="H922" s="156"/>
      <c r="I922" s="156"/>
      <c r="J922" s="156"/>
      <c r="K922" s="165"/>
      <c r="L922" s="165"/>
      <c r="M922" s="1"/>
      <c r="N922" s="164"/>
      <c r="O922" s="1"/>
      <c r="P922" s="153"/>
      <c r="Q922" s="39"/>
      <c r="R922" s="39"/>
      <c r="S922" s="39"/>
      <c r="T922" s="154"/>
      <c r="U922" s="40"/>
    </row>
    <row r="923" spans="1:21" ht="20" customHeight="1" x14ac:dyDescent="0.15">
      <c r="A923" s="284" t="s">
        <v>6819</v>
      </c>
      <c r="B923" s="157"/>
      <c r="C923" s="157"/>
      <c r="D923" s="157"/>
      <c r="E923" s="157"/>
      <c r="F923" s="157"/>
      <c r="G923" s="3"/>
      <c r="H923" s="156"/>
      <c r="I923" s="156"/>
      <c r="J923" s="156"/>
      <c r="K923" s="165"/>
      <c r="L923" s="165"/>
      <c r="M923" s="1"/>
      <c r="N923" s="164"/>
      <c r="O923" s="1"/>
      <c r="P923" s="153"/>
      <c r="Q923" s="39"/>
      <c r="R923" s="39"/>
      <c r="S923" s="39"/>
      <c r="T923" s="154"/>
      <c r="U923" s="40"/>
    </row>
    <row r="924" spans="1:21" ht="20" customHeight="1" x14ac:dyDescent="0.15">
      <c r="A924" s="284" t="s">
        <v>6820</v>
      </c>
      <c r="B924" s="157"/>
      <c r="C924" s="157"/>
      <c r="D924" s="157"/>
      <c r="E924" s="157"/>
      <c r="F924" s="157"/>
      <c r="G924" s="3"/>
      <c r="H924" s="156"/>
      <c r="I924" s="156"/>
      <c r="J924" s="156"/>
      <c r="K924" s="165"/>
      <c r="L924" s="165"/>
      <c r="M924" s="1"/>
      <c r="N924" s="164"/>
      <c r="O924" s="1"/>
      <c r="P924" s="153"/>
      <c r="Q924" s="39"/>
      <c r="R924" s="39"/>
      <c r="S924" s="39"/>
      <c r="T924" s="154"/>
      <c r="U924" s="40"/>
    </row>
    <row r="925" spans="1:21" ht="20" customHeight="1" x14ac:dyDescent="0.15">
      <c r="A925" s="284" t="s">
        <v>6821</v>
      </c>
      <c r="B925" s="157"/>
      <c r="C925" s="157"/>
      <c r="D925" s="157"/>
      <c r="E925" s="157"/>
      <c r="F925" s="157"/>
      <c r="G925" s="3"/>
      <c r="H925" s="156"/>
      <c r="I925" s="156"/>
      <c r="J925" s="156"/>
      <c r="K925" s="165"/>
      <c r="L925" s="165"/>
      <c r="M925" s="1"/>
      <c r="N925" s="164"/>
      <c r="O925" s="1"/>
      <c r="P925" s="153"/>
      <c r="Q925" s="39"/>
      <c r="R925" s="39"/>
      <c r="S925" s="39"/>
      <c r="T925" s="154"/>
      <c r="U925" s="40"/>
    </row>
    <row r="926" spans="1:21" ht="20" customHeight="1" x14ac:dyDescent="0.15">
      <c r="A926" s="284" t="s">
        <v>6822</v>
      </c>
      <c r="B926" s="157"/>
      <c r="C926" s="157"/>
      <c r="D926" s="157"/>
      <c r="E926" s="157"/>
      <c r="F926" s="157"/>
      <c r="G926" s="3"/>
      <c r="H926" s="156"/>
      <c r="I926" s="156"/>
      <c r="J926" s="156"/>
      <c r="K926" s="165"/>
      <c r="L926" s="165"/>
      <c r="M926" s="1"/>
      <c r="N926" s="164"/>
      <c r="O926" s="1"/>
      <c r="P926" s="153"/>
      <c r="Q926" s="39"/>
      <c r="R926" s="39"/>
      <c r="S926" s="39"/>
      <c r="T926" s="154"/>
      <c r="U926" s="40"/>
    </row>
    <row r="927" spans="1:21" ht="20" customHeight="1" x14ac:dyDescent="0.15">
      <c r="A927" s="284" t="s">
        <v>6823</v>
      </c>
      <c r="B927" s="157"/>
      <c r="C927" s="157"/>
      <c r="D927" s="157"/>
      <c r="E927" s="157"/>
      <c r="F927" s="157"/>
      <c r="G927" s="3"/>
      <c r="H927" s="156"/>
      <c r="I927" s="156"/>
      <c r="J927" s="156"/>
      <c r="K927" s="165"/>
      <c r="L927" s="165"/>
      <c r="M927" s="1"/>
      <c r="N927" s="164"/>
      <c r="O927" s="1"/>
      <c r="P927" s="153"/>
      <c r="Q927" s="39"/>
      <c r="R927" s="39"/>
      <c r="S927" s="39"/>
      <c r="T927" s="154"/>
      <c r="U927" s="40"/>
    </row>
    <row r="928" spans="1:21" ht="20" customHeight="1" x14ac:dyDescent="0.15">
      <c r="A928" s="284" t="s">
        <v>6824</v>
      </c>
      <c r="B928" s="157"/>
      <c r="C928" s="157"/>
      <c r="D928" s="157"/>
      <c r="E928" s="157"/>
      <c r="F928" s="157"/>
      <c r="G928" s="3"/>
      <c r="H928" s="156"/>
      <c r="I928" s="156"/>
      <c r="J928" s="156"/>
      <c r="K928" s="165"/>
      <c r="L928" s="165"/>
      <c r="M928" s="1"/>
      <c r="N928" s="164"/>
      <c r="O928" s="1"/>
      <c r="P928" s="153"/>
      <c r="Q928" s="39"/>
      <c r="R928" s="39"/>
      <c r="S928" s="39"/>
      <c r="T928" s="154"/>
      <c r="U928" s="40"/>
    </row>
    <row r="929" spans="1:21" ht="20" customHeight="1" x14ac:dyDescent="0.15">
      <c r="A929" s="284" t="s">
        <v>6825</v>
      </c>
      <c r="B929" s="157"/>
      <c r="C929" s="157"/>
      <c r="D929" s="157"/>
      <c r="E929" s="157"/>
      <c r="F929" s="157"/>
      <c r="G929" s="3"/>
      <c r="H929" s="156"/>
      <c r="I929" s="156"/>
      <c r="J929" s="156"/>
      <c r="K929" s="165"/>
      <c r="L929" s="165"/>
      <c r="M929" s="1"/>
      <c r="N929" s="164"/>
      <c r="O929" s="1"/>
      <c r="P929" s="153"/>
      <c r="Q929" s="39"/>
      <c r="R929" s="39"/>
      <c r="S929" s="39"/>
      <c r="T929" s="154"/>
      <c r="U929" s="40"/>
    </row>
    <row r="930" spans="1:21" ht="20" customHeight="1" x14ac:dyDescent="0.15">
      <c r="A930" s="284" t="s">
        <v>6826</v>
      </c>
      <c r="B930" s="157"/>
      <c r="C930" s="157"/>
      <c r="D930" s="157"/>
      <c r="E930" s="157"/>
      <c r="F930" s="157"/>
      <c r="G930" s="3"/>
      <c r="H930" s="156"/>
      <c r="I930" s="156"/>
      <c r="J930" s="156"/>
      <c r="K930" s="165"/>
      <c r="L930" s="165"/>
      <c r="M930" s="1"/>
      <c r="N930" s="164"/>
      <c r="O930" s="1"/>
      <c r="P930" s="153"/>
      <c r="Q930" s="39"/>
      <c r="R930" s="39"/>
      <c r="S930" s="39"/>
      <c r="T930" s="154"/>
      <c r="U930" s="40"/>
    </row>
    <row r="931" spans="1:21" ht="20" customHeight="1" x14ac:dyDescent="0.15">
      <c r="A931" s="284" t="s">
        <v>6827</v>
      </c>
      <c r="B931" s="157"/>
      <c r="C931" s="157"/>
      <c r="D931" s="157"/>
      <c r="E931" s="157"/>
      <c r="F931" s="157"/>
      <c r="G931" s="3"/>
      <c r="H931" s="156"/>
      <c r="I931" s="156"/>
      <c r="J931" s="156"/>
      <c r="K931" s="165"/>
      <c r="L931" s="165"/>
      <c r="M931" s="1"/>
      <c r="N931" s="164"/>
      <c r="O931" s="1"/>
      <c r="P931" s="153"/>
      <c r="Q931" s="39"/>
      <c r="R931" s="39"/>
      <c r="S931" s="39"/>
      <c r="T931" s="154"/>
      <c r="U931" s="40"/>
    </row>
    <row r="932" spans="1:21" ht="20" customHeight="1" x14ac:dyDescent="0.15">
      <c r="A932" s="284" t="s">
        <v>6828</v>
      </c>
      <c r="B932" s="157"/>
      <c r="C932" s="157"/>
      <c r="D932" s="157"/>
      <c r="E932" s="157"/>
      <c r="F932" s="157"/>
      <c r="G932" s="3"/>
      <c r="H932" s="156"/>
      <c r="I932" s="156"/>
      <c r="J932" s="156"/>
      <c r="K932" s="165"/>
      <c r="L932" s="165"/>
      <c r="M932" s="1"/>
      <c r="N932" s="164"/>
      <c r="O932" s="1"/>
      <c r="P932" s="153"/>
      <c r="Q932" s="39"/>
      <c r="R932" s="39"/>
      <c r="S932" s="39"/>
      <c r="T932" s="154"/>
      <c r="U932" s="40"/>
    </row>
    <row r="933" spans="1:21" ht="20" customHeight="1" x14ac:dyDescent="0.15">
      <c r="A933" s="284" t="s">
        <v>6829</v>
      </c>
      <c r="B933" s="157"/>
      <c r="C933" s="157"/>
      <c r="D933" s="157"/>
      <c r="E933" s="157"/>
      <c r="F933" s="157"/>
      <c r="G933" s="3"/>
      <c r="H933" s="156"/>
      <c r="I933" s="156"/>
      <c r="J933" s="156"/>
      <c r="K933" s="165"/>
      <c r="L933" s="165"/>
      <c r="M933" s="1"/>
      <c r="N933" s="164"/>
      <c r="O933" s="1"/>
      <c r="P933" s="153"/>
      <c r="Q933" s="39"/>
      <c r="R933" s="39"/>
      <c r="S933" s="39"/>
      <c r="T933" s="154"/>
      <c r="U933" s="40"/>
    </row>
    <row r="934" spans="1:21" ht="20" customHeight="1" x14ac:dyDescent="0.15">
      <c r="A934" s="284" t="s">
        <v>6830</v>
      </c>
      <c r="B934" s="157"/>
      <c r="C934" s="157"/>
      <c r="D934" s="157"/>
      <c r="E934" s="157"/>
      <c r="F934" s="157"/>
      <c r="G934" s="3"/>
      <c r="H934" s="156"/>
      <c r="I934" s="156"/>
      <c r="J934" s="156"/>
      <c r="K934" s="165"/>
      <c r="L934" s="165"/>
      <c r="M934" s="1"/>
      <c r="N934" s="164"/>
      <c r="O934" s="1"/>
      <c r="P934" s="153"/>
      <c r="Q934" s="39"/>
      <c r="R934" s="39"/>
      <c r="S934" s="39"/>
      <c r="T934" s="154"/>
      <c r="U934" s="40"/>
    </row>
    <row r="935" spans="1:21" ht="20" customHeight="1" x14ac:dyDescent="0.15">
      <c r="A935" s="284" t="s">
        <v>6831</v>
      </c>
      <c r="B935" s="157"/>
      <c r="C935" s="157"/>
      <c r="D935" s="157"/>
      <c r="E935" s="157"/>
      <c r="F935" s="157"/>
      <c r="G935" s="3"/>
      <c r="H935" s="156"/>
      <c r="I935" s="156"/>
      <c r="J935" s="156"/>
      <c r="K935" s="165"/>
      <c r="L935" s="165"/>
      <c r="M935" s="1"/>
      <c r="N935" s="164"/>
      <c r="O935" s="1"/>
      <c r="P935" s="153"/>
      <c r="Q935" s="39"/>
      <c r="R935" s="39"/>
      <c r="S935" s="39"/>
      <c r="T935" s="154"/>
      <c r="U935" s="40"/>
    </row>
    <row r="936" spans="1:21" ht="20" customHeight="1" x14ac:dyDescent="0.15">
      <c r="A936" s="284" t="s">
        <v>6832</v>
      </c>
      <c r="B936" s="157"/>
      <c r="C936" s="157"/>
      <c r="D936" s="157"/>
      <c r="E936" s="157"/>
      <c r="F936" s="157"/>
      <c r="G936" s="3"/>
      <c r="H936" s="156"/>
      <c r="I936" s="156"/>
      <c r="J936" s="156"/>
      <c r="K936" s="165"/>
      <c r="L936" s="165"/>
      <c r="M936" s="1"/>
      <c r="N936" s="164"/>
      <c r="O936" s="1"/>
      <c r="P936" s="153"/>
      <c r="Q936" s="39"/>
      <c r="R936" s="39"/>
      <c r="S936" s="39"/>
      <c r="T936" s="154"/>
      <c r="U936" s="40"/>
    </row>
    <row r="937" spans="1:21" ht="20" customHeight="1" x14ac:dyDescent="0.15">
      <c r="A937" s="284" t="s">
        <v>6833</v>
      </c>
      <c r="B937" s="157"/>
      <c r="C937" s="157"/>
      <c r="D937" s="157"/>
      <c r="E937" s="157"/>
      <c r="F937" s="157"/>
      <c r="G937" s="3"/>
      <c r="H937" s="156"/>
      <c r="I937" s="156"/>
      <c r="J937" s="156"/>
      <c r="K937" s="165"/>
      <c r="L937" s="165"/>
      <c r="M937" s="1"/>
      <c r="N937" s="164"/>
      <c r="O937" s="1"/>
      <c r="P937" s="153"/>
      <c r="Q937" s="39"/>
      <c r="R937" s="39"/>
      <c r="S937" s="39"/>
      <c r="T937" s="154"/>
      <c r="U937" s="40"/>
    </row>
    <row r="938" spans="1:21" ht="20" customHeight="1" x14ac:dyDescent="0.15">
      <c r="A938" s="284" t="s">
        <v>6834</v>
      </c>
      <c r="B938" s="157"/>
      <c r="C938" s="157"/>
      <c r="D938" s="157"/>
      <c r="E938" s="157"/>
      <c r="F938" s="157"/>
      <c r="G938" s="3"/>
      <c r="H938" s="156"/>
      <c r="I938" s="156"/>
      <c r="J938" s="156"/>
      <c r="K938" s="165"/>
      <c r="L938" s="165"/>
      <c r="M938" s="1"/>
      <c r="N938" s="164"/>
      <c r="O938" s="1"/>
      <c r="P938" s="153"/>
      <c r="Q938" s="39"/>
      <c r="R938" s="39"/>
      <c r="S938" s="39"/>
      <c r="T938" s="154"/>
      <c r="U938" s="40"/>
    </row>
    <row r="939" spans="1:21" ht="20" customHeight="1" x14ac:dyDescent="0.15">
      <c r="A939" s="284" t="s">
        <v>6835</v>
      </c>
      <c r="B939" s="157"/>
      <c r="C939" s="157"/>
      <c r="D939" s="157"/>
      <c r="E939" s="157"/>
      <c r="F939" s="157"/>
      <c r="G939" s="3"/>
      <c r="H939" s="156"/>
      <c r="I939" s="156"/>
      <c r="J939" s="156"/>
      <c r="K939" s="165"/>
      <c r="L939" s="165"/>
      <c r="M939" s="1"/>
      <c r="N939" s="164"/>
      <c r="O939" s="1"/>
      <c r="P939" s="153"/>
      <c r="Q939" s="39"/>
      <c r="R939" s="39"/>
      <c r="S939" s="39"/>
      <c r="T939" s="154"/>
      <c r="U939" s="40"/>
    </row>
    <row r="940" spans="1:21" ht="20" customHeight="1" x14ac:dyDescent="0.15">
      <c r="A940" s="284" t="s">
        <v>6836</v>
      </c>
      <c r="B940" s="157"/>
      <c r="C940" s="157"/>
      <c r="D940" s="157"/>
      <c r="E940" s="157"/>
      <c r="F940" s="157"/>
      <c r="G940" s="3"/>
      <c r="H940" s="156"/>
      <c r="I940" s="156"/>
      <c r="J940" s="156"/>
      <c r="K940" s="165"/>
      <c r="L940" s="165"/>
      <c r="M940" s="1"/>
      <c r="N940" s="164"/>
      <c r="O940" s="1"/>
      <c r="P940" s="153"/>
      <c r="Q940" s="39"/>
      <c r="R940" s="39"/>
      <c r="S940" s="39"/>
      <c r="T940" s="154"/>
      <c r="U940" s="40"/>
    </row>
    <row r="941" spans="1:21" ht="20" customHeight="1" x14ac:dyDescent="0.15">
      <c r="A941" s="284" t="s">
        <v>6837</v>
      </c>
      <c r="B941" s="157"/>
      <c r="C941" s="157"/>
      <c r="D941" s="157"/>
      <c r="E941" s="157"/>
      <c r="F941" s="157"/>
      <c r="G941" s="3"/>
      <c r="H941" s="156"/>
      <c r="I941" s="156"/>
      <c r="J941" s="156"/>
      <c r="K941" s="165"/>
      <c r="L941" s="165"/>
      <c r="M941" s="1"/>
      <c r="N941" s="164"/>
      <c r="O941" s="1"/>
      <c r="P941" s="153"/>
      <c r="Q941" s="39"/>
      <c r="R941" s="39"/>
      <c r="S941" s="39"/>
      <c r="T941" s="154"/>
      <c r="U941" s="40"/>
    </row>
    <row r="942" spans="1:21" ht="20" customHeight="1" x14ac:dyDescent="0.15">
      <c r="A942" s="284" t="s">
        <v>6838</v>
      </c>
      <c r="B942" s="157"/>
      <c r="C942" s="157"/>
      <c r="D942" s="157"/>
      <c r="E942" s="157"/>
      <c r="F942" s="157"/>
      <c r="G942" s="3"/>
      <c r="H942" s="156"/>
      <c r="I942" s="156"/>
      <c r="J942" s="156"/>
      <c r="K942" s="165"/>
      <c r="L942" s="165"/>
      <c r="M942" s="1"/>
      <c r="N942" s="164"/>
      <c r="O942" s="1"/>
      <c r="P942" s="153"/>
      <c r="Q942" s="39"/>
      <c r="R942" s="39"/>
      <c r="S942" s="39"/>
      <c r="T942" s="154"/>
      <c r="U942" s="40"/>
    </row>
    <row r="943" spans="1:21" ht="20" customHeight="1" x14ac:dyDescent="0.15">
      <c r="A943" s="284" t="s">
        <v>6839</v>
      </c>
      <c r="B943" s="157"/>
      <c r="C943" s="157"/>
      <c r="D943" s="157"/>
      <c r="E943" s="157"/>
      <c r="F943" s="157"/>
      <c r="G943" s="3"/>
      <c r="H943" s="156"/>
      <c r="I943" s="156"/>
      <c r="J943" s="156"/>
      <c r="K943" s="165"/>
      <c r="L943" s="165"/>
      <c r="M943" s="1"/>
      <c r="N943" s="164"/>
      <c r="O943" s="1"/>
      <c r="P943" s="153"/>
      <c r="Q943" s="39"/>
      <c r="R943" s="39"/>
      <c r="S943" s="39"/>
      <c r="T943" s="154"/>
      <c r="U943" s="40"/>
    </row>
    <row r="944" spans="1:21" ht="20" customHeight="1" x14ac:dyDescent="0.15">
      <c r="A944" s="284" t="s">
        <v>6840</v>
      </c>
      <c r="B944" s="157"/>
      <c r="C944" s="157"/>
      <c r="D944" s="157"/>
      <c r="E944" s="157"/>
      <c r="F944" s="157"/>
      <c r="G944" s="3"/>
      <c r="H944" s="156"/>
      <c r="I944" s="156"/>
      <c r="J944" s="156"/>
      <c r="K944" s="165"/>
      <c r="L944" s="165"/>
      <c r="M944" s="1"/>
      <c r="N944" s="164"/>
      <c r="O944" s="1"/>
      <c r="P944" s="153"/>
      <c r="Q944" s="39"/>
      <c r="R944" s="39"/>
      <c r="S944" s="39"/>
      <c r="T944" s="154"/>
      <c r="U944" s="40"/>
    </row>
    <row r="945" spans="1:21" ht="20" customHeight="1" x14ac:dyDescent="0.15">
      <c r="A945" s="284" t="s">
        <v>6841</v>
      </c>
      <c r="B945" s="157"/>
      <c r="C945" s="157"/>
      <c r="D945" s="157"/>
      <c r="E945" s="157"/>
      <c r="F945" s="157"/>
      <c r="G945" s="3"/>
      <c r="H945" s="156"/>
      <c r="I945" s="156"/>
      <c r="J945" s="156"/>
      <c r="K945" s="165"/>
      <c r="L945" s="165"/>
      <c r="M945" s="1"/>
      <c r="N945" s="164"/>
      <c r="O945" s="1"/>
      <c r="P945" s="153"/>
      <c r="Q945" s="39"/>
      <c r="R945" s="39"/>
      <c r="S945" s="39"/>
      <c r="T945" s="154"/>
      <c r="U945" s="40"/>
    </row>
    <row r="946" spans="1:21" ht="20" customHeight="1" x14ac:dyDescent="0.15">
      <c r="A946" s="284" t="s">
        <v>6842</v>
      </c>
      <c r="B946" s="157"/>
      <c r="C946" s="157"/>
      <c r="D946" s="157"/>
      <c r="E946" s="157"/>
      <c r="F946" s="157"/>
      <c r="G946" s="3"/>
      <c r="H946" s="156"/>
      <c r="I946" s="156"/>
      <c r="J946" s="156"/>
      <c r="K946" s="165"/>
      <c r="L946" s="165"/>
      <c r="M946" s="1"/>
      <c r="N946" s="164"/>
      <c r="O946" s="1"/>
      <c r="P946" s="153"/>
      <c r="Q946" s="39"/>
      <c r="R946" s="39"/>
      <c r="S946" s="39"/>
      <c r="T946" s="154"/>
      <c r="U946" s="40"/>
    </row>
    <row r="947" spans="1:21" ht="20" customHeight="1" x14ac:dyDescent="0.15">
      <c r="A947" s="284" t="s">
        <v>6843</v>
      </c>
      <c r="B947" s="157"/>
      <c r="C947" s="157"/>
      <c r="D947" s="157"/>
      <c r="E947" s="157"/>
      <c r="F947" s="157"/>
      <c r="G947" s="3"/>
      <c r="H947" s="156"/>
      <c r="I947" s="156"/>
      <c r="J947" s="156"/>
      <c r="K947" s="165"/>
      <c r="L947" s="165"/>
      <c r="M947" s="1"/>
      <c r="N947" s="164"/>
      <c r="O947" s="1"/>
      <c r="P947" s="153"/>
      <c r="Q947" s="39"/>
      <c r="R947" s="39"/>
      <c r="S947" s="39"/>
      <c r="T947" s="154"/>
      <c r="U947" s="40"/>
    </row>
    <row r="948" spans="1:21" ht="20" customHeight="1" x14ac:dyDescent="0.15">
      <c r="A948" s="284" t="s">
        <v>6844</v>
      </c>
      <c r="B948" s="157"/>
      <c r="C948" s="157"/>
      <c r="D948" s="157"/>
      <c r="E948" s="157"/>
      <c r="F948" s="157"/>
      <c r="G948" s="3"/>
      <c r="H948" s="156"/>
      <c r="I948" s="156"/>
      <c r="J948" s="156"/>
      <c r="K948" s="165"/>
      <c r="L948" s="165"/>
      <c r="M948" s="1"/>
      <c r="N948" s="164"/>
      <c r="O948" s="1"/>
      <c r="P948" s="153"/>
      <c r="Q948" s="39"/>
      <c r="R948" s="39"/>
      <c r="S948" s="39"/>
      <c r="T948" s="154"/>
      <c r="U948" s="40"/>
    </row>
    <row r="949" spans="1:21" ht="20" customHeight="1" x14ac:dyDescent="0.15">
      <c r="A949" s="284" t="s">
        <v>6845</v>
      </c>
      <c r="B949" s="157"/>
      <c r="C949" s="157"/>
      <c r="D949" s="157"/>
      <c r="E949" s="157"/>
      <c r="F949" s="157"/>
      <c r="G949" s="3"/>
      <c r="H949" s="156"/>
      <c r="I949" s="156"/>
      <c r="J949" s="156"/>
      <c r="K949" s="165"/>
      <c r="L949" s="165"/>
      <c r="M949" s="1"/>
      <c r="N949" s="164"/>
      <c r="O949" s="1"/>
      <c r="P949" s="153"/>
      <c r="Q949" s="39"/>
      <c r="R949" s="39"/>
      <c r="S949" s="39"/>
      <c r="T949" s="154"/>
      <c r="U949" s="40"/>
    </row>
    <row r="950" spans="1:21" ht="20" customHeight="1" x14ac:dyDescent="0.15">
      <c r="A950" s="284" t="s">
        <v>6846</v>
      </c>
      <c r="B950" s="157"/>
      <c r="C950" s="157"/>
      <c r="D950" s="157"/>
      <c r="E950" s="157"/>
      <c r="F950" s="157"/>
      <c r="G950" s="3"/>
      <c r="H950" s="156"/>
      <c r="I950" s="156"/>
      <c r="J950" s="156"/>
      <c r="K950" s="165"/>
      <c r="L950" s="165"/>
      <c r="M950" s="1"/>
      <c r="N950" s="164"/>
      <c r="O950" s="1"/>
      <c r="P950" s="153"/>
      <c r="Q950" s="39"/>
      <c r="R950" s="39"/>
      <c r="S950" s="39"/>
      <c r="T950" s="154"/>
      <c r="U950" s="40"/>
    </row>
    <row r="951" spans="1:21" ht="20" customHeight="1" x14ac:dyDescent="0.15">
      <c r="A951" s="284" t="s">
        <v>6847</v>
      </c>
      <c r="B951" s="157"/>
      <c r="C951" s="157"/>
      <c r="D951" s="157"/>
      <c r="E951" s="157"/>
      <c r="F951" s="157"/>
      <c r="G951" s="3"/>
      <c r="H951" s="156"/>
      <c r="I951" s="156"/>
      <c r="J951" s="156"/>
      <c r="K951" s="165"/>
      <c r="L951" s="165"/>
      <c r="M951" s="1"/>
      <c r="N951" s="164"/>
      <c r="O951" s="1"/>
      <c r="P951" s="153"/>
      <c r="Q951" s="39"/>
      <c r="R951" s="39"/>
      <c r="S951" s="39"/>
      <c r="T951" s="154"/>
      <c r="U951" s="40"/>
    </row>
    <row r="952" spans="1:21" ht="20" customHeight="1" x14ac:dyDescent="0.15">
      <c r="A952" s="284" t="s">
        <v>6848</v>
      </c>
      <c r="B952" s="157"/>
      <c r="C952" s="157"/>
      <c r="D952" s="157"/>
      <c r="E952" s="157"/>
      <c r="F952" s="157"/>
      <c r="G952" s="3"/>
      <c r="H952" s="156"/>
      <c r="I952" s="156"/>
      <c r="J952" s="156"/>
      <c r="K952" s="165"/>
      <c r="L952" s="165"/>
      <c r="M952" s="1"/>
      <c r="N952" s="164"/>
      <c r="O952" s="1"/>
      <c r="P952" s="153"/>
      <c r="Q952" s="39"/>
      <c r="R952" s="39"/>
      <c r="S952" s="39"/>
      <c r="T952" s="154"/>
      <c r="U952" s="40"/>
    </row>
    <row r="953" spans="1:21" ht="20" customHeight="1" x14ac:dyDescent="0.15">
      <c r="A953" s="284" t="s">
        <v>6849</v>
      </c>
      <c r="B953" s="157"/>
      <c r="C953" s="157"/>
      <c r="D953" s="157"/>
      <c r="E953" s="157"/>
      <c r="F953" s="157"/>
      <c r="G953" s="3"/>
      <c r="H953" s="156"/>
      <c r="I953" s="156"/>
      <c r="J953" s="156"/>
      <c r="K953" s="165"/>
      <c r="L953" s="165"/>
      <c r="M953" s="1"/>
      <c r="N953" s="164"/>
      <c r="O953" s="1"/>
      <c r="P953" s="153"/>
      <c r="Q953" s="39"/>
      <c r="R953" s="39"/>
      <c r="S953" s="39"/>
      <c r="T953" s="154"/>
      <c r="U953" s="40"/>
    </row>
    <row r="954" spans="1:21" ht="20" customHeight="1" x14ac:dyDescent="0.15">
      <c r="A954" s="284" t="s">
        <v>6850</v>
      </c>
      <c r="B954" s="157"/>
      <c r="C954" s="157"/>
      <c r="D954" s="157"/>
      <c r="E954" s="157"/>
      <c r="F954" s="157"/>
      <c r="G954" s="3"/>
      <c r="H954" s="156"/>
      <c r="I954" s="156"/>
      <c r="J954" s="156"/>
      <c r="K954" s="165"/>
      <c r="L954" s="165"/>
      <c r="M954" s="1"/>
      <c r="N954" s="164"/>
      <c r="O954" s="1"/>
      <c r="P954" s="153"/>
      <c r="Q954" s="39"/>
      <c r="R954" s="39"/>
      <c r="S954" s="39"/>
      <c r="T954" s="154"/>
      <c r="U954" s="40"/>
    </row>
    <row r="955" spans="1:21" ht="20" customHeight="1" x14ac:dyDescent="0.15">
      <c r="A955" s="284" t="s">
        <v>6851</v>
      </c>
      <c r="B955" s="157"/>
      <c r="C955" s="157"/>
      <c r="D955" s="157"/>
      <c r="E955" s="157"/>
      <c r="F955" s="157"/>
      <c r="G955" s="3"/>
      <c r="H955" s="156"/>
      <c r="I955" s="156"/>
      <c r="J955" s="156"/>
      <c r="K955" s="165"/>
      <c r="L955" s="165"/>
      <c r="M955" s="1"/>
      <c r="N955" s="164"/>
      <c r="O955" s="1"/>
      <c r="P955" s="153"/>
      <c r="Q955" s="39"/>
      <c r="R955" s="39"/>
      <c r="S955" s="39"/>
      <c r="T955" s="154"/>
      <c r="U955" s="40"/>
    </row>
    <row r="956" spans="1:21" ht="20" customHeight="1" x14ac:dyDescent="0.15">
      <c r="A956" s="284" t="s">
        <v>6852</v>
      </c>
      <c r="B956" s="157"/>
      <c r="C956" s="157"/>
      <c r="D956" s="157"/>
      <c r="E956" s="157"/>
      <c r="F956" s="157"/>
      <c r="G956" s="3"/>
      <c r="H956" s="156"/>
      <c r="I956" s="156"/>
      <c r="J956" s="156"/>
      <c r="K956" s="165"/>
      <c r="L956" s="165"/>
      <c r="M956" s="1"/>
      <c r="N956" s="164"/>
      <c r="O956" s="1"/>
      <c r="P956" s="153"/>
      <c r="Q956" s="39"/>
      <c r="R956" s="39"/>
      <c r="S956" s="39"/>
      <c r="T956" s="154"/>
      <c r="U956" s="40"/>
    </row>
    <row r="957" spans="1:21" ht="20" customHeight="1" x14ac:dyDescent="0.15">
      <c r="A957" s="284" t="s">
        <v>6853</v>
      </c>
      <c r="B957" s="157"/>
      <c r="C957" s="157"/>
      <c r="D957" s="157"/>
      <c r="E957" s="157"/>
      <c r="F957" s="157"/>
      <c r="G957" s="3"/>
      <c r="H957" s="156"/>
      <c r="I957" s="156"/>
      <c r="J957" s="156"/>
      <c r="K957" s="165"/>
      <c r="L957" s="165"/>
      <c r="M957" s="1"/>
      <c r="N957" s="164"/>
      <c r="O957" s="1"/>
      <c r="P957" s="153"/>
      <c r="Q957" s="39"/>
      <c r="R957" s="39"/>
      <c r="S957" s="39"/>
      <c r="T957" s="154"/>
      <c r="U957" s="40"/>
    </row>
    <row r="958" spans="1:21" ht="20" customHeight="1" x14ac:dyDescent="0.15">
      <c r="A958" s="284" t="s">
        <v>6854</v>
      </c>
      <c r="B958" s="157"/>
      <c r="C958" s="157"/>
      <c r="D958" s="157"/>
      <c r="E958" s="157"/>
      <c r="F958" s="157"/>
      <c r="G958" s="3"/>
      <c r="H958" s="156"/>
      <c r="I958" s="156"/>
      <c r="J958" s="156"/>
      <c r="K958" s="165"/>
      <c r="L958" s="165"/>
      <c r="M958" s="1"/>
      <c r="N958" s="164"/>
      <c r="O958" s="1"/>
      <c r="P958" s="153"/>
      <c r="Q958" s="39"/>
      <c r="R958" s="39"/>
      <c r="S958" s="39"/>
      <c r="T958" s="154"/>
      <c r="U958" s="40"/>
    </row>
    <row r="959" spans="1:21" ht="20" customHeight="1" x14ac:dyDescent="0.15">
      <c r="A959" s="284" t="s">
        <v>6855</v>
      </c>
      <c r="B959" s="157"/>
      <c r="C959" s="157"/>
      <c r="D959" s="157"/>
      <c r="E959" s="157"/>
      <c r="F959" s="157"/>
      <c r="G959" s="3"/>
      <c r="H959" s="156"/>
      <c r="I959" s="156"/>
      <c r="J959" s="156"/>
      <c r="K959" s="165"/>
      <c r="L959" s="165"/>
      <c r="M959" s="1"/>
      <c r="N959" s="164"/>
      <c r="O959" s="1"/>
      <c r="P959" s="153"/>
      <c r="Q959" s="39"/>
      <c r="R959" s="39"/>
      <c r="S959" s="39"/>
      <c r="T959" s="154"/>
      <c r="U959" s="40"/>
    </row>
    <row r="960" spans="1:21" ht="20" customHeight="1" x14ac:dyDescent="0.15">
      <c r="A960" s="284" t="s">
        <v>6856</v>
      </c>
      <c r="B960" s="157"/>
      <c r="C960" s="157"/>
      <c r="D960" s="157"/>
      <c r="E960" s="157"/>
      <c r="F960" s="157"/>
      <c r="G960" s="3"/>
      <c r="H960" s="156"/>
      <c r="I960" s="156"/>
      <c r="J960" s="156"/>
      <c r="K960" s="165"/>
      <c r="L960" s="165"/>
      <c r="M960" s="1"/>
      <c r="N960" s="164"/>
      <c r="O960" s="1"/>
      <c r="P960" s="153"/>
      <c r="Q960" s="39"/>
      <c r="R960" s="39"/>
      <c r="S960" s="39"/>
      <c r="T960" s="154"/>
      <c r="U960" s="40"/>
    </row>
    <row r="961" spans="1:21" ht="20" customHeight="1" x14ac:dyDescent="0.15">
      <c r="A961" s="284" t="s">
        <v>6857</v>
      </c>
      <c r="B961" s="157"/>
      <c r="C961" s="157"/>
      <c r="D961" s="157"/>
      <c r="E961" s="157"/>
      <c r="F961" s="157"/>
      <c r="G961" s="3"/>
      <c r="H961" s="156"/>
      <c r="I961" s="156"/>
      <c r="J961" s="156"/>
      <c r="K961" s="165"/>
      <c r="L961" s="165"/>
      <c r="M961" s="1"/>
      <c r="N961" s="164"/>
      <c r="O961" s="1"/>
      <c r="P961" s="153"/>
      <c r="Q961" s="39"/>
      <c r="R961" s="39"/>
      <c r="S961" s="39"/>
      <c r="T961" s="154"/>
      <c r="U961" s="40"/>
    </row>
    <row r="962" spans="1:21" ht="20" customHeight="1" x14ac:dyDescent="0.15">
      <c r="A962" s="284" t="s">
        <v>6858</v>
      </c>
      <c r="B962" s="157"/>
      <c r="C962" s="157"/>
      <c r="D962" s="157"/>
      <c r="E962" s="157"/>
      <c r="F962" s="157"/>
      <c r="G962" s="3"/>
      <c r="H962" s="156"/>
      <c r="I962" s="156"/>
      <c r="J962" s="156"/>
      <c r="K962" s="165"/>
      <c r="L962" s="165"/>
      <c r="M962" s="1"/>
      <c r="N962" s="164"/>
      <c r="O962" s="1"/>
      <c r="P962" s="153"/>
      <c r="Q962" s="39"/>
      <c r="R962" s="39"/>
      <c r="S962" s="39"/>
      <c r="T962" s="154"/>
      <c r="U962" s="40"/>
    </row>
    <row r="963" spans="1:21" ht="20" customHeight="1" x14ac:dyDescent="0.15">
      <c r="A963" s="284" t="s">
        <v>6859</v>
      </c>
      <c r="B963" s="157"/>
      <c r="C963" s="157"/>
      <c r="D963" s="157"/>
      <c r="E963" s="157"/>
      <c r="F963" s="157"/>
      <c r="G963" s="3"/>
      <c r="H963" s="156"/>
      <c r="I963" s="156"/>
      <c r="J963" s="156"/>
      <c r="K963" s="165"/>
      <c r="L963" s="165"/>
      <c r="M963" s="1"/>
      <c r="N963" s="164"/>
      <c r="O963" s="1"/>
      <c r="P963" s="153"/>
      <c r="Q963" s="39"/>
      <c r="R963" s="39"/>
      <c r="S963" s="39"/>
      <c r="T963" s="154"/>
      <c r="U963" s="40"/>
    </row>
    <row r="964" spans="1:21" ht="20" customHeight="1" x14ac:dyDescent="0.15">
      <c r="A964" s="284" t="s">
        <v>6860</v>
      </c>
      <c r="B964" s="157"/>
      <c r="C964" s="157"/>
      <c r="D964" s="157"/>
      <c r="E964" s="157"/>
      <c r="F964" s="157"/>
      <c r="G964" s="3"/>
      <c r="H964" s="156"/>
      <c r="I964" s="156"/>
      <c r="J964" s="156"/>
      <c r="K964" s="165"/>
      <c r="L964" s="165"/>
      <c r="M964" s="1"/>
      <c r="N964" s="164"/>
      <c r="O964" s="1"/>
      <c r="P964" s="153"/>
      <c r="Q964" s="39"/>
      <c r="R964" s="39"/>
      <c r="S964" s="39"/>
      <c r="T964" s="154"/>
      <c r="U964" s="40"/>
    </row>
    <row r="965" spans="1:21" ht="20" customHeight="1" x14ac:dyDescent="0.15">
      <c r="A965" s="284" t="s">
        <v>6861</v>
      </c>
      <c r="B965" s="157"/>
      <c r="C965" s="157"/>
      <c r="D965" s="157"/>
      <c r="E965" s="157"/>
      <c r="F965" s="157"/>
      <c r="G965" s="3"/>
      <c r="H965" s="156"/>
      <c r="I965" s="156"/>
      <c r="J965" s="156"/>
      <c r="K965" s="165"/>
      <c r="L965" s="165"/>
      <c r="M965" s="1"/>
      <c r="N965" s="164"/>
      <c r="O965" s="1"/>
      <c r="P965" s="153"/>
      <c r="Q965" s="39"/>
      <c r="R965" s="39"/>
      <c r="S965" s="39"/>
      <c r="T965" s="154"/>
      <c r="U965" s="40"/>
    </row>
    <row r="966" spans="1:21" ht="20" customHeight="1" x14ac:dyDescent="0.15">
      <c r="A966" s="284" t="s">
        <v>6862</v>
      </c>
      <c r="B966" s="157"/>
      <c r="C966" s="157"/>
      <c r="D966" s="157"/>
      <c r="E966" s="157"/>
      <c r="F966" s="157"/>
      <c r="G966" s="3"/>
      <c r="H966" s="156"/>
      <c r="I966" s="156"/>
      <c r="J966" s="156"/>
      <c r="K966" s="165"/>
      <c r="L966" s="165"/>
      <c r="M966" s="1"/>
      <c r="N966" s="164"/>
      <c r="O966" s="1"/>
      <c r="P966" s="153"/>
      <c r="Q966" s="39"/>
      <c r="R966" s="39"/>
      <c r="S966" s="39"/>
      <c r="T966" s="154"/>
      <c r="U966" s="40"/>
    </row>
    <row r="967" spans="1:21" ht="20" customHeight="1" x14ac:dyDescent="0.15">
      <c r="A967" s="284" t="s">
        <v>6863</v>
      </c>
      <c r="B967" s="157"/>
      <c r="C967" s="157"/>
      <c r="D967" s="157"/>
      <c r="E967" s="157"/>
      <c r="F967" s="157"/>
      <c r="G967" s="3"/>
      <c r="H967" s="156"/>
      <c r="I967" s="156"/>
      <c r="J967" s="156"/>
      <c r="K967" s="165"/>
      <c r="L967" s="165"/>
      <c r="M967" s="1"/>
      <c r="N967" s="164"/>
      <c r="O967" s="1"/>
      <c r="P967" s="153"/>
      <c r="Q967" s="39"/>
      <c r="R967" s="39"/>
      <c r="S967" s="39"/>
      <c r="T967" s="154"/>
      <c r="U967" s="40"/>
    </row>
    <row r="968" spans="1:21" ht="20" customHeight="1" x14ac:dyDescent="0.15">
      <c r="A968" s="284" t="s">
        <v>6864</v>
      </c>
      <c r="B968" s="157"/>
      <c r="C968" s="157"/>
      <c r="D968" s="157"/>
      <c r="E968" s="157"/>
      <c r="F968" s="157"/>
      <c r="G968" s="3"/>
      <c r="H968" s="156"/>
      <c r="I968" s="156"/>
      <c r="J968" s="156"/>
      <c r="K968" s="165"/>
      <c r="L968" s="165"/>
      <c r="M968" s="1"/>
      <c r="N968" s="164"/>
      <c r="O968" s="1"/>
      <c r="P968" s="153"/>
      <c r="Q968" s="39"/>
      <c r="R968" s="39"/>
      <c r="S968" s="39"/>
      <c r="T968" s="154"/>
      <c r="U968" s="40"/>
    </row>
    <row r="969" spans="1:21" ht="20" customHeight="1" x14ac:dyDescent="0.15">
      <c r="A969" s="284" t="s">
        <v>6865</v>
      </c>
      <c r="B969" s="157"/>
      <c r="C969" s="157"/>
      <c r="D969" s="157"/>
      <c r="E969" s="157"/>
      <c r="F969" s="157"/>
      <c r="G969" s="3"/>
      <c r="H969" s="156"/>
      <c r="I969" s="156"/>
      <c r="J969" s="156"/>
      <c r="K969" s="165"/>
      <c r="L969" s="165"/>
      <c r="M969" s="1"/>
      <c r="N969" s="164"/>
      <c r="O969" s="1"/>
      <c r="P969" s="153"/>
      <c r="Q969" s="39"/>
      <c r="R969" s="39"/>
      <c r="S969" s="39"/>
      <c r="T969" s="154"/>
      <c r="U969" s="40"/>
    </row>
    <row r="970" spans="1:21" ht="20" customHeight="1" x14ac:dyDescent="0.15">
      <c r="A970" s="284" t="s">
        <v>6866</v>
      </c>
      <c r="B970" s="157"/>
      <c r="C970" s="157"/>
      <c r="D970" s="157"/>
      <c r="E970" s="157"/>
      <c r="F970" s="157"/>
      <c r="G970" s="3"/>
      <c r="H970" s="156"/>
      <c r="I970" s="156"/>
      <c r="J970" s="156"/>
      <c r="K970" s="165"/>
      <c r="L970" s="165"/>
      <c r="M970" s="1"/>
      <c r="N970" s="164"/>
      <c r="O970" s="1"/>
      <c r="P970" s="153"/>
      <c r="Q970" s="39"/>
      <c r="R970" s="39"/>
      <c r="S970" s="39"/>
      <c r="T970" s="154"/>
      <c r="U970" s="40"/>
    </row>
    <row r="971" spans="1:21" ht="20" customHeight="1" x14ac:dyDescent="0.15">
      <c r="A971" s="284" t="s">
        <v>6867</v>
      </c>
      <c r="B971" s="157"/>
      <c r="C971" s="157"/>
      <c r="D971" s="157"/>
      <c r="E971" s="157"/>
      <c r="F971" s="157"/>
      <c r="G971" s="3"/>
      <c r="H971" s="156"/>
      <c r="I971" s="156"/>
      <c r="J971" s="156"/>
      <c r="K971" s="165"/>
      <c r="L971" s="165"/>
      <c r="M971" s="1"/>
      <c r="N971" s="164"/>
      <c r="O971" s="1"/>
      <c r="P971" s="153"/>
      <c r="Q971" s="39"/>
      <c r="R971" s="39"/>
      <c r="S971" s="39"/>
      <c r="T971" s="154"/>
      <c r="U971" s="40"/>
    </row>
    <row r="972" spans="1:21" ht="20" customHeight="1" x14ac:dyDescent="0.15">
      <c r="A972" s="284" t="s">
        <v>6868</v>
      </c>
      <c r="B972" s="157"/>
      <c r="C972" s="157"/>
      <c r="D972" s="157"/>
      <c r="E972" s="157"/>
      <c r="F972" s="157"/>
      <c r="G972" s="3"/>
      <c r="H972" s="156"/>
      <c r="I972" s="156"/>
      <c r="J972" s="156"/>
      <c r="K972" s="165"/>
      <c r="L972" s="165"/>
      <c r="M972" s="1"/>
      <c r="N972" s="164"/>
      <c r="O972" s="1"/>
      <c r="P972" s="153"/>
      <c r="Q972" s="39"/>
      <c r="R972" s="39"/>
      <c r="S972" s="39"/>
      <c r="T972" s="154"/>
      <c r="U972" s="40"/>
    </row>
    <row r="973" spans="1:21" ht="20" customHeight="1" x14ac:dyDescent="0.15">
      <c r="A973" s="284" t="s">
        <v>6869</v>
      </c>
      <c r="B973" s="157"/>
      <c r="C973" s="157"/>
      <c r="D973" s="157"/>
      <c r="E973" s="157"/>
      <c r="F973" s="157"/>
      <c r="G973" s="3"/>
      <c r="H973" s="156"/>
      <c r="I973" s="156"/>
      <c r="J973" s="156"/>
      <c r="K973" s="165"/>
      <c r="L973" s="165"/>
      <c r="M973" s="1"/>
      <c r="N973" s="164"/>
      <c r="O973" s="1"/>
      <c r="P973" s="153"/>
      <c r="Q973" s="39"/>
      <c r="R973" s="39"/>
      <c r="S973" s="39"/>
      <c r="T973" s="154"/>
      <c r="U973" s="40"/>
    </row>
    <row r="974" spans="1:21" ht="20" customHeight="1" x14ac:dyDescent="0.15">
      <c r="A974" s="284" t="s">
        <v>6870</v>
      </c>
      <c r="B974" s="157"/>
      <c r="C974" s="157"/>
      <c r="D974" s="157"/>
      <c r="E974" s="157"/>
      <c r="F974" s="157"/>
      <c r="G974" s="3"/>
      <c r="H974" s="156"/>
      <c r="I974" s="156"/>
      <c r="J974" s="156"/>
      <c r="K974" s="165"/>
      <c r="L974" s="165"/>
      <c r="M974" s="1"/>
      <c r="N974" s="164"/>
      <c r="O974" s="1"/>
      <c r="P974" s="153"/>
      <c r="Q974" s="39"/>
      <c r="R974" s="39"/>
      <c r="S974" s="39"/>
      <c r="T974" s="154"/>
      <c r="U974" s="40"/>
    </row>
    <row r="975" spans="1:21" ht="20" customHeight="1" x14ac:dyDescent="0.15">
      <c r="A975" s="284" t="s">
        <v>6871</v>
      </c>
      <c r="B975" s="157"/>
      <c r="C975" s="157"/>
      <c r="D975" s="157"/>
      <c r="E975" s="157"/>
      <c r="F975" s="157"/>
      <c r="G975" s="3"/>
      <c r="H975" s="156"/>
      <c r="I975" s="156"/>
      <c r="J975" s="156"/>
      <c r="K975" s="165"/>
      <c r="L975" s="165"/>
      <c r="M975" s="1"/>
      <c r="N975" s="164"/>
      <c r="O975" s="1"/>
      <c r="P975" s="153"/>
      <c r="Q975" s="39"/>
      <c r="R975" s="39"/>
      <c r="S975" s="39"/>
      <c r="T975" s="154"/>
      <c r="U975" s="40"/>
    </row>
    <row r="976" spans="1:21" ht="20" customHeight="1" x14ac:dyDescent="0.15">
      <c r="A976" s="284" t="s">
        <v>6872</v>
      </c>
      <c r="B976" s="157"/>
      <c r="C976" s="157"/>
      <c r="D976" s="157"/>
      <c r="E976" s="157"/>
      <c r="F976" s="157"/>
      <c r="G976" s="3"/>
      <c r="H976" s="156"/>
      <c r="I976" s="156"/>
      <c r="J976" s="156"/>
      <c r="K976" s="165"/>
      <c r="L976" s="165"/>
      <c r="M976" s="1"/>
      <c r="N976" s="164"/>
      <c r="O976" s="1"/>
      <c r="P976" s="153"/>
      <c r="Q976" s="39"/>
      <c r="R976" s="39"/>
      <c r="S976" s="39"/>
      <c r="T976" s="154"/>
      <c r="U976" s="40"/>
    </row>
    <row r="977" spans="1:21" ht="20" customHeight="1" x14ac:dyDescent="0.15">
      <c r="A977" s="284" t="s">
        <v>6873</v>
      </c>
      <c r="B977" s="157"/>
      <c r="C977" s="157"/>
      <c r="D977" s="157"/>
      <c r="E977" s="157"/>
      <c r="F977" s="157"/>
      <c r="G977" s="3"/>
      <c r="H977" s="156"/>
      <c r="I977" s="156"/>
      <c r="J977" s="156"/>
      <c r="K977" s="165"/>
      <c r="L977" s="165"/>
      <c r="M977" s="1"/>
      <c r="N977" s="164"/>
      <c r="O977" s="1"/>
      <c r="P977" s="153"/>
      <c r="Q977" s="39"/>
      <c r="R977" s="39"/>
      <c r="S977" s="39"/>
      <c r="T977" s="154"/>
      <c r="U977" s="40"/>
    </row>
    <row r="978" spans="1:21" ht="20" customHeight="1" x14ac:dyDescent="0.15">
      <c r="A978" s="284" t="s">
        <v>6874</v>
      </c>
      <c r="B978" s="157"/>
      <c r="C978" s="157"/>
      <c r="D978" s="157"/>
      <c r="E978" s="157"/>
      <c r="F978" s="157"/>
      <c r="G978" s="3"/>
      <c r="H978" s="156"/>
      <c r="I978" s="156"/>
      <c r="J978" s="156"/>
      <c r="K978" s="165"/>
      <c r="L978" s="165"/>
      <c r="M978" s="1"/>
      <c r="N978" s="164"/>
      <c r="O978" s="1"/>
      <c r="P978" s="153"/>
      <c r="Q978" s="39"/>
      <c r="R978" s="39"/>
      <c r="S978" s="39"/>
      <c r="T978" s="154"/>
      <c r="U978" s="40"/>
    </row>
    <row r="979" spans="1:21" ht="20" customHeight="1" x14ac:dyDescent="0.15">
      <c r="A979" s="284" t="s">
        <v>6875</v>
      </c>
      <c r="B979" s="157"/>
      <c r="C979" s="157"/>
      <c r="D979" s="157"/>
      <c r="E979" s="157"/>
      <c r="F979" s="157"/>
      <c r="G979" s="3"/>
      <c r="H979" s="156"/>
      <c r="I979" s="156"/>
      <c r="J979" s="156"/>
      <c r="K979" s="165"/>
      <c r="L979" s="165"/>
      <c r="M979" s="1"/>
      <c r="N979" s="164"/>
      <c r="O979" s="1"/>
      <c r="P979" s="153"/>
      <c r="Q979" s="39"/>
      <c r="R979" s="39"/>
      <c r="S979" s="39"/>
      <c r="T979" s="154"/>
      <c r="U979" s="40"/>
    </row>
    <row r="980" spans="1:21" ht="20" customHeight="1" x14ac:dyDescent="0.15">
      <c r="A980" s="284" t="s">
        <v>6876</v>
      </c>
      <c r="B980" s="157"/>
      <c r="C980" s="157"/>
      <c r="D980" s="157"/>
      <c r="E980" s="157"/>
      <c r="F980" s="157"/>
      <c r="G980" s="3"/>
      <c r="H980" s="156"/>
      <c r="I980" s="156"/>
      <c r="J980" s="156"/>
      <c r="K980" s="165"/>
      <c r="L980" s="165"/>
      <c r="M980" s="1"/>
      <c r="N980" s="164"/>
      <c r="O980" s="1"/>
      <c r="P980" s="153"/>
      <c r="Q980" s="39"/>
      <c r="R980" s="39"/>
      <c r="S980" s="39"/>
      <c r="T980" s="154"/>
      <c r="U980" s="40"/>
    </row>
    <row r="981" spans="1:21" ht="20" customHeight="1" x14ac:dyDescent="0.15">
      <c r="A981" s="284" t="s">
        <v>6877</v>
      </c>
      <c r="B981" s="157"/>
      <c r="C981" s="157"/>
      <c r="D981" s="157"/>
      <c r="E981" s="157"/>
      <c r="F981" s="157"/>
      <c r="G981" s="3"/>
      <c r="H981" s="156"/>
      <c r="I981" s="156"/>
      <c r="J981" s="156"/>
      <c r="K981" s="165"/>
      <c r="L981" s="165"/>
      <c r="M981" s="1"/>
      <c r="N981" s="164"/>
      <c r="O981" s="1"/>
      <c r="P981" s="153"/>
      <c r="Q981" s="39"/>
      <c r="R981" s="39"/>
      <c r="S981" s="39"/>
      <c r="T981" s="154"/>
      <c r="U981" s="40"/>
    </row>
    <row r="982" spans="1:21" ht="20" customHeight="1" x14ac:dyDescent="0.15">
      <c r="A982" s="284" t="s">
        <v>6878</v>
      </c>
      <c r="B982" s="157"/>
      <c r="C982" s="157"/>
      <c r="D982" s="157"/>
      <c r="E982" s="157"/>
      <c r="F982" s="157"/>
      <c r="G982" s="3"/>
      <c r="H982" s="156"/>
      <c r="I982" s="156"/>
      <c r="J982" s="156"/>
      <c r="K982" s="165"/>
      <c r="L982" s="165"/>
      <c r="M982" s="1"/>
      <c r="N982" s="164"/>
      <c r="O982" s="1"/>
      <c r="P982" s="153"/>
      <c r="Q982" s="39"/>
      <c r="R982" s="39"/>
      <c r="S982" s="39"/>
      <c r="T982" s="154"/>
      <c r="U982" s="40"/>
    </row>
    <row r="983" spans="1:21" ht="20" customHeight="1" x14ac:dyDescent="0.15">
      <c r="A983" s="284" t="s">
        <v>6879</v>
      </c>
      <c r="B983" s="157"/>
      <c r="C983" s="157"/>
      <c r="D983" s="157"/>
      <c r="E983" s="157"/>
      <c r="F983" s="157"/>
      <c r="G983" s="3"/>
      <c r="H983" s="156"/>
      <c r="I983" s="156"/>
      <c r="J983" s="156"/>
      <c r="K983" s="165"/>
      <c r="L983" s="165"/>
      <c r="M983" s="1"/>
      <c r="N983" s="164"/>
      <c r="O983" s="1"/>
      <c r="P983" s="153"/>
      <c r="Q983" s="39"/>
      <c r="R983" s="39"/>
      <c r="S983" s="39"/>
      <c r="T983" s="154"/>
      <c r="U983" s="40"/>
    </row>
    <row r="984" spans="1:21" ht="20" customHeight="1" x14ac:dyDescent="0.15">
      <c r="A984" s="284" t="s">
        <v>6880</v>
      </c>
      <c r="B984" s="157"/>
      <c r="C984" s="157"/>
      <c r="D984" s="157"/>
      <c r="E984" s="157"/>
      <c r="F984" s="157"/>
      <c r="G984" s="3"/>
      <c r="H984" s="156"/>
      <c r="I984" s="156"/>
      <c r="J984" s="156"/>
      <c r="K984" s="165"/>
      <c r="L984" s="165"/>
      <c r="M984" s="1"/>
      <c r="N984" s="164"/>
      <c r="O984" s="1"/>
      <c r="P984" s="153"/>
      <c r="Q984" s="39"/>
      <c r="R984" s="39"/>
      <c r="S984" s="39"/>
      <c r="T984" s="154"/>
      <c r="U984" s="40"/>
    </row>
    <row r="985" spans="1:21" ht="20" customHeight="1" x14ac:dyDescent="0.15">
      <c r="A985" s="284" t="s">
        <v>6881</v>
      </c>
      <c r="B985" s="157"/>
      <c r="C985" s="157"/>
      <c r="D985" s="157"/>
      <c r="E985" s="157"/>
      <c r="F985" s="157"/>
      <c r="G985" s="3"/>
      <c r="H985" s="156"/>
      <c r="I985" s="156"/>
      <c r="J985" s="156"/>
      <c r="K985" s="165"/>
      <c r="L985" s="165"/>
      <c r="M985" s="1"/>
      <c r="N985" s="164"/>
      <c r="O985" s="1"/>
      <c r="P985" s="153"/>
      <c r="Q985" s="39"/>
      <c r="R985" s="39"/>
      <c r="S985" s="39"/>
      <c r="T985" s="154"/>
      <c r="U985" s="40"/>
    </row>
    <row r="986" spans="1:21" ht="20" customHeight="1" x14ac:dyDescent="0.15">
      <c r="A986" s="284" t="s">
        <v>6882</v>
      </c>
      <c r="B986" s="157"/>
      <c r="C986" s="157"/>
      <c r="D986" s="157"/>
      <c r="E986" s="157"/>
      <c r="F986" s="157"/>
      <c r="G986" s="3"/>
      <c r="H986" s="156"/>
      <c r="I986" s="156"/>
      <c r="J986" s="156"/>
      <c r="K986" s="165"/>
      <c r="L986" s="165"/>
      <c r="M986" s="1"/>
      <c r="N986" s="164"/>
      <c r="O986" s="1"/>
      <c r="P986" s="153"/>
      <c r="Q986" s="39"/>
      <c r="R986" s="39"/>
      <c r="S986" s="39"/>
      <c r="T986" s="154"/>
      <c r="U986" s="40"/>
    </row>
    <row r="987" spans="1:21" ht="20" customHeight="1" x14ac:dyDescent="0.15">
      <c r="A987" s="284" t="s">
        <v>6883</v>
      </c>
      <c r="B987" s="157"/>
      <c r="C987" s="157"/>
      <c r="D987" s="157"/>
      <c r="E987" s="157"/>
      <c r="F987" s="157"/>
      <c r="G987" s="3"/>
      <c r="H987" s="156"/>
      <c r="I987" s="156"/>
      <c r="J987" s="156"/>
      <c r="K987" s="165"/>
      <c r="L987" s="165"/>
      <c r="M987" s="1"/>
      <c r="N987" s="164"/>
      <c r="O987" s="1"/>
      <c r="P987" s="153"/>
      <c r="Q987" s="39"/>
      <c r="R987" s="39"/>
      <c r="S987" s="39"/>
      <c r="T987" s="154"/>
      <c r="U987" s="40"/>
    </row>
    <row r="988" spans="1:21" ht="20" customHeight="1" x14ac:dyDescent="0.15">
      <c r="A988" s="284" t="s">
        <v>6884</v>
      </c>
      <c r="B988" s="157"/>
      <c r="C988" s="157"/>
      <c r="D988" s="157"/>
      <c r="E988" s="157"/>
      <c r="F988" s="157"/>
      <c r="G988" s="3"/>
      <c r="H988" s="156"/>
      <c r="I988" s="156"/>
      <c r="J988" s="156"/>
      <c r="K988" s="165"/>
      <c r="L988" s="165"/>
      <c r="M988" s="1"/>
      <c r="N988" s="164"/>
      <c r="O988" s="1"/>
      <c r="P988" s="153"/>
      <c r="Q988" s="39"/>
      <c r="R988" s="39"/>
      <c r="S988" s="39"/>
      <c r="T988" s="154"/>
      <c r="U988" s="40"/>
    </row>
    <row r="989" spans="1:21" ht="20" customHeight="1" x14ac:dyDescent="0.15">
      <c r="A989" s="284" t="s">
        <v>6885</v>
      </c>
      <c r="B989" s="157"/>
      <c r="C989" s="157"/>
      <c r="D989" s="157"/>
      <c r="E989" s="157"/>
      <c r="F989" s="157"/>
      <c r="G989" s="3"/>
      <c r="H989" s="156"/>
      <c r="I989" s="156"/>
      <c r="J989" s="156"/>
      <c r="K989" s="165"/>
      <c r="L989" s="165"/>
      <c r="M989" s="1"/>
      <c r="N989" s="164"/>
      <c r="O989" s="1"/>
      <c r="P989" s="153"/>
      <c r="Q989" s="39"/>
      <c r="R989" s="39"/>
      <c r="S989" s="39"/>
      <c r="T989" s="154"/>
      <c r="U989" s="40"/>
    </row>
    <row r="990" spans="1:21" ht="20" customHeight="1" x14ac:dyDescent="0.15">
      <c r="A990" s="284" t="s">
        <v>6886</v>
      </c>
      <c r="B990" s="157"/>
      <c r="C990" s="157"/>
      <c r="D990" s="157"/>
      <c r="E990" s="157"/>
      <c r="F990" s="157"/>
      <c r="G990" s="3"/>
      <c r="H990" s="156"/>
      <c r="I990" s="156"/>
      <c r="J990" s="156"/>
      <c r="K990" s="165"/>
      <c r="L990" s="165"/>
      <c r="M990" s="1"/>
      <c r="N990" s="164"/>
      <c r="O990" s="1"/>
      <c r="P990" s="153"/>
      <c r="Q990" s="39"/>
      <c r="R990" s="39"/>
      <c r="S990" s="39"/>
      <c r="T990" s="154"/>
      <c r="U990" s="40"/>
    </row>
    <row r="991" spans="1:21" ht="20" customHeight="1" x14ac:dyDescent="0.15">
      <c r="A991" s="284" t="s">
        <v>6887</v>
      </c>
      <c r="B991" s="157"/>
      <c r="C991" s="157"/>
      <c r="D991" s="157"/>
      <c r="E991" s="157"/>
      <c r="F991" s="157"/>
      <c r="G991" s="3"/>
      <c r="H991" s="156"/>
      <c r="I991" s="156"/>
      <c r="J991" s="156"/>
      <c r="K991" s="165"/>
      <c r="L991" s="165"/>
      <c r="M991" s="1"/>
      <c r="N991" s="164"/>
      <c r="O991" s="1"/>
      <c r="P991" s="153"/>
      <c r="Q991" s="39"/>
      <c r="R991" s="39"/>
      <c r="S991" s="39"/>
      <c r="T991" s="154"/>
      <c r="U991" s="40"/>
    </row>
    <row r="992" spans="1:21" ht="20" customHeight="1" x14ac:dyDescent="0.15">
      <c r="A992" s="284" t="s">
        <v>6888</v>
      </c>
      <c r="B992" s="157"/>
      <c r="C992" s="157"/>
      <c r="D992" s="157"/>
      <c r="E992" s="157"/>
      <c r="F992" s="157"/>
      <c r="G992" s="3"/>
      <c r="H992" s="156"/>
      <c r="I992" s="156"/>
      <c r="J992" s="156"/>
      <c r="K992" s="165"/>
      <c r="L992" s="165"/>
      <c r="M992" s="1"/>
      <c r="N992" s="164"/>
      <c r="O992" s="1"/>
      <c r="P992" s="153"/>
      <c r="Q992" s="39"/>
      <c r="R992" s="39"/>
      <c r="S992" s="39"/>
      <c r="T992" s="154"/>
      <c r="U992" s="40"/>
    </row>
    <row r="993" spans="1:21" ht="20" customHeight="1" x14ac:dyDescent="0.15">
      <c r="A993" s="284" t="s">
        <v>6889</v>
      </c>
      <c r="B993" s="157"/>
      <c r="C993" s="157"/>
      <c r="D993" s="157"/>
      <c r="E993" s="157"/>
      <c r="F993" s="157"/>
      <c r="G993" s="3"/>
      <c r="H993" s="156"/>
      <c r="I993" s="156"/>
      <c r="J993" s="156"/>
      <c r="K993" s="165"/>
      <c r="L993" s="165"/>
      <c r="M993" s="1"/>
      <c r="N993" s="164"/>
      <c r="O993" s="1"/>
      <c r="P993" s="153"/>
      <c r="Q993" s="39"/>
      <c r="R993" s="39"/>
      <c r="S993" s="39"/>
      <c r="T993" s="154"/>
      <c r="U993" s="40"/>
    </row>
    <row r="994" spans="1:21" ht="20" customHeight="1" x14ac:dyDescent="0.15">
      <c r="A994" s="284" t="s">
        <v>6890</v>
      </c>
      <c r="B994" s="157"/>
      <c r="C994" s="157"/>
      <c r="D994" s="157"/>
      <c r="E994" s="157"/>
      <c r="F994" s="157"/>
      <c r="G994" s="3"/>
      <c r="H994" s="156"/>
      <c r="I994" s="156"/>
      <c r="J994" s="156"/>
      <c r="K994" s="165"/>
      <c r="L994" s="165"/>
      <c r="M994" s="1"/>
      <c r="N994" s="164"/>
      <c r="O994" s="1"/>
      <c r="P994" s="153"/>
      <c r="Q994" s="39"/>
      <c r="R994" s="39"/>
      <c r="S994" s="39"/>
      <c r="T994" s="154"/>
      <c r="U994" s="40"/>
    </row>
    <row r="995" spans="1:21" ht="20" customHeight="1" x14ac:dyDescent="0.15">
      <c r="A995" s="284" t="s">
        <v>6891</v>
      </c>
      <c r="B995" s="157"/>
      <c r="C995" s="157"/>
      <c r="D995" s="157"/>
      <c r="E995" s="157"/>
      <c r="F995" s="157"/>
      <c r="G995" s="3"/>
      <c r="H995" s="156"/>
      <c r="I995" s="156"/>
      <c r="J995" s="156"/>
      <c r="K995" s="165"/>
      <c r="L995" s="165"/>
      <c r="M995" s="1"/>
      <c r="N995" s="164"/>
      <c r="O995" s="1"/>
      <c r="P995" s="153"/>
      <c r="Q995" s="39"/>
      <c r="R995" s="39"/>
      <c r="S995" s="39"/>
      <c r="T995" s="154"/>
      <c r="U995" s="40"/>
    </row>
    <row r="996" spans="1:21" ht="20" customHeight="1" x14ac:dyDescent="0.15">
      <c r="A996" s="284" t="s">
        <v>6892</v>
      </c>
      <c r="B996" s="157"/>
      <c r="C996" s="157"/>
      <c r="D996" s="157"/>
      <c r="E996" s="157"/>
      <c r="F996" s="157"/>
      <c r="G996" s="3"/>
      <c r="H996" s="156"/>
      <c r="I996" s="156"/>
      <c r="J996" s="156"/>
      <c r="K996" s="165"/>
      <c r="L996" s="165"/>
      <c r="M996" s="1"/>
      <c r="N996" s="164"/>
      <c r="O996" s="1"/>
      <c r="P996" s="153"/>
      <c r="Q996" s="39"/>
      <c r="R996" s="39"/>
      <c r="S996" s="39"/>
      <c r="T996" s="154"/>
      <c r="U996" s="40"/>
    </row>
    <row r="997" spans="1:21" ht="20" customHeight="1" x14ac:dyDescent="0.15">
      <c r="A997" s="284" t="s">
        <v>6893</v>
      </c>
      <c r="B997" s="157"/>
      <c r="C997" s="157"/>
      <c r="D997" s="157"/>
      <c r="E997" s="157"/>
      <c r="F997" s="157"/>
      <c r="G997" s="3"/>
      <c r="H997" s="156"/>
      <c r="I997" s="156"/>
      <c r="J997" s="156"/>
      <c r="K997" s="165"/>
      <c r="L997" s="165"/>
      <c r="M997" s="1"/>
      <c r="N997" s="164"/>
      <c r="O997" s="1"/>
      <c r="P997" s="153"/>
      <c r="Q997" s="39"/>
      <c r="R997" s="39"/>
      <c r="S997" s="39"/>
      <c r="T997" s="154"/>
      <c r="U997" s="40"/>
    </row>
    <row r="998" spans="1:21" ht="20" customHeight="1" x14ac:dyDescent="0.15">
      <c r="A998" s="284" t="s">
        <v>6894</v>
      </c>
      <c r="B998" s="157"/>
      <c r="C998" s="157"/>
      <c r="D998" s="157"/>
      <c r="E998" s="157"/>
      <c r="F998" s="157"/>
      <c r="G998" s="3"/>
      <c r="H998" s="156"/>
      <c r="I998" s="156"/>
      <c r="J998" s="156"/>
      <c r="K998" s="165"/>
      <c r="L998" s="165"/>
      <c r="M998" s="1"/>
      <c r="N998" s="164"/>
      <c r="O998" s="1"/>
      <c r="P998" s="153"/>
      <c r="Q998" s="39"/>
      <c r="R998" s="39"/>
      <c r="S998" s="39"/>
      <c r="T998" s="154"/>
      <c r="U998" s="40"/>
    </row>
    <row r="999" spans="1:21" ht="20" customHeight="1" x14ac:dyDescent="0.15">
      <c r="A999" s="284" t="s">
        <v>6895</v>
      </c>
      <c r="B999" s="157"/>
      <c r="C999" s="157"/>
      <c r="D999" s="157"/>
      <c r="E999" s="157"/>
      <c r="F999" s="157"/>
      <c r="G999" s="3"/>
      <c r="H999" s="156"/>
      <c r="I999" s="156"/>
      <c r="J999" s="156"/>
      <c r="K999" s="165"/>
      <c r="L999" s="165"/>
      <c r="M999" s="1"/>
      <c r="N999" s="164"/>
      <c r="O999" s="1"/>
      <c r="P999" s="153"/>
      <c r="Q999" s="39"/>
      <c r="R999" s="39"/>
      <c r="S999" s="39"/>
      <c r="T999" s="154"/>
      <c r="U999" s="40"/>
    </row>
    <row r="1000" spans="1:21" ht="20" customHeight="1" x14ac:dyDescent="0.15">
      <c r="A1000" s="284" t="s">
        <v>6896</v>
      </c>
      <c r="B1000" s="157"/>
      <c r="C1000" s="157"/>
      <c r="D1000" s="157"/>
      <c r="E1000" s="157"/>
      <c r="F1000" s="157"/>
      <c r="G1000" s="3"/>
      <c r="H1000" s="156"/>
      <c r="I1000" s="156"/>
      <c r="J1000" s="156"/>
      <c r="K1000" s="165"/>
      <c r="L1000" s="165"/>
      <c r="M1000" s="1"/>
      <c r="N1000" s="164"/>
      <c r="O1000" s="1"/>
      <c r="P1000" s="153"/>
      <c r="Q1000" s="39"/>
      <c r="R1000" s="39"/>
      <c r="S1000" s="39"/>
      <c r="T1000" s="154"/>
      <c r="U1000" s="40"/>
    </row>
    <row r="1001" spans="1:21" ht="20" customHeight="1" x14ac:dyDescent="0.15">
      <c r="A1001" s="284" t="s">
        <v>6897</v>
      </c>
      <c r="B1001" s="157"/>
      <c r="C1001" s="157"/>
      <c r="D1001" s="157"/>
      <c r="E1001" s="157"/>
      <c r="F1001" s="157"/>
      <c r="G1001" s="3"/>
      <c r="H1001" s="156"/>
      <c r="I1001" s="156"/>
      <c r="J1001" s="156"/>
      <c r="K1001" s="165"/>
      <c r="L1001" s="165"/>
      <c r="M1001" s="1"/>
      <c r="N1001" s="164"/>
      <c r="O1001" s="1"/>
      <c r="P1001" s="153"/>
      <c r="Q1001" s="39"/>
      <c r="R1001" s="39"/>
      <c r="S1001" s="39"/>
      <c r="T1001" s="154"/>
      <c r="U1001" s="40"/>
    </row>
    <row r="1002" spans="1:21" ht="20" customHeight="1" x14ac:dyDescent="0.15">
      <c r="A1002" s="284" t="s">
        <v>6898</v>
      </c>
      <c r="B1002" s="157"/>
      <c r="C1002" s="157"/>
      <c r="D1002" s="157"/>
      <c r="E1002" s="157"/>
      <c r="F1002" s="157"/>
      <c r="G1002" s="3"/>
      <c r="H1002" s="156"/>
      <c r="I1002" s="156"/>
      <c r="J1002" s="156"/>
      <c r="K1002" s="165"/>
      <c r="L1002" s="165"/>
      <c r="M1002" s="1"/>
      <c r="N1002" s="164"/>
      <c r="O1002" s="1"/>
      <c r="P1002" s="153"/>
      <c r="Q1002" s="39"/>
      <c r="R1002" s="39"/>
      <c r="S1002" s="39"/>
      <c r="T1002" s="154"/>
      <c r="U1002" s="40"/>
    </row>
    <row r="1003" spans="1:21" ht="20" customHeight="1" x14ac:dyDescent="0.15">
      <c r="A1003" s="284" t="s">
        <v>6899</v>
      </c>
      <c r="B1003" s="157"/>
      <c r="C1003" s="157"/>
      <c r="D1003" s="157"/>
      <c r="E1003" s="157"/>
      <c r="F1003" s="157"/>
      <c r="G1003" s="3"/>
      <c r="H1003" s="156"/>
      <c r="I1003" s="156"/>
      <c r="J1003" s="156"/>
      <c r="K1003" s="165"/>
      <c r="L1003" s="165"/>
      <c r="M1003" s="1"/>
      <c r="N1003" s="164"/>
      <c r="O1003" s="1"/>
      <c r="P1003" s="153"/>
      <c r="Q1003" s="39"/>
      <c r="R1003" s="39"/>
      <c r="S1003" s="39"/>
      <c r="T1003" s="154"/>
      <c r="U1003" s="40"/>
    </row>
    <row r="1004" spans="1:21" ht="20" customHeight="1" x14ac:dyDescent="0.15">
      <c r="A1004" s="284" t="s">
        <v>6900</v>
      </c>
      <c r="B1004" s="157"/>
      <c r="C1004" s="157"/>
      <c r="D1004" s="157"/>
      <c r="E1004" s="157"/>
      <c r="F1004" s="157"/>
      <c r="G1004" s="3"/>
      <c r="H1004" s="156"/>
      <c r="I1004" s="156"/>
      <c r="J1004" s="156"/>
      <c r="K1004" s="165"/>
      <c r="L1004" s="165"/>
      <c r="M1004" s="1"/>
      <c r="N1004" s="164"/>
      <c r="O1004" s="1"/>
      <c r="P1004" s="153"/>
      <c r="Q1004" s="39"/>
      <c r="R1004" s="39"/>
      <c r="S1004" s="39"/>
      <c r="T1004" s="154"/>
      <c r="U1004" s="40"/>
    </row>
    <row r="1005" spans="1:21" ht="20" customHeight="1" x14ac:dyDescent="0.15">
      <c r="A1005" s="284" t="s">
        <v>6901</v>
      </c>
      <c r="B1005" s="157"/>
      <c r="C1005" s="157"/>
      <c r="D1005" s="157"/>
      <c r="E1005" s="157"/>
      <c r="F1005" s="157"/>
      <c r="G1005" s="3"/>
      <c r="H1005" s="156"/>
      <c r="I1005" s="156"/>
      <c r="J1005" s="156"/>
      <c r="K1005" s="165"/>
      <c r="L1005" s="165"/>
      <c r="M1005" s="1"/>
      <c r="N1005" s="164"/>
      <c r="O1005" s="1"/>
      <c r="P1005" s="153"/>
      <c r="Q1005" s="39"/>
      <c r="R1005" s="39"/>
      <c r="S1005" s="39"/>
      <c r="T1005" s="154"/>
      <c r="U1005" s="40"/>
    </row>
    <row r="1006" spans="1:21" ht="20" customHeight="1" x14ac:dyDescent="0.15">
      <c r="A1006" s="284" t="s">
        <v>6902</v>
      </c>
      <c r="B1006" s="157"/>
      <c r="C1006" s="157"/>
      <c r="D1006" s="157"/>
      <c r="E1006" s="157"/>
      <c r="F1006" s="157"/>
      <c r="G1006" s="3"/>
      <c r="H1006" s="156"/>
      <c r="I1006" s="156"/>
      <c r="J1006" s="156"/>
      <c r="K1006" s="165"/>
      <c r="L1006" s="165"/>
      <c r="M1006" s="1"/>
      <c r="N1006" s="164"/>
      <c r="O1006" s="1"/>
      <c r="P1006" s="153"/>
      <c r="Q1006" s="39"/>
      <c r="R1006" s="39"/>
      <c r="S1006" s="39"/>
      <c r="T1006" s="154"/>
      <c r="U1006" s="40"/>
    </row>
    <row r="1007" spans="1:21" ht="20" customHeight="1" x14ac:dyDescent="0.15">
      <c r="A1007" s="284" t="s">
        <v>6903</v>
      </c>
      <c r="B1007" s="157"/>
      <c r="C1007" s="157"/>
      <c r="D1007" s="157"/>
      <c r="E1007" s="157"/>
      <c r="F1007" s="157"/>
      <c r="G1007" s="3"/>
      <c r="H1007" s="156"/>
      <c r="I1007" s="156"/>
      <c r="J1007" s="156"/>
      <c r="K1007" s="165"/>
      <c r="L1007" s="165"/>
      <c r="M1007" s="1"/>
      <c r="N1007" s="164"/>
      <c r="O1007" s="1"/>
      <c r="P1007" s="153"/>
      <c r="Q1007" s="39"/>
      <c r="R1007" s="39"/>
      <c r="S1007" s="39"/>
      <c r="T1007" s="154"/>
      <c r="U1007" s="40"/>
    </row>
    <row r="1008" spans="1:21" ht="20" customHeight="1" x14ac:dyDescent="0.15">
      <c r="A1008" s="284" t="s">
        <v>6904</v>
      </c>
      <c r="B1008" s="157"/>
      <c r="C1008" s="157"/>
      <c r="D1008" s="157"/>
      <c r="E1008" s="157"/>
      <c r="F1008" s="157"/>
      <c r="G1008" s="3"/>
      <c r="H1008" s="156"/>
      <c r="I1008" s="156"/>
      <c r="J1008" s="156"/>
      <c r="K1008" s="165"/>
      <c r="L1008" s="165"/>
      <c r="M1008" s="1"/>
      <c r="N1008" s="164"/>
      <c r="O1008" s="1"/>
      <c r="P1008" s="153"/>
      <c r="Q1008" s="39"/>
      <c r="R1008" s="39"/>
      <c r="S1008" s="39"/>
      <c r="T1008" s="154"/>
      <c r="U1008" s="40"/>
    </row>
    <row r="1009" spans="1:21" ht="20" customHeight="1" x14ac:dyDescent="0.15">
      <c r="A1009" s="284" t="s">
        <v>6905</v>
      </c>
      <c r="B1009" s="157"/>
      <c r="C1009" s="157"/>
      <c r="D1009" s="157"/>
      <c r="E1009" s="157"/>
      <c r="F1009" s="157"/>
      <c r="G1009" s="3"/>
      <c r="H1009" s="156"/>
      <c r="I1009" s="156"/>
      <c r="J1009" s="156"/>
      <c r="K1009" s="165"/>
      <c r="L1009" s="165"/>
      <c r="M1009" s="1"/>
      <c r="N1009" s="164"/>
      <c r="O1009" s="1"/>
      <c r="P1009" s="153"/>
      <c r="Q1009" s="39"/>
      <c r="R1009" s="39"/>
      <c r="S1009" s="39"/>
      <c r="T1009" s="154"/>
      <c r="U1009" s="40"/>
    </row>
    <row r="1010" spans="1:21" ht="20" customHeight="1" x14ac:dyDescent="0.15">
      <c r="A1010" s="284" t="s">
        <v>6906</v>
      </c>
      <c r="B1010" s="157"/>
      <c r="C1010" s="157"/>
      <c r="D1010" s="157"/>
      <c r="E1010" s="157"/>
      <c r="F1010" s="157"/>
      <c r="G1010" s="3"/>
      <c r="H1010" s="156"/>
      <c r="I1010" s="156"/>
      <c r="J1010" s="156"/>
      <c r="K1010" s="165"/>
      <c r="L1010" s="165"/>
      <c r="M1010" s="1"/>
      <c r="N1010" s="164"/>
      <c r="O1010" s="1"/>
      <c r="P1010" s="153"/>
      <c r="Q1010" s="39"/>
      <c r="R1010" s="39"/>
      <c r="S1010" s="39"/>
      <c r="T1010" s="154"/>
      <c r="U1010" s="40"/>
    </row>
    <row r="1011" spans="1:21" ht="20" customHeight="1" x14ac:dyDescent="0.15">
      <c r="A1011" s="284" t="s">
        <v>6907</v>
      </c>
      <c r="B1011" s="157"/>
      <c r="C1011" s="157"/>
      <c r="D1011" s="157"/>
      <c r="E1011" s="157"/>
      <c r="F1011" s="157"/>
      <c r="G1011" s="3"/>
      <c r="H1011" s="156"/>
      <c r="I1011" s="156"/>
      <c r="J1011" s="156"/>
      <c r="K1011" s="165"/>
      <c r="L1011" s="165"/>
      <c r="M1011" s="1"/>
      <c r="N1011" s="164"/>
      <c r="O1011" s="1"/>
      <c r="P1011" s="153"/>
      <c r="Q1011" s="39"/>
      <c r="R1011" s="39"/>
      <c r="S1011" s="39"/>
      <c r="T1011" s="154"/>
      <c r="U1011" s="40"/>
    </row>
    <row r="1012" spans="1:21" ht="20" customHeight="1" x14ac:dyDescent="0.15">
      <c r="A1012" s="284" t="s">
        <v>6908</v>
      </c>
      <c r="B1012" s="157"/>
      <c r="C1012" s="157"/>
      <c r="D1012" s="157"/>
      <c r="E1012" s="157"/>
      <c r="F1012" s="157"/>
      <c r="G1012" s="3"/>
      <c r="H1012" s="156"/>
      <c r="I1012" s="156"/>
      <c r="J1012" s="156"/>
      <c r="K1012" s="165"/>
      <c r="L1012" s="165"/>
      <c r="M1012" s="1"/>
      <c r="N1012" s="164"/>
      <c r="O1012" s="1"/>
      <c r="P1012" s="153"/>
      <c r="Q1012" s="39"/>
      <c r="R1012" s="39"/>
      <c r="S1012" s="39"/>
      <c r="T1012" s="154"/>
      <c r="U1012" s="40"/>
    </row>
    <row r="1013" spans="1:21" ht="20" customHeight="1" x14ac:dyDescent="0.15">
      <c r="A1013" s="284" t="s">
        <v>6909</v>
      </c>
      <c r="B1013" s="157"/>
      <c r="C1013" s="157"/>
      <c r="D1013" s="157"/>
      <c r="E1013" s="157"/>
      <c r="F1013" s="157"/>
      <c r="G1013" s="3"/>
      <c r="H1013" s="156"/>
      <c r="I1013" s="156"/>
      <c r="J1013" s="156"/>
      <c r="K1013" s="165"/>
      <c r="L1013" s="165"/>
      <c r="M1013" s="1"/>
      <c r="N1013" s="164"/>
      <c r="O1013" s="1"/>
      <c r="P1013" s="153"/>
      <c r="Q1013" s="39"/>
      <c r="R1013" s="39"/>
      <c r="S1013" s="39"/>
      <c r="T1013" s="154"/>
      <c r="U1013" s="40"/>
    </row>
    <row r="1014" spans="1:21" ht="20" customHeight="1" x14ac:dyDescent="0.15">
      <c r="A1014" s="284" t="s">
        <v>6910</v>
      </c>
      <c r="B1014" s="157"/>
      <c r="C1014" s="157"/>
      <c r="D1014" s="157"/>
      <c r="E1014" s="157"/>
      <c r="F1014" s="157"/>
      <c r="G1014" s="3"/>
      <c r="H1014" s="156"/>
      <c r="I1014" s="156"/>
      <c r="J1014" s="156"/>
      <c r="K1014" s="165"/>
      <c r="L1014" s="165"/>
      <c r="M1014" s="1"/>
      <c r="N1014" s="164"/>
      <c r="O1014" s="1"/>
      <c r="P1014" s="153"/>
      <c r="Q1014" s="39"/>
      <c r="R1014" s="39"/>
      <c r="S1014" s="39"/>
      <c r="T1014" s="154"/>
      <c r="U1014" s="40"/>
    </row>
    <row r="1015" spans="1:21" ht="20" customHeight="1" x14ac:dyDescent="0.15">
      <c r="A1015" s="284" t="s">
        <v>6911</v>
      </c>
      <c r="B1015" s="157"/>
      <c r="C1015" s="157"/>
      <c r="D1015" s="157"/>
      <c r="E1015" s="157"/>
      <c r="F1015" s="157"/>
      <c r="G1015" s="3"/>
      <c r="H1015" s="156"/>
      <c r="I1015" s="156"/>
      <c r="J1015" s="156"/>
      <c r="K1015" s="165"/>
      <c r="L1015" s="165"/>
      <c r="M1015" s="1"/>
      <c r="N1015" s="164"/>
      <c r="O1015" s="1"/>
      <c r="P1015" s="153"/>
      <c r="Q1015" s="39"/>
      <c r="R1015" s="39"/>
      <c r="S1015" s="39"/>
      <c r="T1015" s="154"/>
      <c r="U1015" s="40"/>
    </row>
    <row r="1016" spans="1:21" ht="20" customHeight="1" x14ac:dyDescent="0.15">
      <c r="A1016" s="284" t="s">
        <v>6912</v>
      </c>
      <c r="B1016" s="157"/>
      <c r="C1016" s="157"/>
      <c r="D1016" s="157"/>
      <c r="E1016" s="157"/>
      <c r="F1016" s="157"/>
      <c r="G1016" s="3"/>
      <c r="H1016" s="156"/>
      <c r="I1016" s="156"/>
      <c r="J1016" s="156"/>
      <c r="K1016" s="165"/>
      <c r="L1016" s="165"/>
      <c r="M1016" s="1"/>
      <c r="N1016" s="164"/>
      <c r="O1016" s="1"/>
      <c r="P1016" s="153"/>
      <c r="Q1016" s="39"/>
      <c r="R1016" s="39"/>
      <c r="S1016" s="39"/>
      <c r="T1016" s="154"/>
      <c r="U1016" s="40"/>
    </row>
    <row r="1017" spans="1:21" ht="20" customHeight="1" x14ac:dyDescent="0.15">
      <c r="A1017" s="284" t="s">
        <v>6913</v>
      </c>
      <c r="B1017" s="157"/>
      <c r="C1017" s="157"/>
      <c r="D1017" s="157"/>
      <c r="E1017" s="157"/>
      <c r="F1017" s="157"/>
      <c r="G1017" s="3"/>
      <c r="H1017" s="156"/>
      <c r="I1017" s="156"/>
      <c r="J1017" s="156"/>
      <c r="K1017" s="165"/>
      <c r="L1017" s="165"/>
      <c r="M1017" s="1"/>
      <c r="N1017" s="164"/>
      <c r="O1017" s="1"/>
      <c r="P1017" s="153"/>
      <c r="Q1017" s="39"/>
      <c r="R1017" s="39"/>
      <c r="S1017" s="39"/>
      <c r="T1017" s="154"/>
      <c r="U1017" s="40"/>
    </row>
    <row r="1018" spans="1:21" ht="20" customHeight="1" x14ac:dyDescent="0.15">
      <c r="A1018" s="284" t="s">
        <v>6914</v>
      </c>
      <c r="B1018" s="157"/>
      <c r="C1018" s="157"/>
      <c r="D1018" s="157"/>
      <c r="E1018" s="157"/>
      <c r="F1018" s="157"/>
      <c r="G1018" s="3"/>
      <c r="H1018" s="156"/>
      <c r="I1018" s="156"/>
      <c r="J1018" s="156"/>
      <c r="K1018" s="165"/>
      <c r="L1018" s="165"/>
      <c r="M1018" s="1"/>
      <c r="N1018" s="164"/>
      <c r="O1018" s="1"/>
      <c r="P1018" s="153"/>
      <c r="Q1018" s="39"/>
      <c r="R1018" s="39"/>
      <c r="S1018" s="39"/>
      <c r="T1018" s="154"/>
      <c r="U1018" s="40"/>
    </row>
    <row r="1019" spans="1:21" ht="20" customHeight="1" x14ac:dyDescent="0.15">
      <c r="A1019" s="284" t="s">
        <v>6915</v>
      </c>
      <c r="B1019" s="157"/>
      <c r="C1019" s="157"/>
      <c r="D1019" s="157"/>
      <c r="E1019" s="157"/>
      <c r="F1019" s="157"/>
      <c r="G1019" s="3"/>
      <c r="H1019" s="156"/>
      <c r="I1019" s="156"/>
      <c r="J1019" s="156"/>
      <c r="K1019" s="165"/>
      <c r="L1019" s="165"/>
      <c r="M1019" s="1"/>
      <c r="N1019" s="164"/>
      <c r="O1019" s="1"/>
      <c r="P1019" s="153"/>
      <c r="Q1019" s="39"/>
      <c r="R1019" s="39"/>
      <c r="S1019" s="39"/>
      <c r="T1019" s="154"/>
      <c r="U1019" s="40"/>
    </row>
    <row r="1020" spans="1:21" ht="20" customHeight="1" x14ac:dyDescent="0.15">
      <c r="A1020" s="284" t="s">
        <v>6916</v>
      </c>
      <c r="B1020" s="157"/>
      <c r="C1020" s="157"/>
      <c r="D1020" s="157"/>
      <c r="E1020" s="157"/>
      <c r="F1020" s="157"/>
      <c r="G1020" s="3"/>
      <c r="H1020" s="156"/>
      <c r="I1020" s="156"/>
      <c r="J1020" s="156"/>
      <c r="K1020" s="165"/>
      <c r="L1020" s="165"/>
      <c r="M1020" s="1"/>
      <c r="N1020" s="164"/>
      <c r="O1020" s="1"/>
      <c r="P1020" s="153"/>
      <c r="Q1020" s="39"/>
      <c r="R1020" s="39"/>
      <c r="S1020" s="39"/>
      <c r="T1020" s="154"/>
      <c r="U1020" s="40"/>
    </row>
    <row r="1021" spans="1:21" ht="20" customHeight="1" x14ac:dyDescent="0.15">
      <c r="A1021" s="284" t="s">
        <v>6917</v>
      </c>
      <c r="B1021" s="157"/>
      <c r="C1021" s="157"/>
      <c r="D1021" s="157"/>
      <c r="E1021" s="157"/>
      <c r="F1021" s="157"/>
      <c r="G1021" s="3"/>
      <c r="H1021" s="156"/>
      <c r="I1021" s="156"/>
      <c r="J1021" s="156"/>
      <c r="K1021" s="165"/>
      <c r="L1021" s="165"/>
      <c r="M1021" s="1"/>
      <c r="N1021" s="164"/>
      <c r="O1021" s="1"/>
      <c r="P1021" s="153"/>
      <c r="Q1021" s="39"/>
      <c r="R1021" s="39"/>
      <c r="S1021" s="39"/>
      <c r="T1021" s="154"/>
      <c r="U1021" s="40"/>
    </row>
    <row r="1022" spans="1:21" ht="20" customHeight="1" x14ac:dyDescent="0.15">
      <c r="A1022" s="284" t="s">
        <v>6918</v>
      </c>
      <c r="B1022" s="157"/>
      <c r="C1022" s="157"/>
      <c r="D1022" s="157"/>
      <c r="E1022" s="157"/>
      <c r="F1022" s="157"/>
      <c r="G1022" s="3"/>
      <c r="H1022" s="156"/>
      <c r="I1022" s="156"/>
      <c r="J1022" s="156"/>
      <c r="K1022" s="165"/>
      <c r="L1022" s="165"/>
      <c r="M1022" s="1"/>
      <c r="N1022" s="164"/>
      <c r="O1022" s="1"/>
      <c r="P1022" s="153"/>
      <c r="Q1022" s="39"/>
      <c r="R1022" s="39"/>
      <c r="S1022" s="39"/>
      <c r="T1022" s="154"/>
      <c r="U1022" s="40"/>
    </row>
    <row r="1023" spans="1:21" ht="20" customHeight="1" x14ac:dyDescent="0.15">
      <c r="A1023" s="284" t="s">
        <v>6919</v>
      </c>
      <c r="B1023" s="157"/>
      <c r="C1023" s="157"/>
      <c r="D1023" s="157"/>
      <c r="E1023" s="157"/>
      <c r="F1023" s="157"/>
      <c r="G1023" s="3"/>
      <c r="H1023" s="156"/>
      <c r="I1023" s="156"/>
      <c r="J1023" s="156"/>
      <c r="K1023" s="165"/>
      <c r="L1023" s="165"/>
      <c r="M1023" s="1"/>
      <c r="N1023" s="164"/>
      <c r="O1023" s="1"/>
      <c r="P1023" s="153"/>
      <c r="Q1023" s="39"/>
      <c r="R1023" s="39"/>
      <c r="S1023" s="39"/>
      <c r="T1023" s="154"/>
      <c r="U1023" s="40"/>
    </row>
    <row r="1024" spans="1:21" ht="20" customHeight="1" x14ac:dyDescent="0.15">
      <c r="A1024" s="284" t="s">
        <v>6920</v>
      </c>
      <c r="B1024" s="157"/>
      <c r="C1024" s="157"/>
      <c r="D1024" s="157"/>
      <c r="E1024" s="157"/>
      <c r="F1024" s="157"/>
      <c r="G1024" s="3"/>
      <c r="H1024" s="156"/>
      <c r="I1024" s="156"/>
      <c r="J1024" s="156"/>
      <c r="K1024" s="165"/>
      <c r="L1024" s="165"/>
      <c r="M1024" s="1"/>
      <c r="N1024" s="164"/>
      <c r="O1024" s="1"/>
      <c r="P1024" s="153"/>
      <c r="Q1024" s="39"/>
      <c r="R1024" s="39"/>
      <c r="S1024" s="39"/>
      <c r="T1024" s="154"/>
      <c r="U1024" s="40"/>
    </row>
    <row r="1025" spans="1:21" ht="20" customHeight="1" x14ac:dyDescent="0.15">
      <c r="A1025" s="284" t="s">
        <v>6921</v>
      </c>
      <c r="B1025" s="157"/>
      <c r="C1025" s="157"/>
      <c r="D1025" s="157"/>
      <c r="E1025" s="157"/>
      <c r="F1025" s="157"/>
      <c r="G1025" s="3"/>
      <c r="H1025" s="156"/>
      <c r="I1025" s="156"/>
      <c r="J1025" s="156"/>
      <c r="K1025" s="165"/>
      <c r="L1025" s="165"/>
      <c r="M1025" s="1"/>
      <c r="N1025" s="164"/>
      <c r="O1025" s="1"/>
      <c r="P1025" s="153"/>
      <c r="Q1025" s="39"/>
      <c r="R1025" s="39"/>
      <c r="S1025" s="39"/>
      <c r="T1025" s="154"/>
      <c r="U1025" s="40"/>
    </row>
    <row r="1026" spans="1:21" ht="20" customHeight="1" x14ac:dyDescent="0.15">
      <c r="A1026" s="284" t="s">
        <v>6922</v>
      </c>
      <c r="B1026" s="157"/>
      <c r="C1026" s="157"/>
      <c r="D1026" s="157"/>
      <c r="E1026" s="157"/>
      <c r="F1026" s="157"/>
      <c r="G1026" s="3"/>
      <c r="H1026" s="156"/>
      <c r="I1026" s="156"/>
      <c r="J1026" s="156"/>
      <c r="K1026" s="165"/>
      <c r="L1026" s="165"/>
      <c r="M1026" s="1"/>
      <c r="N1026" s="164"/>
      <c r="O1026" s="1"/>
      <c r="P1026" s="153"/>
      <c r="Q1026" s="39"/>
      <c r="R1026" s="39"/>
      <c r="S1026" s="39"/>
      <c r="T1026" s="154"/>
      <c r="U1026" s="40"/>
    </row>
    <row r="1027" spans="1:21" ht="20" customHeight="1" x14ac:dyDescent="0.15">
      <c r="A1027" s="284" t="s">
        <v>6923</v>
      </c>
      <c r="B1027" s="157"/>
      <c r="C1027" s="157"/>
      <c r="D1027" s="157"/>
      <c r="E1027" s="157"/>
      <c r="F1027" s="157"/>
      <c r="G1027" s="3"/>
      <c r="H1027" s="156"/>
      <c r="I1027" s="156"/>
      <c r="J1027" s="156"/>
      <c r="K1027" s="165"/>
      <c r="L1027" s="165"/>
      <c r="M1027" s="1"/>
      <c r="N1027" s="164"/>
      <c r="O1027" s="1"/>
      <c r="P1027" s="153"/>
      <c r="Q1027" s="39"/>
      <c r="R1027" s="39"/>
      <c r="S1027" s="39"/>
      <c r="T1027" s="154"/>
      <c r="U1027" s="40"/>
    </row>
    <row r="1028" spans="1:21" ht="20" customHeight="1" x14ac:dyDescent="0.15">
      <c r="A1028" s="284" t="s">
        <v>6924</v>
      </c>
      <c r="B1028" s="157"/>
      <c r="C1028" s="157"/>
      <c r="D1028" s="157"/>
      <c r="E1028" s="157"/>
      <c r="F1028" s="157"/>
      <c r="G1028" s="3"/>
      <c r="H1028" s="156"/>
      <c r="I1028" s="156"/>
      <c r="J1028" s="156"/>
      <c r="K1028" s="165"/>
      <c r="L1028" s="165"/>
      <c r="M1028" s="1"/>
      <c r="N1028" s="164"/>
      <c r="O1028" s="1"/>
      <c r="P1028" s="153"/>
      <c r="Q1028" s="39"/>
      <c r="R1028" s="39"/>
      <c r="S1028" s="39"/>
      <c r="T1028" s="154"/>
      <c r="U1028" s="40"/>
    </row>
    <row r="1029" spans="1:21" ht="20" customHeight="1" x14ac:dyDescent="0.15">
      <c r="A1029" s="284" t="s">
        <v>6925</v>
      </c>
      <c r="B1029" s="157"/>
      <c r="C1029" s="157"/>
      <c r="D1029" s="157"/>
      <c r="E1029" s="157"/>
      <c r="F1029" s="157"/>
      <c r="G1029" s="3"/>
      <c r="H1029" s="156"/>
      <c r="I1029" s="156"/>
      <c r="J1029" s="156"/>
      <c r="K1029" s="165"/>
      <c r="L1029" s="165"/>
      <c r="M1029" s="1"/>
      <c r="N1029" s="164"/>
      <c r="O1029" s="1"/>
      <c r="P1029" s="153"/>
      <c r="Q1029" s="39"/>
      <c r="R1029" s="39"/>
      <c r="S1029" s="39"/>
      <c r="T1029" s="154"/>
      <c r="U1029" s="40"/>
    </row>
    <row r="1030" spans="1:21" ht="20" customHeight="1" x14ac:dyDescent="0.15">
      <c r="A1030" s="284" t="s">
        <v>6926</v>
      </c>
      <c r="B1030" s="157"/>
      <c r="C1030" s="157"/>
      <c r="D1030" s="157"/>
      <c r="E1030" s="157"/>
      <c r="F1030" s="157"/>
      <c r="G1030" s="3"/>
      <c r="H1030" s="156"/>
      <c r="I1030" s="156"/>
      <c r="J1030" s="156"/>
      <c r="K1030" s="165"/>
      <c r="L1030" s="165"/>
      <c r="M1030" s="1"/>
      <c r="N1030" s="164"/>
      <c r="O1030" s="1"/>
      <c r="P1030" s="153"/>
      <c r="Q1030" s="39"/>
      <c r="R1030" s="39"/>
      <c r="S1030" s="39"/>
      <c r="T1030" s="154"/>
      <c r="U1030" s="40"/>
    </row>
    <row r="1031" spans="1:21" ht="20" customHeight="1" x14ac:dyDescent="0.15">
      <c r="A1031" s="284" t="s">
        <v>6927</v>
      </c>
      <c r="B1031" s="157"/>
      <c r="C1031" s="157"/>
      <c r="D1031" s="157"/>
      <c r="E1031" s="157"/>
      <c r="F1031" s="157"/>
      <c r="G1031" s="3"/>
      <c r="H1031" s="156"/>
      <c r="I1031" s="156"/>
      <c r="J1031" s="156"/>
      <c r="K1031" s="165"/>
      <c r="L1031" s="165"/>
      <c r="M1031" s="1"/>
      <c r="N1031" s="164"/>
      <c r="O1031" s="1"/>
      <c r="P1031" s="153"/>
      <c r="Q1031" s="39"/>
      <c r="R1031" s="39"/>
      <c r="S1031" s="39"/>
      <c r="T1031" s="154"/>
      <c r="U1031" s="40"/>
    </row>
    <row r="1032" spans="1:21" ht="20" customHeight="1" x14ac:dyDescent="0.15">
      <c r="A1032" s="284" t="s">
        <v>6928</v>
      </c>
      <c r="B1032" s="157"/>
      <c r="C1032" s="157"/>
      <c r="D1032" s="157"/>
      <c r="E1032" s="157"/>
      <c r="F1032" s="157"/>
      <c r="G1032" s="3"/>
      <c r="H1032" s="156"/>
      <c r="I1032" s="156"/>
      <c r="J1032" s="156"/>
      <c r="K1032" s="165"/>
      <c r="L1032" s="165"/>
      <c r="M1032" s="1"/>
      <c r="N1032" s="164"/>
      <c r="O1032" s="1"/>
      <c r="P1032" s="153"/>
      <c r="Q1032" s="39"/>
      <c r="R1032" s="39"/>
      <c r="S1032" s="39"/>
      <c r="T1032" s="154"/>
      <c r="U1032" s="40"/>
    </row>
    <row r="1033" spans="1:21" ht="20" customHeight="1" x14ac:dyDescent="0.15">
      <c r="A1033" s="284" t="s">
        <v>6929</v>
      </c>
      <c r="B1033" s="157"/>
      <c r="C1033" s="157"/>
      <c r="D1033" s="157"/>
      <c r="E1033" s="157"/>
      <c r="F1033" s="157"/>
      <c r="G1033" s="3"/>
      <c r="H1033" s="156"/>
      <c r="I1033" s="156"/>
      <c r="J1033" s="156"/>
      <c r="K1033" s="165"/>
      <c r="L1033" s="165"/>
      <c r="M1033" s="1"/>
      <c r="N1033" s="164"/>
      <c r="O1033" s="1"/>
      <c r="P1033" s="153"/>
      <c r="Q1033" s="39"/>
      <c r="R1033" s="39"/>
      <c r="S1033" s="39"/>
      <c r="T1033" s="154"/>
      <c r="U1033" s="40"/>
    </row>
    <row r="1034" spans="1:21" ht="20" customHeight="1" x14ac:dyDescent="0.15">
      <c r="A1034" s="284" t="s">
        <v>6930</v>
      </c>
      <c r="B1034" s="157"/>
      <c r="C1034" s="157"/>
      <c r="D1034" s="157"/>
      <c r="E1034" s="157"/>
      <c r="F1034" s="157"/>
      <c r="G1034" s="3"/>
      <c r="H1034" s="156"/>
      <c r="I1034" s="156"/>
      <c r="J1034" s="156"/>
      <c r="K1034" s="165"/>
      <c r="L1034" s="165"/>
      <c r="M1034" s="1"/>
      <c r="N1034" s="164"/>
      <c r="O1034" s="1"/>
      <c r="P1034" s="153"/>
      <c r="Q1034" s="39"/>
      <c r="R1034" s="39"/>
      <c r="S1034" s="39"/>
      <c r="T1034" s="154"/>
      <c r="U1034" s="40"/>
    </row>
    <row r="1035" spans="1:21" ht="20" customHeight="1" x14ac:dyDescent="0.15">
      <c r="A1035" s="284" t="s">
        <v>6931</v>
      </c>
      <c r="B1035" s="157"/>
      <c r="C1035" s="157"/>
      <c r="D1035" s="157"/>
      <c r="E1035" s="157"/>
      <c r="F1035" s="157"/>
      <c r="G1035" s="3"/>
      <c r="H1035" s="156"/>
      <c r="I1035" s="156"/>
      <c r="J1035" s="156"/>
      <c r="K1035" s="165"/>
      <c r="L1035" s="165"/>
      <c r="M1035" s="1"/>
      <c r="N1035" s="164"/>
      <c r="O1035" s="1"/>
      <c r="P1035" s="153"/>
      <c r="Q1035" s="39"/>
      <c r="R1035" s="39"/>
      <c r="S1035" s="39"/>
      <c r="T1035" s="154"/>
      <c r="U1035" s="40"/>
    </row>
    <row r="1036" spans="1:21" ht="20" customHeight="1" x14ac:dyDescent="0.15">
      <c r="A1036" s="284" t="s">
        <v>6932</v>
      </c>
      <c r="B1036" s="157"/>
      <c r="C1036" s="157"/>
      <c r="D1036" s="157"/>
      <c r="E1036" s="157"/>
      <c r="F1036" s="157"/>
      <c r="G1036" s="3"/>
      <c r="H1036" s="156"/>
      <c r="I1036" s="156"/>
      <c r="J1036" s="156"/>
      <c r="K1036" s="165"/>
      <c r="L1036" s="165"/>
      <c r="M1036" s="1"/>
      <c r="N1036" s="164"/>
      <c r="O1036" s="1"/>
      <c r="P1036" s="153"/>
      <c r="Q1036" s="39"/>
      <c r="R1036" s="39"/>
      <c r="S1036" s="39"/>
      <c r="T1036" s="154"/>
      <c r="U1036" s="40"/>
    </row>
    <row r="1037" spans="1:21" ht="20" customHeight="1" x14ac:dyDescent="0.15">
      <c r="A1037" s="284" t="s">
        <v>6933</v>
      </c>
      <c r="B1037" s="157"/>
      <c r="C1037" s="157"/>
      <c r="D1037" s="157"/>
      <c r="E1037" s="157"/>
      <c r="F1037" s="157"/>
      <c r="G1037" s="3"/>
      <c r="H1037" s="156"/>
      <c r="I1037" s="156"/>
      <c r="J1037" s="156"/>
      <c r="K1037" s="165"/>
      <c r="L1037" s="165"/>
      <c r="M1037" s="1"/>
      <c r="N1037" s="164"/>
      <c r="O1037" s="1"/>
      <c r="P1037" s="153"/>
      <c r="Q1037" s="39"/>
      <c r="R1037" s="39"/>
      <c r="S1037" s="39"/>
      <c r="T1037" s="154"/>
      <c r="U1037" s="40"/>
    </row>
    <row r="1038" spans="1:21" ht="20" customHeight="1" x14ac:dyDescent="0.15">
      <c r="A1038" s="284" t="s">
        <v>6934</v>
      </c>
      <c r="B1038" s="157"/>
      <c r="C1038" s="157"/>
      <c r="D1038" s="157"/>
      <c r="E1038" s="157"/>
      <c r="F1038" s="157"/>
      <c r="G1038" s="3"/>
      <c r="H1038" s="156"/>
      <c r="I1038" s="156"/>
      <c r="J1038" s="156"/>
      <c r="K1038" s="165"/>
      <c r="L1038" s="165"/>
      <c r="M1038" s="1"/>
      <c r="N1038" s="164"/>
      <c r="O1038" s="1"/>
      <c r="P1038" s="153"/>
      <c r="Q1038" s="39"/>
      <c r="R1038" s="39"/>
      <c r="S1038" s="39"/>
      <c r="T1038" s="154"/>
      <c r="U1038" s="40"/>
    </row>
    <row r="1039" spans="1:21" ht="20" customHeight="1" x14ac:dyDescent="0.15">
      <c r="A1039" s="284" t="s">
        <v>6935</v>
      </c>
      <c r="B1039" s="157"/>
      <c r="C1039" s="157"/>
      <c r="D1039" s="157"/>
      <c r="E1039" s="157"/>
      <c r="F1039" s="157"/>
      <c r="G1039" s="3"/>
      <c r="H1039" s="156"/>
      <c r="I1039" s="156"/>
      <c r="J1039" s="156"/>
      <c r="K1039" s="165"/>
      <c r="L1039" s="165"/>
      <c r="M1039" s="1"/>
      <c r="N1039" s="164"/>
      <c r="O1039" s="1"/>
      <c r="P1039" s="153"/>
      <c r="Q1039" s="39"/>
      <c r="R1039" s="39"/>
      <c r="S1039" s="39"/>
      <c r="T1039" s="154"/>
      <c r="U1039" s="40"/>
    </row>
    <row r="1040" spans="1:21" ht="20" customHeight="1" x14ac:dyDescent="0.15">
      <c r="A1040" s="284" t="s">
        <v>6936</v>
      </c>
      <c r="B1040" s="157"/>
      <c r="C1040" s="157"/>
      <c r="D1040" s="157"/>
      <c r="E1040" s="157"/>
      <c r="F1040" s="157"/>
      <c r="G1040" s="3"/>
      <c r="H1040" s="156"/>
      <c r="I1040" s="156"/>
      <c r="J1040" s="156"/>
      <c r="K1040" s="165"/>
      <c r="L1040" s="165"/>
      <c r="M1040" s="1"/>
      <c r="N1040" s="164"/>
      <c r="O1040" s="1"/>
      <c r="P1040" s="153"/>
      <c r="Q1040" s="39"/>
      <c r="R1040" s="39"/>
      <c r="S1040" s="39"/>
      <c r="T1040" s="154"/>
      <c r="U1040" s="40"/>
    </row>
    <row r="1041" spans="1:21" ht="20" customHeight="1" x14ac:dyDescent="0.15">
      <c r="A1041" s="284" t="s">
        <v>6937</v>
      </c>
      <c r="B1041" s="157"/>
      <c r="C1041" s="157"/>
      <c r="D1041" s="157"/>
      <c r="E1041" s="157"/>
      <c r="F1041" s="157"/>
      <c r="G1041" s="3"/>
      <c r="H1041" s="156"/>
      <c r="I1041" s="156"/>
      <c r="J1041" s="156"/>
      <c r="K1041" s="165"/>
      <c r="L1041" s="165"/>
      <c r="M1041" s="1"/>
      <c r="N1041" s="164"/>
      <c r="O1041" s="1"/>
      <c r="P1041" s="153"/>
      <c r="Q1041" s="39"/>
      <c r="R1041" s="39"/>
      <c r="S1041" s="39"/>
      <c r="T1041" s="154"/>
      <c r="U1041" s="40"/>
    </row>
    <row r="1042" spans="1:21" ht="20" customHeight="1" x14ac:dyDescent="0.15">
      <c r="A1042" s="284" t="s">
        <v>6938</v>
      </c>
      <c r="B1042" s="157"/>
      <c r="C1042" s="157"/>
      <c r="D1042" s="157"/>
      <c r="E1042" s="157"/>
      <c r="F1042" s="157"/>
      <c r="G1042" s="3"/>
      <c r="H1042" s="156"/>
      <c r="I1042" s="156"/>
      <c r="J1042" s="156"/>
      <c r="K1042" s="165"/>
      <c r="L1042" s="165"/>
      <c r="M1042" s="1"/>
      <c r="N1042" s="164"/>
      <c r="O1042" s="1"/>
      <c r="P1042" s="153"/>
      <c r="Q1042" s="39"/>
      <c r="R1042" s="39"/>
      <c r="S1042" s="39"/>
      <c r="T1042" s="154"/>
      <c r="U1042" s="40"/>
    </row>
    <row r="1043" spans="1:21" ht="20" customHeight="1" x14ac:dyDescent="0.15">
      <c r="A1043" s="284" t="s">
        <v>6939</v>
      </c>
      <c r="B1043" s="157"/>
      <c r="C1043" s="157"/>
      <c r="D1043" s="157"/>
      <c r="E1043" s="157"/>
      <c r="F1043" s="157"/>
      <c r="G1043" s="3"/>
      <c r="H1043" s="156"/>
      <c r="I1043" s="156"/>
      <c r="J1043" s="156"/>
      <c r="K1043" s="165"/>
      <c r="L1043" s="165"/>
      <c r="M1043" s="1"/>
      <c r="N1043" s="164"/>
      <c r="O1043" s="1"/>
      <c r="P1043" s="153"/>
      <c r="Q1043" s="39"/>
      <c r="R1043" s="39"/>
      <c r="S1043" s="39"/>
      <c r="T1043" s="154"/>
      <c r="U1043" s="40"/>
    </row>
    <row r="1044" spans="1:21" ht="20" customHeight="1" x14ac:dyDescent="0.15">
      <c r="A1044" s="284" t="s">
        <v>6940</v>
      </c>
      <c r="B1044" s="157"/>
      <c r="C1044" s="157"/>
      <c r="D1044" s="157"/>
      <c r="E1044" s="157"/>
      <c r="F1044" s="157"/>
      <c r="G1044" s="3"/>
      <c r="H1044" s="156"/>
      <c r="I1044" s="156"/>
      <c r="J1044" s="156"/>
      <c r="K1044" s="165"/>
      <c r="L1044" s="165"/>
      <c r="M1044" s="1"/>
      <c r="N1044" s="164"/>
      <c r="O1044" s="1"/>
      <c r="P1044" s="153"/>
      <c r="Q1044" s="39"/>
      <c r="R1044" s="39"/>
      <c r="S1044" s="39"/>
      <c r="T1044" s="154"/>
      <c r="U1044" s="40"/>
    </row>
    <row r="1045" spans="1:21" ht="20" customHeight="1" x14ac:dyDescent="0.15">
      <c r="A1045" s="284" t="s">
        <v>6941</v>
      </c>
      <c r="B1045" s="157"/>
      <c r="C1045" s="157"/>
      <c r="D1045" s="157"/>
      <c r="E1045" s="157"/>
      <c r="F1045" s="157"/>
      <c r="G1045" s="3"/>
      <c r="H1045" s="156"/>
      <c r="I1045" s="156"/>
      <c r="J1045" s="156"/>
      <c r="K1045" s="165"/>
      <c r="L1045" s="165"/>
      <c r="M1045" s="1"/>
      <c r="N1045" s="164"/>
      <c r="O1045" s="1"/>
      <c r="P1045" s="153"/>
      <c r="Q1045" s="39"/>
      <c r="R1045" s="39"/>
      <c r="S1045" s="39"/>
      <c r="T1045" s="154"/>
      <c r="U1045" s="40"/>
    </row>
    <row r="1046" spans="1:21" ht="20" customHeight="1" x14ac:dyDescent="0.15">
      <c r="A1046" s="284" t="s">
        <v>6942</v>
      </c>
      <c r="B1046" s="157"/>
      <c r="C1046" s="157"/>
      <c r="D1046" s="157"/>
      <c r="E1046" s="157"/>
      <c r="F1046" s="157"/>
      <c r="G1046" s="3"/>
      <c r="H1046" s="156"/>
      <c r="I1046" s="156"/>
      <c r="J1046" s="156"/>
      <c r="K1046" s="165"/>
      <c r="L1046" s="165"/>
      <c r="M1046" s="1"/>
      <c r="N1046" s="164"/>
      <c r="O1046" s="1"/>
      <c r="P1046" s="153"/>
      <c r="Q1046" s="39"/>
      <c r="R1046" s="39"/>
      <c r="S1046" s="39"/>
      <c r="T1046" s="154"/>
      <c r="U1046" s="40"/>
    </row>
    <row r="1047" spans="1:21" ht="20" customHeight="1" x14ac:dyDescent="0.15">
      <c r="A1047" s="284" t="s">
        <v>6943</v>
      </c>
      <c r="B1047" s="157"/>
      <c r="C1047" s="157"/>
      <c r="D1047" s="157"/>
      <c r="E1047" s="157"/>
      <c r="F1047" s="157"/>
      <c r="G1047" s="3"/>
      <c r="H1047" s="156"/>
      <c r="I1047" s="156"/>
      <c r="J1047" s="156"/>
      <c r="K1047" s="165"/>
      <c r="L1047" s="165"/>
      <c r="M1047" s="1"/>
      <c r="N1047" s="164"/>
      <c r="O1047" s="1"/>
      <c r="P1047" s="153"/>
      <c r="Q1047" s="39"/>
      <c r="R1047" s="39"/>
      <c r="S1047" s="39"/>
      <c r="T1047" s="154"/>
      <c r="U1047" s="40"/>
    </row>
    <row r="1048" spans="1:21" ht="20" customHeight="1" x14ac:dyDescent="0.15">
      <c r="A1048" s="284" t="s">
        <v>6944</v>
      </c>
      <c r="B1048" s="157"/>
      <c r="C1048" s="157"/>
      <c r="D1048" s="157"/>
      <c r="E1048" s="157"/>
      <c r="F1048" s="157"/>
      <c r="G1048" s="3"/>
      <c r="H1048" s="156"/>
      <c r="I1048" s="156"/>
      <c r="J1048" s="156"/>
      <c r="K1048" s="165"/>
      <c r="L1048" s="165"/>
      <c r="M1048" s="1"/>
      <c r="N1048" s="164"/>
      <c r="O1048" s="1"/>
      <c r="P1048" s="153"/>
      <c r="Q1048" s="39"/>
      <c r="R1048" s="39"/>
      <c r="S1048" s="39"/>
      <c r="T1048" s="154"/>
      <c r="U1048" s="40"/>
    </row>
    <row r="1049" spans="1:21" ht="20" customHeight="1" x14ac:dyDescent="0.15">
      <c r="A1049" s="284" t="s">
        <v>6945</v>
      </c>
      <c r="B1049" s="157"/>
      <c r="C1049" s="157"/>
      <c r="D1049" s="157"/>
      <c r="E1049" s="157"/>
      <c r="F1049" s="157"/>
      <c r="G1049" s="3"/>
      <c r="H1049" s="156"/>
      <c r="I1049" s="156"/>
      <c r="J1049" s="156"/>
      <c r="K1049" s="165"/>
      <c r="L1049" s="165"/>
      <c r="M1049" s="1"/>
      <c r="N1049" s="164"/>
      <c r="O1049" s="1"/>
      <c r="P1049" s="153"/>
      <c r="Q1049" s="39"/>
      <c r="R1049" s="39"/>
      <c r="S1049" s="39"/>
      <c r="T1049" s="154"/>
      <c r="U1049" s="40"/>
    </row>
    <row r="1050" spans="1:21" ht="20" customHeight="1" x14ac:dyDescent="0.15">
      <c r="A1050" s="284" t="s">
        <v>6946</v>
      </c>
      <c r="B1050" s="157"/>
      <c r="C1050" s="157"/>
      <c r="D1050" s="157"/>
      <c r="E1050" s="157"/>
      <c r="F1050" s="157"/>
      <c r="G1050" s="3"/>
      <c r="H1050" s="156"/>
      <c r="I1050" s="156"/>
      <c r="J1050" s="156"/>
      <c r="K1050" s="165"/>
      <c r="L1050" s="165"/>
      <c r="M1050" s="1"/>
      <c r="N1050" s="164"/>
      <c r="O1050" s="1"/>
      <c r="P1050" s="153"/>
      <c r="Q1050" s="39"/>
      <c r="R1050" s="39"/>
      <c r="S1050" s="39"/>
      <c r="T1050" s="154"/>
      <c r="U1050" s="40"/>
    </row>
    <row r="1051" spans="1:21" ht="20" customHeight="1" x14ac:dyDescent="0.15">
      <c r="A1051" s="284" t="s">
        <v>6947</v>
      </c>
      <c r="B1051" s="157"/>
      <c r="C1051" s="157"/>
      <c r="D1051" s="157"/>
      <c r="E1051" s="157"/>
      <c r="F1051" s="157"/>
      <c r="G1051" s="3"/>
      <c r="H1051" s="156"/>
      <c r="I1051" s="156"/>
      <c r="J1051" s="156"/>
      <c r="K1051" s="165"/>
      <c r="L1051" s="165"/>
      <c r="M1051" s="1"/>
      <c r="N1051" s="164"/>
      <c r="O1051" s="1"/>
      <c r="P1051" s="153"/>
      <c r="Q1051" s="39"/>
      <c r="R1051" s="39"/>
      <c r="S1051" s="39"/>
      <c r="T1051" s="154"/>
      <c r="U1051" s="40"/>
    </row>
    <row r="1052" spans="1:21" ht="20" customHeight="1" x14ac:dyDescent="0.15">
      <c r="A1052" s="284" t="s">
        <v>6948</v>
      </c>
      <c r="B1052" s="157"/>
      <c r="C1052" s="157"/>
      <c r="D1052" s="157"/>
      <c r="E1052" s="157"/>
      <c r="F1052" s="157"/>
      <c r="G1052" s="3"/>
      <c r="H1052" s="156"/>
      <c r="I1052" s="156"/>
      <c r="J1052" s="156"/>
      <c r="K1052" s="165"/>
      <c r="L1052" s="165"/>
      <c r="M1052" s="1"/>
      <c r="N1052" s="164"/>
      <c r="O1052" s="1"/>
      <c r="P1052" s="153"/>
      <c r="Q1052" s="39"/>
      <c r="R1052" s="39"/>
      <c r="S1052" s="39"/>
      <c r="T1052" s="154"/>
      <c r="U1052" s="40"/>
    </row>
    <row r="1053" spans="1:21" ht="20" customHeight="1" x14ac:dyDescent="0.15">
      <c r="A1053" s="284" t="s">
        <v>6949</v>
      </c>
      <c r="B1053" s="157"/>
      <c r="C1053" s="157"/>
      <c r="D1053" s="157"/>
      <c r="E1053" s="157"/>
      <c r="F1053" s="157"/>
      <c r="G1053" s="3"/>
      <c r="H1053" s="156"/>
      <c r="I1053" s="156"/>
      <c r="J1053" s="156"/>
      <c r="K1053" s="165"/>
      <c r="L1053" s="165"/>
      <c r="M1053" s="1"/>
      <c r="N1053" s="164"/>
      <c r="O1053" s="1"/>
      <c r="P1053" s="153"/>
      <c r="Q1053" s="39"/>
      <c r="R1053" s="39"/>
      <c r="S1053" s="39"/>
      <c r="T1053" s="154"/>
      <c r="U1053" s="40"/>
    </row>
    <row r="1054" spans="1:21" ht="20" customHeight="1" x14ac:dyDescent="0.15">
      <c r="A1054" s="284" t="s">
        <v>6950</v>
      </c>
      <c r="B1054" s="157"/>
      <c r="C1054" s="157"/>
      <c r="D1054" s="157"/>
      <c r="E1054" s="157"/>
      <c r="F1054" s="157"/>
      <c r="G1054" s="3"/>
      <c r="H1054" s="156"/>
      <c r="I1054" s="156"/>
      <c r="J1054" s="156"/>
      <c r="K1054" s="165"/>
      <c r="L1054" s="165"/>
      <c r="M1054" s="1"/>
      <c r="N1054" s="164"/>
      <c r="O1054" s="1"/>
      <c r="P1054" s="153"/>
      <c r="Q1054" s="39"/>
      <c r="R1054" s="39"/>
      <c r="S1054" s="39"/>
      <c r="T1054" s="154"/>
      <c r="U1054" s="40"/>
    </row>
    <row r="1055" spans="1:21" ht="20" customHeight="1" x14ac:dyDescent="0.15">
      <c r="A1055" s="284" t="s">
        <v>6951</v>
      </c>
      <c r="B1055" s="157"/>
      <c r="C1055" s="157"/>
      <c r="D1055" s="157"/>
      <c r="E1055" s="157"/>
      <c r="F1055" s="157"/>
      <c r="G1055" s="3"/>
      <c r="H1055" s="156"/>
      <c r="I1055" s="156"/>
      <c r="J1055" s="156"/>
      <c r="K1055" s="165"/>
      <c r="L1055" s="165"/>
      <c r="M1055" s="1"/>
      <c r="N1055" s="164"/>
      <c r="O1055" s="1"/>
      <c r="P1055" s="153"/>
      <c r="Q1055" s="39"/>
      <c r="R1055" s="39"/>
      <c r="S1055" s="39"/>
      <c r="T1055" s="154"/>
      <c r="U1055" s="40"/>
    </row>
    <row r="1056" spans="1:21" ht="20" customHeight="1" x14ac:dyDescent="0.15">
      <c r="A1056" s="284" t="s">
        <v>6952</v>
      </c>
      <c r="B1056" s="157"/>
      <c r="C1056" s="157"/>
      <c r="D1056" s="157"/>
      <c r="E1056" s="157"/>
      <c r="F1056" s="157"/>
      <c r="G1056" s="3"/>
      <c r="H1056" s="156"/>
      <c r="I1056" s="156"/>
      <c r="J1056" s="156"/>
      <c r="K1056" s="165"/>
      <c r="L1056" s="165"/>
      <c r="M1056" s="1"/>
      <c r="N1056" s="164"/>
      <c r="O1056" s="1"/>
      <c r="P1056" s="153"/>
      <c r="Q1056" s="39"/>
      <c r="R1056" s="39"/>
      <c r="S1056" s="39"/>
      <c r="T1056" s="154"/>
      <c r="U1056" s="40"/>
    </row>
    <row r="1057" spans="1:21" ht="20" customHeight="1" x14ac:dyDescent="0.15">
      <c r="A1057" s="284" t="s">
        <v>6953</v>
      </c>
      <c r="B1057" s="157"/>
      <c r="C1057" s="157"/>
      <c r="D1057" s="157"/>
      <c r="E1057" s="157"/>
      <c r="F1057" s="157"/>
      <c r="G1057" s="3"/>
      <c r="H1057" s="156"/>
      <c r="I1057" s="156"/>
      <c r="J1057" s="156"/>
      <c r="K1057" s="165"/>
      <c r="L1057" s="165"/>
      <c r="M1057" s="1"/>
      <c r="N1057" s="164"/>
      <c r="O1057" s="1"/>
      <c r="P1057" s="153"/>
      <c r="Q1057" s="39"/>
      <c r="R1057" s="39"/>
      <c r="S1057" s="39"/>
      <c r="T1057" s="154"/>
      <c r="U1057" s="40"/>
    </row>
    <row r="1058" spans="1:21" ht="20" customHeight="1" x14ac:dyDescent="0.15">
      <c r="A1058" s="284" t="s">
        <v>6954</v>
      </c>
      <c r="B1058" s="157"/>
      <c r="C1058" s="157"/>
      <c r="D1058" s="157"/>
      <c r="E1058" s="157"/>
      <c r="F1058" s="157"/>
      <c r="G1058" s="3"/>
      <c r="H1058" s="156"/>
      <c r="I1058" s="156"/>
      <c r="J1058" s="156"/>
      <c r="K1058" s="165"/>
      <c r="L1058" s="165"/>
      <c r="M1058" s="1"/>
      <c r="N1058" s="164"/>
      <c r="O1058" s="1"/>
      <c r="P1058" s="153"/>
      <c r="Q1058" s="39"/>
      <c r="R1058" s="39"/>
      <c r="S1058" s="39"/>
      <c r="T1058" s="154"/>
      <c r="U1058" s="40"/>
    </row>
    <row r="1059" spans="1:21" ht="20" customHeight="1" x14ac:dyDescent="0.15">
      <c r="A1059" s="284" t="s">
        <v>6955</v>
      </c>
      <c r="B1059" s="157"/>
      <c r="C1059" s="157"/>
      <c r="D1059" s="157"/>
      <c r="E1059" s="157"/>
      <c r="F1059" s="157"/>
      <c r="G1059" s="3"/>
      <c r="H1059" s="156"/>
      <c r="I1059" s="156"/>
      <c r="J1059" s="156"/>
      <c r="K1059" s="165"/>
      <c r="L1059" s="165"/>
      <c r="M1059" s="1"/>
      <c r="N1059" s="164"/>
      <c r="O1059" s="1"/>
      <c r="P1059" s="153"/>
      <c r="Q1059" s="39"/>
      <c r="R1059" s="39"/>
      <c r="S1059" s="39"/>
      <c r="T1059" s="154"/>
      <c r="U1059" s="40"/>
    </row>
    <row r="1060" spans="1:21" ht="20" customHeight="1" x14ac:dyDescent="0.15">
      <c r="A1060" s="284" t="s">
        <v>6956</v>
      </c>
      <c r="B1060" s="157"/>
      <c r="C1060" s="157"/>
      <c r="D1060" s="157"/>
      <c r="E1060" s="157"/>
      <c r="F1060" s="157"/>
      <c r="G1060" s="3"/>
      <c r="H1060" s="156"/>
      <c r="I1060" s="156"/>
      <c r="J1060" s="156"/>
      <c r="K1060" s="165"/>
      <c r="L1060" s="165"/>
      <c r="M1060" s="1"/>
      <c r="N1060" s="164"/>
      <c r="O1060" s="1"/>
      <c r="P1060" s="153"/>
      <c r="Q1060" s="39"/>
      <c r="R1060" s="39"/>
      <c r="S1060" s="39"/>
      <c r="T1060" s="154"/>
      <c r="U1060" s="40"/>
    </row>
    <row r="1061" spans="1:21" ht="20" customHeight="1" x14ac:dyDescent="0.15">
      <c r="A1061" s="284" t="s">
        <v>6957</v>
      </c>
      <c r="B1061" s="157"/>
      <c r="C1061" s="157"/>
      <c r="D1061" s="157"/>
      <c r="E1061" s="157"/>
      <c r="F1061" s="157"/>
      <c r="G1061" s="3"/>
      <c r="H1061" s="156"/>
      <c r="I1061" s="156"/>
      <c r="J1061" s="156"/>
      <c r="K1061" s="165"/>
      <c r="L1061" s="165"/>
      <c r="M1061" s="1"/>
      <c r="N1061" s="164"/>
      <c r="O1061" s="1"/>
      <c r="P1061" s="153"/>
      <c r="Q1061" s="39"/>
      <c r="R1061" s="39"/>
      <c r="S1061" s="39"/>
      <c r="T1061" s="154"/>
      <c r="U1061" s="40"/>
    </row>
    <row r="1062" spans="1:21" ht="20" customHeight="1" x14ac:dyDescent="0.15">
      <c r="A1062" s="284" t="s">
        <v>6958</v>
      </c>
      <c r="B1062" s="157"/>
      <c r="C1062" s="157"/>
      <c r="D1062" s="157"/>
      <c r="E1062" s="157"/>
      <c r="F1062" s="157"/>
      <c r="G1062" s="3"/>
      <c r="H1062" s="156"/>
      <c r="I1062" s="156"/>
      <c r="J1062" s="156"/>
      <c r="K1062" s="165"/>
      <c r="L1062" s="165"/>
      <c r="M1062" s="1"/>
      <c r="N1062" s="164"/>
      <c r="O1062" s="1"/>
      <c r="P1062" s="153"/>
      <c r="Q1062" s="39"/>
      <c r="R1062" s="39"/>
      <c r="S1062" s="39"/>
      <c r="T1062" s="154"/>
      <c r="U1062" s="40"/>
    </row>
    <row r="1063" spans="1:21" ht="20" customHeight="1" x14ac:dyDescent="0.15">
      <c r="A1063" s="284" t="s">
        <v>6959</v>
      </c>
      <c r="B1063" s="157"/>
      <c r="C1063" s="157"/>
      <c r="D1063" s="157"/>
      <c r="E1063" s="157"/>
      <c r="F1063" s="157"/>
      <c r="G1063" s="3"/>
      <c r="H1063" s="156"/>
      <c r="I1063" s="156"/>
      <c r="J1063" s="156"/>
      <c r="K1063" s="165"/>
      <c r="L1063" s="165"/>
      <c r="M1063" s="1"/>
      <c r="N1063" s="164"/>
      <c r="O1063" s="1"/>
      <c r="P1063" s="153"/>
      <c r="Q1063" s="39"/>
      <c r="R1063" s="39"/>
      <c r="S1063" s="39"/>
      <c r="T1063" s="154"/>
      <c r="U1063" s="40"/>
    </row>
    <row r="1064" spans="1:21" ht="20" customHeight="1" x14ac:dyDescent="0.15">
      <c r="A1064" s="284" t="s">
        <v>6960</v>
      </c>
      <c r="B1064" s="157"/>
      <c r="C1064" s="157"/>
      <c r="D1064" s="157"/>
      <c r="E1064" s="157"/>
      <c r="F1064" s="157"/>
      <c r="G1064" s="3"/>
      <c r="H1064" s="156"/>
      <c r="I1064" s="156"/>
      <c r="J1064" s="156"/>
      <c r="K1064" s="165"/>
      <c r="L1064" s="165"/>
      <c r="M1064" s="1"/>
      <c r="N1064" s="164"/>
      <c r="O1064" s="1"/>
      <c r="P1064" s="153"/>
      <c r="Q1064" s="39"/>
      <c r="R1064" s="39"/>
      <c r="S1064" s="39"/>
      <c r="T1064" s="154"/>
      <c r="U1064" s="40"/>
    </row>
    <row r="1065" spans="1:21" ht="20" customHeight="1" x14ac:dyDescent="0.15">
      <c r="A1065" s="284" t="s">
        <v>6961</v>
      </c>
      <c r="B1065" s="157"/>
      <c r="C1065" s="157"/>
      <c r="D1065" s="157"/>
      <c r="E1065" s="157"/>
      <c r="F1065" s="157"/>
      <c r="G1065" s="3"/>
      <c r="H1065" s="156"/>
      <c r="I1065" s="156"/>
      <c r="J1065" s="156"/>
      <c r="K1065" s="165"/>
      <c r="L1065" s="165"/>
      <c r="M1065" s="1"/>
      <c r="N1065" s="164"/>
      <c r="O1065" s="1"/>
      <c r="P1065" s="153"/>
      <c r="Q1065" s="39"/>
      <c r="R1065" s="39"/>
      <c r="S1065" s="39"/>
      <c r="T1065" s="154"/>
      <c r="U1065" s="40"/>
    </row>
    <row r="1066" spans="1:21" ht="20" customHeight="1" x14ac:dyDescent="0.15">
      <c r="A1066" s="284" t="s">
        <v>6962</v>
      </c>
      <c r="B1066" s="157"/>
      <c r="C1066" s="157"/>
      <c r="D1066" s="157"/>
      <c r="E1066" s="157"/>
      <c r="F1066" s="157"/>
      <c r="G1066" s="3"/>
      <c r="H1066" s="156"/>
      <c r="I1066" s="156"/>
      <c r="J1066" s="156"/>
      <c r="K1066" s="165"/>
      <c r="L1066" s="165"/>
      <c r="M1066" s="1"/>
      <c r="N1066" s="164"/>
      <c r="O1066" s="1"/>
      <c r="P1066" s="153"/>
      <c r="Q1066" s="39"/>
      <c r="R1066" s="39"/>
      <c r="S1066" s="39"/>
      <c r="T1066" s="154"/>
      <c r="U1066" s="40"/>
    </row>
    <row r="1067" spans="1:21" ht="20" customHeight="1" x14ac:dyDescent="0.15">
      <c r="A1067" s="284" t="s">
        <v>6963</v>
      </c>
      <c r="B1067" s="157"/>
      <c r="C1067" s="157"/>
      <c r="D1067" s="157"/>
      <c r="E1067" s="157"/>
      <c r="F1067" s="157"/>
      <c r="G1067" s="3"/>
      <c r="H1067" s="156"/>
      <c r="I1067" s="156"/>
      <c r="J1067" s="156"/>
      <c r="K1067" s="165"/>
      <c r="L1067" s="165"/>
      <c r="M1067" s="1"/>
      <c r="N1067" s="164"/>
      <c r="O1067" s="1"/>
      <c r="P1067" s="153"/>
      <c r="Q1067" s="39"/>
      <c r="R1067" s="39"/>
      <c r="S1067" s="39"/>
      <c r="T1067" s="154"/>
      <c r="U1067" s="40"/>
    </row>
    <row r="1068" spans="1:21" ht="20" customHeight="1" x14ac:dyDescent="0.15">
      <c r="A1068" s="284" t="s">
        <v>6964</v>
      </c>
      <c r="B1068" s="157"/>
      <c r="C1068" s="157"/>
      <c r="D1068" s="157"/>
      <c r="E1068" s="157"/>
      <c r="F1068" s="157"/>
      <c r="G1068" s="3"/>
      <c r="H1068" s="156"/>
      <c r="I1068" s="156"/>
      <c r="J1068" s="156"/>
      <c r="K1068" s="165"/>
      <c r="L1068" s="165"/>
      <c r="M1068" s="1"/>
      <c r="N1068" s="164"/>
      <c r="O1068" s="1"/>
      <c r="P1068" s="153"/>
      <c r="Q1068" s="39"/>
      <c r="R1068" s="39"/>
      <c r="S1068" s="39"/>
      <c r="T1068" s="154"/>
      <c r="U1068" s="40"/>
    </row>
    <row r="1069" spans="1:21" ht="20" customHeight="1" x14ac:dyDescent="0.15">
      <c r="A1069" s="284" t="s">
        <v>6965</v>
      </c>
      <c r="B1069" s="157"/>
      <c r="C1069" s="157"/>
      <c r="D1069" s="157"/>
      <c r="E1069" s="157"/>
      <c r="F1069" s="157"/>
      <c r="G1069" s="3"/>
      <c r="H1069" s="156"/>
      <c r="I1069" s="156"/>
      <c r="J1069" s="156"/>
      <c r="K1069" s="165"/>
      <c r="L1069" s="165"/>
      <c r="M1069" s="1"/>
      <c r="N1069" s="164"/>
      <c r="O1069" s="1"/>
      <c r="P1069" s="153"/>
      <c r="Q1069" s="39"/>
      <c r="R1069" s="39"/>
      <c r="S1069" s="39"/>
      <c r="T1069" s="154"/>
      <c r="U1069" s="40"/>
    </row>
    <row r="1070" spans="1:21" ht="20" customHeight="1" x14ac:dyDescent="0.15">
      <c r="A1070" s="284" t="s">
        <v>6966</v>
      </c>
      <c r="B1070" s="157"/>
      <c r="C1070" s="157"/>
      <c r="D1070" s="157"/>
      <c r="E1070" s="157"/>
      <c r="F1070" s="157"/>
      <c r="G1070" s="3"/>
      <c r="H1070" s="156"/>
      <c r="I1070" s="156"/>
      <c r="J1070" s="156"/>
      <c r="K1070" s="165"/>
      <c r="L1070" s="165"/>
      <c r="M1070" s="1"/>
      <c r="N1070" s="164"/>
      <c r="O1070" s="1"/>
      <c r="P1070" s="153"/>
      <c r="Q1070" s="39"/>
      <c r="R1070" s="39"/>
      <c r="S1070" s="39"/>
      <c r="T1070" s="154"/>
      <c r="U1070" s="40"/>
    </row>
    <row r="1071" spans="1:21" ht="20" customHeight="1" x14ac:dyDescent="0.15">
      <c r="A1071" s="284" t="s">
        <v>6967</v>
      </c>
      <c r="B1071" s="157"/>
      <c r="C1071" s="157"/>
      <c r="D1071" s="157"/>
      <c r="E1071" s="157"/>
      <c r="F1071" s="157"/>
      <c r="G1071" s="3"/>
      <c r="H1071" s="156"/>
      <c r="I1071" s="156"/>
      <c r="J1071" s="156"/>
      <c r="K1071" s="165"/>
      <c r="L1071" s="165"/>
      <c r="M1071" s="1"/>
      <c r="N1071" s="164"/>
      <c r="O1071" s="1"/>
      <c r="P1071" s="153"/>
      <c r="Q1071" s="39"/>
      <c r="R1071" s="39"/>
      <c r="S1071" s="39"/>
      <c r="T1071" s="154"/>
      <c r="U1071" s="40"/>
    </row>
    <row r="1072" spans="1:21" ht="20" customHeight="1" x14ac:dyDescent="0.15">
      <c r="A1072" s="284" t="s">
        <v>6968</v>
      </c>
      <c r="B1072" s="157"/>
      <c r="C1072" s="157"/>
      <c r="D1072" s="157"/>
      <c r="E1072" s="157"/>
      <c r="F1072" s="157"/>
      <c r="G1072" s="3"/>
      <c r="H1072" s="156"/>
      <c r="I1072" s="156"/>
      <c r="J1072" s="156"/>
      <c r="K1072" s="165"/>
      <c r="L1072" s="165"/>
      <c r="M1072" s="1"/>
      <c r="N1072" s="164"/>
      <c r="O1072" s="1"/>
      <c r="P1072" s="153"/>
      <c r="Q1072" s="39"/>
      <c r="R1072" s="39"/>
      <c r="S1072" s="39"/>
      <c r="T1072" s="154"/>
      <c r="U1072" s="40"/>
    </row>
    <row r="1073" spans="1:21" ht="20" customHeight="1" x14ac:dyDescent="0.15">
      <c r="A1073" s="284" t="s">
        <v>6969</v>
      </c>
      <c r="B1073" s="157"/>
      <c r="C1073" s="157"/>
      <c r="D1073" s="157"/>
      <c r="E1073" s="157"/>
      <c r="F1073" s="157"/>
      <c r="G1073" s="3"/>
      <c r="H1073" s="156"/>
      <c r="I1073" s="156"/>
      <c r="J1073" s="156"/>
      <c r="K1073" s="165"/>
      <c r="L1073" s="165"/>
      <c r="M1073" s="1"/>
      <c r="N1073" s="164"/>
      <c r="O1073" s="1"/>
      <c r="P1073" s="153"/>
      <c r="Q1073" s="39"/>
      <c r="R1073" s="39"/>
      <c r="S1073" s="39"/>
      <c r="T1073" s="154"/>
      <c r="U1073" s="40"/>
    </row>
    <row r="1074" spans="1:21" ht="20" customHeight="1" x14ac:dyDescent="0.15">
      <c r="A1074" s="284" t="s">
        <v>6970</v>
      </c>
      <c r="B1074" s="157"/>
      <c r="C1074" s="157"/>
      <c r="D1074" s="157"/>
      <c r="E1074" s="157"/>
      <c r="F1074" s="157"/>
      <c r="G1074" s="3"/>
      <c r="H1074" s="156"/>
      <c r="I1074" s="156"/>
      <c r="J1074" s="156"/>
      <c r="K1074" s="165"/>
      <c r="L1074" s="165"/>
      <c r="M1074" s="1"/>
      <c r="N1074" s="164"/>
      <c r="O1074" s="1"/>
      <c r="P1074" s="153"/>
      <c r="Q1074" s="39"/>
      <c r="R1074" s="39"/>
      <c r="S1074" s="39"/>
      <c r="T1074" s="154"/>
      <c r="U1074" s="40"/>
    </row>
    <row r="1075" spans="1:21" ht="20" customHeight="1" x14ac:dyDescent="0.15">
      <c r="A1075" s="284" t="s">
        <v>6971</v>
      </c>
      <c r="B1075" s="157"/>
      <c r="C1075" s="157"/>
      <c r="D1075" s="157"/>
      <c r="E1075" s="157"/>
      <c r="F1075" s="157"/>
      <c r="G1075" s="3"/>
      <c r="H1075" s="156"/>
      <c r="I1075" s="156"/>
      <c r="J1075" s="156"/>
      <c r="K1075" s="165"/>
      <c r="L1075" s="165"/>
      <c r="M1075" s="1"/>
      <c r="N1075" s="164"/>
      <c r="O1075" s="1"/>
      <c r="P1075" s="153"/>
      <c r="Q1075" s="39"/>
      <c r="R1075" s="39"/>
      <c r="S1075" s="39"/>
      <c r="T1075" s="154"/>
      <c r="U1075" s="40"/>
    </row>
    <row r="1076" spans="1:21" ht="20" customHeight="1" x14ac:dyDescent="0.15">
      <c r="A1076" s="284" t="s">
        <v>6972</v>
      </c>
      <c r="B1076" s="157"/>
      <c r="C1076" s="157"/>
      <c r="D1076" s="157"/>
      <c r="E1076" s="157"/>
      <c r="F1076" s="157"/>
      <c r="G1076" s="3"/>
      <c r="H1076" s="156"/>
      <c r="I1076" s="156"/>
      <c r="J1076" s="156"/>
      <c r="K1076" s="165"/>
      <c r="L1076" s="165"/>
      <c r="M1076" s="1"/>
      <c r="N1076" s="164"/>
      <c r="O1076" s="1"/>
      <c r="P1076" s="153"/>
      <c r="Q1076" s="39"/>
      <c r="R1076" s="39"/>
      <c r="S1076" s="39"/>
      <c r="T1076" s="154"/>
      <c r="U1076" s="40"/>
    </row>
    <row r="1077" spans="1:21" ht="20" customHeight="1" x14ac:dyDescent="0.15">
      <c r="A1077" s="284" t="s">
        <v>6973</v>
      </c>
      <c r="B1077" s="157"/>
      <c r="C1077" s="157"/>
      <c r="D1077" s="157"/>
      <c r="E1077" s="157"/>
      <c r="F1077" s="157"/>
      <c r="G1077" s="3"/>
      <c r="H1077" s="156"/>
      <c r="I1077" s="156"/>
      <c r="J1077" s="156"/>
      <c r="K1077" s="165"/>
      <c r="L1077" s="165"/>
      <c r="M1077" s="1"/>
      <c r="N1077" s="164"/>
      <c r="O1077" s="1"/>
      <c r="P1077" s="153"/>
      <c r="Q1077" s="39"/>
      <c r="R1077" s="39"/>
      <c r="S1077" s="39"/>
      <c r="T1077" s="154"/>
      <c r="U1077" s="40"/>
    </row>
    <row r="1078" spans="1:21" ht="20" customHeight="1" x14ac:dyDescent="0.15">
      <c r="A1078" s="284" t="s">
        <v>6974</v>
      </c>
      <c r="B1078" s="157"/>
      <c r="C1078" s="157"/>
      <c r="D1078" s="157"/>
      <c r="E1078" s="157"/>
      <c r="F1078" s="157"/>
      <c r="G1078" s="3"/>
      <c r="H1078" s="156"/>
      <c r="I1078" s="156"/>
      <c r="J1078" s="156"/>
      <c r="K1078" s="165"/>
      <c r="L1078" s="165"/>
      <c r="M1078" s="1"/>
      <c r="N1078" s="164"/>
      <c r="O1078" s="1"/>
      <c r="P1078" s="153"/>
      <c r="Q1078" s="39"/>
      <c r="R1078" s="39"/>
      <c r="S1078" s="39"/>
      <c r="T1078" s="154"/>
      <c r="U1078" s="40"/>
    </row>
    <row r="1079" spans="1:21" ht="20" customHeight="1" x14ac:dyDescent="0.15">
      <c r="A1079" s="284" t="s">
        <v>6975</v>
      </c>
      <c r="B1079" s="157"/>
      <c r="C1079" s="157"/>
      <c r="D1079" s="157"/>
      <c r="E1079" s="157"/>
      <c r="F1079" s="157"/>
      <c r="G1079" s="3"/>
      <c r="H1079" s="156"/>
      <c r="I1079" s="156"/>
      <c r="J1079" s="156"/>
      <c r="K1079" s="165"/>
      <c r="L1079" s="165"/>
      <c r="M1079" s="1"/>
      <c r="N1079" s="164"/>
      <c r="O1079" s="1"/>
      <c r="P1079" s="153"/>
      <c r="Q1079" s="39"/>
      <c r="R1079" s="39"/>
      <c r="S1079" s="39"/>
      <c r="T1079" s="154"/>
      <c r="U1079" s="40"/>
    </row>
    <row r="1080" spans="1:21" ht="20" customHeight="1" x14ac:dyDescent="0.15">
      <c r="A1080" s="284" t="s">
        <v>6976</v>
      </c>
      <c r="B1080" s="157"/>
      <c r="C1080" s="157"/>
      <c r="D1080" s="157"/>
      <c r="E1080" s="157"/>
      <c r="F1080" s="157"/>
      <c r="G1080" s="3"/>
      <c r="H1080" s="156"/>
      <c r="I1080" s="156"/>
      <c r="J1080" s="156"/>
      <c r="K1080" s="165"/>
      <c r="L1080" s="165"/>
      <c r="M1080" s="1"/>
      <c r="N1080" s="164"/>
      <c r="O1080" s="1"/>
      <c r="P1080" s="153"/>
      <c r="Q1080" s="39"/>
      <c r="R1080" s="39"/>
      <c r="S1080" s="39"/>
      <c r="T1080" s="154"/>
      <c r="U1080" s="40"/>
    </row>
    <row r="1081" spans="1:21" ht="20" customHeight="1" x14ac:dyDescent="0.15">
      <c r="A1081" s="284" t="s">
        <v>6977</v>
      </c>
      <c r="B1081" s="157"/>
      <c r="C1081" s="157"/>
      <c r="D1081" s="157"/>
      <c r="E1081" s="157"/>
      <c r="F1081" s="157"/>
      <c r="G1081" s="3"/>
      <c r="H1081" s="156"/>
      <c r="I1081" s="156"/>
      <c r="J1081" s="156"/>
      <c r="K1081" s="165"/>
      <c r="L1081" s="165"/>
      <c r="M1081" s="1"/>
      <c r="N1081" s="164"/>
      <c r="O1081" s="1"/>
      <c r="P1081" s="153"/>
      <c r="Q1081" s="39"/>
      <c r="R1081" s="39"/>
      <c r="S1081" s="39"/>
      <c r="T1081" s="154"/>
      <c r="U1081" s="40"/>
    </row>
    <row r="1082" spans="1:21" ht="20" customHeight="1" x14ac:dyDescent="0.15">
      <c r="A1082" s="284" t="s">
        <v>6978</v>
      </c>
      <c r="B1082" s="157"/>
      <c r="C1082" s="157"/>
      <c r="D1082" s="157"/>
      <c r="E1082" s="157"/>
      <c r="F1082" s="157"/>
      <c r="G1082" s="3"/>
      <c r="H1082" s="156"/>
      <c r="I1082" s="156"/>
      <c r="J1082" s="156"/>
      <c r="K1082" s="165"/>
      <c r="L1082" s="165"/>
      <c r="M1082" s="1"/>
      <c r="N1082" s="164"/>
      <c r="O1082" s="1"/>
      <c r="P1082" s="153"/>
      <c r="Q1082" s="39"/>
      <c r="R1082" s="39"/>
      <c r="S1082" s="39"/>
      <c r="T1082" s="154"/>
      <c r="U1082" s="40"/>
    </row>
    <row r="1083" spans="1:21" ht="20" customHeight="1" x14ac:dyDescent="0.15">
      <c r="A1083" s="284" t="s">
        <v>6979</v>
      </c>
      <c r="B1083" s="157"/>
      <c r="C1083" s="157"/>
      <c r="D1083" s="157"/>
      <c r="E1083" s="157"/>
      <c r="F1083" s="157"/>
      <c r="G1083" s="3"/>
      <c r="H1083" s="156"/>
      <c r="I1083" s="156"/>
      <c r="J1083" s="156"/>
      <c r="K1083" s="165"/>
      <c r="L1083" s="165"/>
      <c r="M1083" s="1"/>
      <c r="N1083" s="164"/>
      <c r="O1083" s="1"/>
      <c r="P1083" s="153"/>
      <c r="Q1083" s="39"/>
      <c r="R1083" s="39"/>
      <c r="S1083" s="39"/>
      <c r="T1083" s="154"/>
      <c r="U1083" s="40"/>
    </row>
    <row r="1084" spans="1:21" ht="20" customHeight="1" x14ac:dyDescent="0.15">
      <c r="A1084" s="284" t="s">
        <v>6980</v>
      </c>
      <c r="B1084" s="157"/>
      <c r="C1084" s="157"/>
      <c r="D1084" s="157"/>
      <c r="E1084" s="157"/>
      <c r="F1084" s="157"/>
      <c r="G1084" s="3"/>
      <c r="H1084" s="156"/>
      <c r="I1084" s="156"/>
      <c r="J1084" s="156"/>
      <c r="K1084" s="165"/>
      <c r="L1084" s="165"/>
      <c r="M1084" s="1"/>
      <c r="N1084" s="164"/>
      <c r="O1084" s="1"/>
      <c r="P1084" s="153"/>
      <c r="Q1084" s="39"/>
      <c r="R1084" s="39"/>
      <c r="S1084" s="39"/>
      <c r="T1084" s="154"/>
      <c r="U1084" s="40"/>
    </row>
    <row r="1085" spans="1:21" ht="20" customHeight="1" x14ac:dyDescent="0.15">
      <c r="A1085" s="284" t="s">
        <v>6981</v>
      </c>
      <c r="B1085" s="157"/>
      <c r="C1085" s="157"/>
      <c r="D1085" s="157"/>
      <c r="E1085" s="157"/>
      <c r="F1085" s="157"/>
      <c r="G1085" s="3"/>
      <c r="H1085" s="156"/>
      <c r="I1085" s="156"/>
      <c r="J1085" s="156"/>
      <c r="K1085" s="165"/>
      <c r="L1085" s="165"/>
      <c r="M1085" s="1"/>
      <c r="N1085" s="164"/>
      <c r="O1085" s="1"/>
      <c r="P1085" s="153"/>
      <c r="Q1085" s="39"/>
      <c r="R1085" s="39"/>
      <c r="S1085" s="39"/>
      <c r="T1085" s="154"/>
      <c r="U1085" s="40"/>
    </row>
    <row r="1086" spans="1:21" ht="20" customHeight="1" x14ac:dyDescent="0.15">
      <c r="A1086" s="284" t="s">
        <v>6982</v>
      </c>
      <c r="B1086" s="157"/>
      <c r="C1086" s="157"/>
      <c r="D1086" s="157"/>
      <c r="E1086" s="157"/>
      <c r="F1086" s="157"/>
      <c r="G1086" s="3"/>
      <c r="H1086" s="156"/>
      <c r="I1086" s="156"/>
      <c r="J1086" s="156"/>
      <c r="K1086" s="165"/>
      <c r="L1086" s="165"/>
      <c r="M1086" s="1"/>
      <c r="N1086" s="164"/>
      <c r="O1086" s="1"/>
      <c r="P1086" s="153"/>
      <c r="Q1086" s="39"/>
      <c r="R1086" s="39"/>
      <c r="S1086" s="39"/>
      <c r="T1086" s="154"/>
      <c r="U1086" s="40"/>
    </row>
    <row r="1087" spans="1:21" ht="20" customHeight="1" x14ac:dyDescent="0.15">
      <c r="A1087" s="284" t="s">
        <v>6983</v>
      </c>
      <c r="B1087" s="157"/>
      <c r="C1087" s="157"/>
      <c r="D1087" s="157"/>
      <c r="E1087" s="157"/>
      <c r="F1087" s="157"/>
      <c r="G1087" s="3"/>
      <c r="H1087" s="156"/>
      <c r="I1087" s="156"/>
      <c r="J1087" s="156"/>
      <c r="K1087" s="165"/>
      <c r="L1087" s="165"/>
      <c r="M1087" s="1"/>
      <c r="N1087" s="164"/>
      <c r="O1087" s="1"/>
      <c r="P1087" s="153"/>
      <c r="Q1087" s="39"/>
      <c r="R1087" s="39"/>
      <c r="S1087" s="39"/>
      <c r="T1087" s="154"/>
      <c r="U1087" s="40"/>
    </row>
    <row r="1088" spans="1:21" ht="20" customHeight="1" x14ac:dyDescent="0.15">
      <c r="A1088" s="284" t="s">
        <v>6984</v>
      </c>
      <c r="B1088" s="157"/>
      <c r="C1088" s="157"/>
      <c r="D1088" s="157"/>
      <c r="E1088" s="157"/>
      <c r="F1088" s="157"/>
      <c r="G1088" s="3"/>
      <c r="H1088" s="156"/>
      <c r="I1088" s="156"/>
      <c r="J1088" s="156"/>
      <c r="K1088" s="165"/>
      <c r="L1088" s="165"/>
      <c r="M1088" s="1"/>
      <c r="N1088" s="164"/>
      <c r="O1088" s="1"/>
      <c r="P1088" s="153"/>
      <c r="Q1088" s="39"/>
      <c r="R1088" s="39"/>
      <c r="S1088" s="39"/>
      <c r="T1088" s="154"/>
      <c r="U1088" s="40"/>
    </row>
    <row r="1089" spans="1:21" ht="20" customHeight="1" x14ac:dyDescent="0.15">
      <c r="A1089" s="284" t="s">
        <v>6985</v>
      </c>
      <c r="B1089" s="157"/>
      <c r="C1089" s="157"/>
      <c r="D1089" s="157"/>
      <c r="E1089" s="157"/>
      <c r="F1089" s="157"/>
      <c r="G1089" s="3"/>
      <c r="H1089" s="156"/>
      <c r="I1089" s="156"/>
      <c r="J1089" s="156"/>
      <c r="K1089" s="165"/>
      <c r="L1089" s="165"/>
      <c r="M1089" s="1"/>
      <c r="N1089" s="164"/>
      <c r="O1089" s="1"/>
      <c r="P1089" s="153"/>
      <c r="Q1089" s="39"/>
      <c r="R1089" s="39"/>
      <c r="S1089" s="39"/>
      <c r="T1089" s="154"/>
      <c r="U1089" s="40"/>
    </row>
    <row r="1090" spans="1:21" ht="20" customHeight="1" x14ac:dyDescent="0.15">
      <c r="A1090" s="284" t="s">
        <v>6986</v>
      </c>
      <c r="B1090" s="157"/>
      <c r="C1090" s="157"/>
      <c r="D1090" s="157"/>
      <c r="E1090" s="157"/>
      <c r="F1090" s="157"/>
      <c r="G1090" s="3"/>
      <c r="H1090" s="156"/>
      <c r="I1090" s="156"/>
      <c r="J1090" s="156"/>
      <c r="K1090" s="165"/>
      <c r="L1090" s="165"/>
      <c r="M1090" s="1"/>
      <c r="N1090" s="164"/>
      <c r="O1090" s="1"/>
      <c r="P1090" s="153"/>
      <c r="Q1090" s="39"/>
      <c r="R1090" s="39"/>
      <c r="S1090" s="39"/>
      <c r="T1090" s="154"/>
      <c r="U1090" s="40"/>
    </row>
    <row r="1091" spans="1:21" ht="20" customHeight="1" x14ac:dyDescent="0.15">
      <c r="A1091" s="284" t="s">
        <v>6987</v>
      </c>
      <c r="B1091" s="157"/>
      <c r="C1091" s="157"/>
      <c r="D1091" s="157"/>
      <c r="E1091" s="157"/>
      <c r="F1091" s="157"/>
      <c r="G1091" s="3"/>
      <c r="H1091" s="156"/>
      <c r="I1091" s="156"/>
      <c r="J1091" s="156"/>
      <c r="K1091" s="165"/>
      <c r="L1091" s="165"/>
      <c r="M1091" s="1"/>
      <c r="N1091" s="164"/>
      <c r="O1091" s="1"/>
      <c r="P1091" s="153"/>
      <c r="Q1091" s="39"/>
      <c r="R1091" s="39"/>
      <c r="S1091" s="39"/>
      <c r="T1091" s="154"/>
      <c r="U1091" s="40"/>
    </row>
    <row r="1092" spans="1:21" ht="20" customHeight="1" x14ac:dyDescent="0.15">
      <c r="A1092" s="284" t="s">
        <v>6988</v>
      </c>
      <c r="B1092" s="157"/>
      <c r="C1092" s="157"/>
      <c r="D1092" s="157"/>
      <c r="E1092" s="157"/>
      <c r="F1092" s="157"/>
      <c r="G1092" s="3"/>
      <c r="H1092" s="156"/>
      <c r="I1092" s="156"/>
      <c r="J1092" s="156"/>
      <c r="K1092" s="165"/>
      <c r="L1092" s="165"/>
      <c r="M1092" s="1"/>
      <c r="N1092" s="164"/>
      <c r="O1092" s="1"/>
      <c r="P1092" s="153"/>
      <c r="Q1092" s="39"/>
      <c r="R1092" s="39"/>
      <c r="S1092" s="39"/>
      <c r="T1092" s="154"/>
      <c r="U1092" s="40"/>
    </row>
    <row r="1093" spans="1:21" ht="20" customHeight="1" x14ac:dyDescent="0.15">
      <c r="A1093" s="284" t="s">
        <v>6989</v>
      </c>
      <c r="B1093" s="157"/>
      <c r="C1093" s="157"/>
      <c r="D1093" s="157"/>
      <c r="E1093" s="157"/>
      <c r="F1093" s="157"/>
      <c r="G1093" s="3"/>
      <c r="H1093" s="156"/>
      <c r="I1093" s="156"/>
      <c r="J1093" s="156"/>
      <c r="K1093" s="165"/>
      <c r="L1093" s="165"/>
      <c r="M1093" s="1"/>
      <c r="N1093" s="164"/>
      <c r="O1093" s="1"/>
      <c r="P1093" s="153"/>
      <c r="Q1093" s="39"/>
      <c r="R1093" s="39"/>
      <c r="S1093" s="39"/>
      <c r="T1093" s="154"/>
      <c r="U1093" s="40"/>
    </row>
    <row r="1094" spans="1:21" ht="20" customHeight="1" x14ac:dyDescent="0.15">
      <c r="A1094" s="284" t="s">
        <v>6990</v>
      </c>
      <c r="B1094" s="157"/>
      <c r="C1094" s="157"/>
      <c r="D1094" s="157"/>
      <c r="E1094" s="157"/>
      <c r="F1094" s="157"/>
      <c r="G1094" s="3"/>
      <c r="H1094" s="156"/>
      <c r="I1094" s="156"/>
      <c r="J1094" s="156"/>
      <c r="K1094" s="165"/>
      <c r="L1094" s="165"/>
      <c r="M1094" s="1"/>
      <c r="N1094" s="164"/>
      <c r="O1094" s="1"/>
      <c r="P1094" s="153"/>
      <c r="Q1094" s="39"/>
      <c r="R1094" s="39"/>
      <c r="S1094" s="39"/>
      <c r="T1094" s="154"/>
      <c r="U1094" s="40"/>
    </row>
    <row r="1095" spans="1:21" ht="20" customHeight="1" x14ac:dyDescent="0.15">
      <c r="A1095" s="284" t="s">
        <v>6991</v>
      </c>
      <c r="B1095" s="157"/>
      <c r="C1095" s="157"/>
      <c r="D1095" s="157"/>
      <c r="E1095" s="157"/>
      <c r="F1095" s="157"/>
      <c r="G1095" s="3"/>
      <c r="H1095" s="156"/>
      <c r="I1095" s="156"/>
      <c r="J1095" s="156"/>
      <c r="K1095" s="165"/>
      <c r="L1095" s="165"/>
      <c r="M1095" s="1"/>
      <c r="N1095" s="164"/>
      <c r="O1095" s="1"/>
      <c r="P1095" s="153"/>
      <c r="Q1095" s="39"/>
      <c r="R1095" s="39"/>
      <c r="S1095" s="39"/>
      <c r="T1095" s="154"/>
      <c r="U1095" s="40"/>
    </row>
    <row r="1096" spans="1:21" ht="20" customHeight="1" x14ac:dyDescent="0.15">
      <c r="A1096" s="284" t="s">
        <v>6992</v>
      </c>
      <c r="B1096" s="157"/>
      <c r="C1096" s="157"/>
      <c r="D1096" s="157"/>
      <c r="E1096" s="157"/>
      <c r="F1096" s="157"/>
      <c r="G1096" s="3"/>
      <c r="H1096" s="156"/>
      <c r="I1096" s="156"/>
      <c r="J1096" s="156"/>
      <c r="K1096" s="165"/>
      <c r="L1096" s="165"/>
      <c r="M1096" s="1"/>
      <c r="N1096" s="164"/>
      <c r="O1096" s="1"/>
      <c r="P1096" s="153"/>
      <c r="Q1096" s="39"/>
      <c r="R1096" s="39"/>
      <c r="S1096" s="39"/>
      <c r="T1096" s="154"/>
      <c r="U1096" s="40"/>
    </row>
    <row r="1097" spans="1:21" ht="20" customHeight="1" x14ac:dyDescent="0.15">
      <c r="A1097" s="284" t="s">
        <v>6993</v>
      </c>
      <c r="B1097" s="157"/>
      <c r="C1097" s="157"/>
      <c r="D1097" s="157"/>
      <c r="E1097" s="157"/>
      <c r="F1097" s="157"/>
      <c r="G1097" s="3"/>
      <c r="H1097" s="156"/>
      <c r="I1097" s="156"/>
      <c r="J1097" s="156"/>
      <c r="K1097" s="165"/>
      <c r="L1097" s="165"/>
      <c r="M1097" s="1"/>
      <c r="N1097" s="164"/>
      <c r="O1097" s="1"/>
      <c r="P1097" s="153"/>
      <c r="Q1097" s="39"/>
      <c r="R1097" s="39"/>
      <c r="S1097" s="39"/>
      <c r="T1097" s="154"/>
      <c r="U1097" s="40"/>
    </row>
    <row r="1098" spans="1:21" ht="20" customHeight="1" x14ac:dyDescent="0.15">
      <c r="A1098" s="284" t="s">
        <v>6994</v>
      </c>
      <c r="B1098" s="157"/>
      <c r="C1098" s="157"/>
      <c r="D1098" s="157"/>
      <c r="E1098" s="157"/>
      <c r="F1098" s="157"/>
      <c r="G1098" s="3"/>
      <c r="H1098" s="156"/>
      <c r="I1098" s="156"/>
      <c r="J1098" s="156"/>
      <c r="K1098" s="165"/>
      <c r="L1098" s="165"/>
      <c r="M1098" s="1"/>
      <c r="N1098" s="164"/>
      <c r="O1098" s="1"/>
      <c r="P1098" s="153"/>
      <c r="Q1098" s="39"/>
      <c r="R1098" s="39"/>
      <c r="S1098" s="39"/>
      <c r="T1098" s="154"/>
      <c r="U1098" s="40"/>
    </row>
    <row r="1099" spans="1:21" ht="20" customHeight="1" x14ac:dyDescent="0.15">
      <c r="A1099" s="284" t="s">
        <v>6995</v>
      </c>
      <c r="B1099" s="157"/>
      <c r="C1099" s="157"/>
      <c r="D1099" s="157"/>
      <c r="E1099" s="157"/>
      <c r="F1099" s="157"/>
      <c r="G1099" s="3"/>
      <c r="H1099" s="156"/>
      <c r="I1099" s="156"/>
      <c r="J1099" s="156"/>
      <c r="K1099" s="165"/>
      <c r="L1099" s="165"/>
      <c r="M1099" s="1"/>
      <c r="N1099" s="164"/>
      <c r="O1099" s="1"/>
      <c r="P1099" s="153"/>
      <c r="Q1099" s="39"/>
      <c r="R1099" s="39"/>
      <c r="S1099" s="39"/>
      <c r="T1099" s="154"/>
      <c r="U1099" s="40"/>
    </row>
    <row r="1100" spans="1:21" ht="20" customHeight="1" x14ac:dyDescent="0.15">
      <c r="A1100" s="284" t="s">
        <v>6996</v>
      </c>
      <c r="B1100" s="157"/>
      <c r="C1100" s="157"/>
      <c r="D1100" s="157"/>
      <c r="E1100" s="157"/>
      <c r="F1100" s="157"/>
      <c r="G1100" s="3"/>
      <c r="H1100" s="156"/>
      <c r="I1100" s="156"/>
      <c r="J1100" s="156"/>
      <c r="K1100" s="165"/>
      <c r="L1100" s="165"/>
      <c r="M1100" s="1"/>
      <c r="N1100" s="164"/>
      <c r="O1100" s="1"/>
      <c r="P1100" s="153"/>
      <c r="Q1100" s="39"/>
      <c r="R1100" s="39"/>
      <c r="S1100" s="39"/>
      <c r="T1100" s="154"/>
      <c r="U1100" s="40"/>
    </row>
    <row r="1101" spans="1:21" ht="20" customHeight="1" x14ac:dyDescent="0.15">
      <c r="A1101" s="284" t="s">
        <v>6997</v>
      </c>
      <c r="B1101" s="157"/>
      <c r="C1101" s="157"/>
      <c r="D1101" s="157"/>
      <c r="E1101" s="157"/>
      <c r="F1101" s="157"/>
      <c r="G1101" s="3"/>
      <c r="H1101" s="156"/>
      <c r="I1101" s="156"/>
      <c r="J1101" s="156"/>
      <c r="K1101" s="165"/>
      <c r="L1101" s="165"/>
      <c r="M1101" s="1"/>
      <c r="N1101" s="164"/>
      <c r="O1101" s="1"/>
      <c r="P1101" s="153"/>
      <c r="Q1101" s="39"/>
      <c r="R1101" s="39"/>
      <c r="S1101" s="39"/>
      <c r="T1101" s="154"/>
      <c r="U1101" s="40"/>
    </row>
    <row r="1102" spans="1:21" ht="20" customHeight="1" x14ac:dyDescent="0.15">
      <c r="A1102" s="284" t="s">
        <v>6998</v>
      </c>
      <c r="B1102" s="157"/>
      <c r="C1102" s="157"/>
      <c r="D1102" s="157"/>
      <c r="E1102" s="157"/>
      <c r="F1102" s="157"/>
      <c r="G1102" s="3"/>
      <c r="H1102" s="156"/>
      <c r="I1102" s="156"/>
      <c r="J1102" s="156"/>
      <c r="K1102" s="165"/>
      <c r="L1102" s="165"/>
      <c r="M1102" s="1"/>
      <c r="N1102" s="164"/>
      <c r="O1102" s="1"/>
      <c r="P1102" s="153"/>
      <c r="Q1102" s="39"/>
      <c r="R1102" s="39"/>
      <c r="S1102" s="39"/>
      <c r="T1102" s="154"/>
      <c r="U1102" s="40"/>
    </row>
    <row r="1103" spans="1:21" ht="20" customHeight="1" x14ac:dyDescent="0.15">
      <c r="A1103" s="284" t="s">
        <v>6999</v>
      </c>
      <c r="B1103" s="157"/>
      <c r="C1103" s="157"/>
      <c r="D1103" s="157"/>
      <c r="E1103" s="157"/>
      <c r="F1103" s="157"/>
      <c r="G1103" s="3"/>
      <c r="H1103" s="156"/>
      <c r="I1103" s="156"/>
      <c r="J1103" s="156"/>
      <c r="K1103" s="165"/>
      <c r="L1103" s="165"/>
      <c r="M1103" s="1"/>
      <c r="N1103" s="164"/>
      <c r="O1103" s="1"/>
      <c r="P1103" s="153"/>
      <c r="Q1103" s="39"/>
      <c r="R1103" s="39"/>
      <c r="S1103" s="39"/>
      <c r="T1103" s="154"/>
      <c r="U1103" s="40"/>
    </row>
    <row r="1104" spans="1:21" ht="20" customHeight="1" x14ac:dyDescent="0.15">
      <c r="A1104" s="284" t="s">
        <v>7000</v>
      </c>
      <c r="B1104" s="157"/>
      <c r="C1104" s="157"/>
      <c r="D1104" s="157"/>
      <c r="E1104" s="157"/>
      <c r="F1104" s="157"/>
      <c r="G1104" s="3"/>
      <c r="H1104" s="156"/>
      <c r="I1104" s="156"/>
      <c r="J1104" s="156"/>
      <c r="K1104" s="165"/>
      <c r="L1104" s="165"/>
      <c r="M1104" s="1"/>
      <c r="N1104" s="164"/>
      <c r="O1104" s="1"/>
      <c r="P1104" s="153"/>
      <c r="Q1104" s="39"/>
      <c r="R1104" s="39"/>
      <c r="S1104" s="39"/>
      <c r="T1104" s="154"/>
      <c r="U1104" s="40"/>
    </row>
    <row r="1105" spans="1:21" ht="20" customHeight="1" x14ac:dyDescent="0.15">
      <c r="A1105" s="284" t="s">
        <v>7001</v>
      </c>
      <c r="B1105" s="157"/>
      <c r="C1105" s="157"/>
      <c r="D1105" s="157"/>
      <c r="E1105" s="157"/>
      <c r="F1105" s="157"/>
      <c r="G1105" s="3"/>
      <c r="H1105" s="156"/>
      <c r="I1105" s="156"/>
      <c r="J1105" s="156"/>
      <c r="K1105" s="165"/>
      <c r="L1105" s="165"/>
      <c r="M1105" s="1"/>
      <c r="N1105" s="164"/>
      <c r="O1105" s="1"/>
      <c r="P1105" s="153"/>
      <c r="Q1105" s="39"/>
      <c r="R1105" s="39"/>
      <c r="S1105" s="39"/>
      <c r="T1105" s="154"/>
      <c r="U1105" s="40"/>
    </row>
    <row r="1106" spans="1:21" ht="20" customHeight="1" x14ac:dyDescent="0.15">
      <c r="A1106" s="284" t="s">
        <v>7002</v>
      </c>
      <c r="B1106" s="157"/>
      <c r="C1106" s="157"/>
      <c r="D1106" s="157"/>
      <c r="E1106" s="157"/>
      <c r="F1106" s="157"/>
      <c r="G1106" s="3"/>
      <c r="H1106" s="156"/>
      <c r="I1106" s="156"/>
      <c r="J1106" s="156"/>
      <c r="K1106" s="165"/>
      <c r="L1106" s="165"/>
      <c r="M1106" s="1"/>
      <c r="N1106" s="164"/>
      <c r="O1106" s="1"/>
      <c r="P1106" s="153"/>
      <c r="Q1106" s="39"/>
      <c r="R1106" s="39"/>
      <c r="S1106" s="39"/>
      <c r="T1106" s="154"/>
      <c r="U1106" s="40"/>
    </row>
    <row r="1107" spans="1:21" ht="20" customHeight="1" x14ac:dyDescent="0.15">
      <c r="A1107" s="284" t="s">
        <v>7003</v>
      </c>
      <c r="B1107" s="157"/>
      <c r="C1107" s="157"/>
      <c r="D1107" s="157"/>
      <c r="E1107" s="157"/>
      <c r="F1107" s="157"/>
      <c r="G1107" s="3"/>
      <c r="H1107" s="156"/>
      <c r="I1107" s="156"/>
      <c r="J1107" s="156"/>
      <c r="K1107" s="165"/>
      <c r="L1107" s="165"/>
      <c r="M1107" s="1"/>
      <c r="N1107" s="164"/>
      <c r="O1107" s="1"/>
      <c r="P1107" s="153"/>
      <c r="Q1107" s="39"/>
      <c r="R1107" s="39"/>
      <c r="S1107" s="39"/>
      <c r="T1107" s="154"/>
      <c r="U1107" s="40"/>
    </row>
    <row r="1108" spans="1:21" ht="20" customHeight="1" x14ac:dyDescent="0.15">
      <c r="A1108" s="284" t="s">
        <v>7004</v>
      </c>
      <c r="B1108" s="157"/>
      <c r="C1108" s="157"/>
      <c r="D1108" s="157"/>
      <c r="E1108" s="157"/>
      <c r="F1108" s="157"/>
      <c r="G1108" s="3"/>
      <c r="H1108" s="156"/>
      <c r="I1108" s="156"/>
      <c r="J1108" s="156"/>
      <c r="K1108" s="165"/>
      <c r="L1108" s="165"/>
      <c r="M1108" s="1"/>
      <c r="N1108" s="164"/>
      <c r="O1108" s="1"/>
      <c r="P1108" s="153"/>
      <c r="Q1108" s="39"/>
      <c r="R1108" s="39"/>
      <c r="S1108" s="39"/>
      <c r="T1108" s="154"/>
      <c r="U1108" s="40"/>
    </row>
    <row r="1109" spans="1:21" ht="20" customHeight="1" x14ac:dyDescent="0.15">
      <c r="A1109" s="284" t="s">
        <v>7005</v>
      </c>
      <c r="B1109" s="157"/>
      <c r="C1109" s="157"/>
      <c r="D1109" s="157"/>
      <c r="E1109" s="157"/>
      <c r="F1109" s="157"/>
      <c r="G1109" s="3"/>
      <c r="H1109" s="156"/>
      <c r="I1109" s="156"/>
      <c r="J1109" s="156"/>
      <c r="K1109" s="165"/>
      <c r="L1109" s="165"/>
      <c r="M1109" s="1"/>
      <c r="N1109" s="164"/>
      <c r="O1109" s="1"/>
      <c r="P1109" s="153"/>
      <c r="Q1109" s="39"/>
      <c r="R1109" s="39"/>
      <c r="S1109" s="39"/>
      <c r="T1109" s="154"/>
      <c r="U1109" s="40"/>
    </row>
    <row r="1110" spans="1:21" ht="20" customHeight="1" x14ac:dyDescent="0.15">
      <c r="A1110" s="284" t="s">
        <v>7006</v>
      </c>
      <c r="B1110" s="157"/>
      <c r="C1110" s="157"/>
      <c r="D1110" s="157"/>
      <c r="E1110" s="157"/>
      <c r="F1110" s="157"/>
      <c r="G1110" s="3"/>
      <c r="H1110" s="156"/>
      <c r="I1110" s="156"/>
      <c r="J1110" s="156"/>
      <c r="K1110" s="165"/>
      <c r="L1110" s="165"/>
      <c r="M1110" s="1"/>
      <c r="N1110" s="164"/>
      <c r="O1110" s="1"/>
      <c r="P1110" s="153"/>
      <c r="Q1110" s="39"/>
      <c r="R1110" s="39"/>
      <c r="S1110" s="39"/>
      <c r="T1110" s="154"/>
      <c r="U1110" s="40"/>
    </row>
    <row r="1111" spans="1:21" ht="20" customHeight="1" x14ac:dyDescent="0.15">
      <c r="A1111" s="284" t="s">
        <v>7007</v>
      </c>
      <c r="B1111" s="157"/>
      <c r="C1111" s="157"/>
      <c r="D1111" s="157"/>
      <c r="E1111" s="157"/>
      <c r="F1111" s="157"/>
      <c r="G1111" s="3"/>
      <c r="H1111" s="156"/>
      <c r="I1111" s="156"/>
      <c r="J1111" s="156"/>
      <c r="K1111" s="165"/>
      <c r="L1111" s="165"/>
      <c r="M1111" s="1"/>
      <c r="N1111" s="164"/>
      <c r="O1111" s="1"/>
      <c r="P1111" s="153"/>
      <c r="Q1111" s="39"/>
      <c r="R1111" s="39"/>
      <c r="S1111" s="39"/>
      <c r="T1111" s="154"/>
      <c r="U1111" s="40"/>
    </row>
    <row r="1112" spans="1:21" ht="20" customHeight="1" x14ac:dyDescent="0.15">
      <c r="A1112" s="284" t="s">
        <v>7008</v>
      </c>
      <c r="B1112" s="157"/>
      <c r="C1112" s="157"/>
      <c r="D1112" s="157"/>
      <c r="E1112" s="157"/>
      <c r="F1112" s="157"/>
      <c r="G1112" s="3"/>
      <c r="H1112" s="156"/>
      <c r="I1112" s="156"/>
      <c r="J1112" s="156"/>
      <c r="K1112" s="165"/>
      <c r="L1112" s="165"/>
      <c r="M1112" s="1"/>
      <c r="N1112" s="164"/>
      <c r="O1112" s="1"/>
      <c r="P1112" s="153"/>
      <c r="Q1112" s="39"/>
      <c r="R1112" s="39"/>
      <c r="S1112" s="39"/>
      <c r="T1112" s="154"/>
      <c r="U1112" s="40"/>
    </row>
    <row r="1113" spans="1:21" ht="20" customHeight="1" x14ac:dyDescent="0.15">
      <c r="A1113" s="284" t="s">
        <v>7009</v>
      </c>
      <c r="B1113" s="157"/>
      <c r="C1113" s="157"/>
      <c r="D1113" s="157"/>
      <c r="E1113" s="157"/>
      <c r="F1113" s="157"/>
      <c r="G1113" s="3"/>
      <c r="H1113" s="156"/>
      <c r="I1113" s="156"/>
      <c r="J1113" s="156"/>
      <c r="K1113" s="165"/>
      <c r="L1113" s="165"/>
      <c r="M1113" s="1"/>
      <c r="N1113" s="164"/>
      <c r="O1113" s="1"/>
      <c r="P1113" s="153"/>
      <c r="Q1113" s="39"/>
      <c r="R1113" s="39"/>
      <c r="S1113" s="39"/>
      <c r="T1113" s="154"/>
      <c r="U1113" s="40"/>
    </row>
    <row r="1114" spans="1:21" ht="20" customHeight="1" x14ac:dyDescent="0.15">
      <c r="A1114" s="284" t="s">
        <v>7010</v>
      </c>
      <c r="B1114" s="157"/>
      <c r="C1114" s="157"/>
      <c r="D1114" s="157"/>
      <c r="E1114" s="157"/>
      <c r="F1114" s="157"/>
      <c r="G1114" s="3"/>
      <c r="H1114" s="156"/>
      <c r="I1114" s="156"/>
      <c r="J1114" s="156"/>
      <c r="K1114" s="165"/>
      <c r="L1114" s="165"/>
      <c r="M1114" s="1"/>
      <c r="N1114" s="164"/>
      <c r="O1114" s="1"/>
      <c r="P1114" s="153"/>
      <c r="Q1114" s="39"/>
      <c r="R1114" s="39"/>
      <c r="S1114" s="39"/>
      <c r="T1114" s="154"/>
      <c r="U1114" s="40"/>
    </row>
    <row r="1115" spans="1:21" ht="20" customHeight="1" x14ac:dyDescent="0.15">
      <c r="A1115" s="284" t="s">
        <v>7011</v>
      </c>
      <c r="B1115" s="157"/>
      <c r="C1115" s="157"/>
      <c r="D1115" s="157"/>
      <c r="E1115" s="157"/>
      <c r="F1115" s="157"/>
      <c r="G1115" s="3"/>
      <c r="H1115" s="156"/>
      <c r="I1115" s="156"/>
      <c r="J1115" s="156"/>
      <c r="K1115" s="165"/>
      <c r="L1115" s="165"/>
      <c r="M1115" s="1"/>
      <c r="N1115" s="164"/>
      <c r="O1115" s="1"/>
      <c r="P1115" s="153"/>
      <c r="Q1115" s="39"/>
      <c r="R1115" s="39"/>
      <c r="S1115" s="39"/>
      <c r="T1115" s="154"/>
      <c r="U1115" s="40"/>
    </row>
    <row r="1116" spans="1:21" ht="20" customHeight="1" x14ac:dyDescent="0.15">
      <c r="A1116" s="284" t="s">
        <v>7012</v>
      </c>
      <c r="B1116" s="157"/>
      <c r="C1116" s="157"/>
      <c r="D1116" s="157"/>
      <c r="E1116" s="157"/>
      <c r="F1116" s="157"/>
      <c r="G1116" s="3"/>
      <c r="H1116" s="156"/>
      <c r="I1116" s="156"/>
      <c r="J1116" s="156"/>
      <c r="K1116" s="165"/>
      <c r="L1116" s="165"/>
      <c r="M1116" s="1"/>
      <c r="N1116" s="164"/>
      <c r="O1116" s="1"/>
      <c r="P1116" s="153"/>
      <c r="Q1116" s="39"/>
      <c r="R1116" s="39"/>
      <c r="S1116" s="39"/>
      <c r="T1116" s="154"/>
      <c r="U1116" s="40"/>
    </row>
    <row r="1117" spans="1:21" ht="20" customHeight="1" x14ac:dyDescent="0.15">
      <c r="A1117" s="284" t="s">
        <v>7013</v>
      </c>
      <c r="B1117" s="157"/>
      <c r="C1117" s="157"/>
      <c r="D1117" s="157"/>
      <c r="E1117" s="157"/>
      <c r="F1117" s="157"/>
      <c r="G1117" s="3"/>
      <c r="H1117" s="156"/>
      <c r="I1117" s="156"/>
      <c r="J1117" s="156"/>
      <c r="K1117" s="165"/>
      <c r="L1117" s="165"/>
      <c r="M1117" s="1"/>
      <c r="N1117" s="164"/>
      <c r="O1117" s="1"/>
      <c r="P1117" s="153"/>
      <c r="Q1117" s="39"/>
      <c r="R1117" s="39"/>
      <c r="S1117" s="39"/>
      <c r="T1117" s="154"/>
      <c r="U1117" s="40"/>
    </row>
    <row r="1118" spans="1:21" ht="20" customHeight="1" x14ac:dyDescent="0.15">
      <c r="A1118" s="284" t="s">
        <v>7014</v>
      </c>
      <c r="B1118" s="157"/>
      <c r="C1118" s="157"/>
      <c r="D1118" s="157"/>
      <c r="E1118" s="157"/>
      <c r="F1118" s="157"/>
      <c r="G1118" s="3"/>
      <c r="H1118" s="156"/>
      <c r="I1118" s="156"/>
      <c r="J1118" s="156"/>
      <c r="K1118" s="165"/>
      <c r="L1118" s="165"/>
      <c r="M1118" s="1"/>
      <c r="N1118" s="164"/>
      <c r="O1118" s="1"/>
      <c r="P1118" s="153"/>
      <c r="Q1118" s="39"/>
      <c r="R1118" s="39"/>
      <c r="S1118" s="39"/>
      <c r="T1118" s="154"/>
      <c r="U1118" s="40"/>
    </row>
    <row r="1119" spans="1:21" ht="20" customHeight="1" x14ac:dyDescent="0.15">
      <c r="A1119" s="284" t="s">
        <v>7015</v>
      </c>
      <c r="B1119" s="157"/>
      <c r="C1119" s="157"/>
      <c r="D1119" s="157"/>
      <c r="E1119" s="157"/>
      <c r="F1119" s="157"/>
      <c r="G1119" s="3"/>
      <c r="H1119" s="156"/>
      <c r="I1119" s="156"/>
      <c r="J1119" s="156"/>
      <c r="K1119" s="165"/>
      <c r="L1119" s="165"/>
      <c r="M1119" s="1"/>
      <c r="N1119" s="164"/>
      <c r="O1119" s="1"/>
      <c r="P1119" s="153"/>
      <c r="Q1119" s="39"/>
      <c r="R1119" s="39"/>
      <c r="S1119" s="39"/>
      <c r="T1119" s="154"/>
      <c r="U1119" s="40"/>
    </row>
    <row r="1120" spans="1:21" ht="20" customHeight="1" x14ac:dyDescent="0.15">
      <c r="A1120" s="284" t="s">
        <v>7016</v>
      </c>
      <c r="B1120" s="157"/>
      <c r="C1120" s="157"/>
      <c r="D1120" s="157"/>
      <c r="E1120" s="157"/>
      <c r="F1120" s="157"/>
      <c r="G1120" s="3"/>
      <c r="H1120" s="156"/>
      <c r="I1120" s="156"/>
      <c r="J1120" s="156"/>
      <c r="K1120" s="165"/>
      <c r="L1120" s="165"/>
      <c r="M1120" s="1"/>
      <c r="N1120" s="164"/>
      <c r="O1120" s="1"/>
      <c r="P1120" s="153"/>
      <c r="Q1120" s="39"/>
      <c r="R1120" s="39"/>
      <c r="S1120" s="39"/>
      <c r="T1120" s="154"/>
      <c r="U1120" s="40"/>
    </row>
    <row r="1121" spans="1:21" ht="20" customHeight="1" x14ac:dyDescent="0.15">
      <c r="A1121" s="284" t="s">
        <v>7017</v>
      </c>
      <c r="B1121" s="157"/>
      <c r="C1121" s="157"/>
      <c r="D1121" s="157"/>
      <c r="E1121" s="157"/>
      <c r="F1121" s="157"/>
      <c r="G1121" s="3"/>
      <c r="H1121" s="156"/>
      <c r="I1121" s="156"/>
      <c r="J1121" s="156"/>
      <c r="K1121" s="165"/>
      <c r="L1121" s="165"/>
      <c r="M1121" s="1"/>
      <c r="N1121" s="164"/>
      <c r="O1121" s="1"/>
      <c r="P1121" s="153"/>
      <c r="Q1121" s="39"/>
      <c r="R1121" s="39"/>
      <c r="S1121" s="39"/>
      <c r="T1121" s="154"/>
      <c r="U1121" s="40"/>
    </row>
    <row r="1122" spans="1:21" ht="20" customHeight="1" x14ac:dyDescent="0.15">
      <c r="A1122" s="284" t="s">
        <v>7018</v>
      </c>
      <c r="B1122" s="157"/>
      <c r="C1122" s="157"/>
      <c r="D1122" s="157"/>
      <c r="E1122" s="157"/>
      <c r="F1122" s="157"/>
      <c r="G1122" s="3"/>
      <c r="H1122" s="156"/>
      <c r="I1122" s="156"/>
      <c r="J1122" s="156"/>
      <c r="K1122" s="165"/>
      <c r="L1122" s="165"/>
      <c r="M1122" s="1"/>
      <c r="N1122" s="164"/>
      <c r="O1122" s="1"/>
      <c r="P1122" s="153"/>
      <c r="Q1122" s="39"/>
      <c r="R1122" s="39"/>
      <c r="S1122" s="39"/>
      <c r="T1122" s="154"/>
      <c r="U1122" s="40"/>
    </row>
    <row r="1123" spans="1:21" ht="20" customHeight="1" x14ac:dyDescent="0.15">
      <c r="A1123" s="284" t="s">
        <v>7019</v>
      </c>
      <c r="B1123" s="157"/>
      <c r="C1123" s="157"/>
      <c r="D1123" s="157"/>
      <c r="E1123" s="157"/>
      <c r="F1123" s="157"/>
      <c r="G1123" s="3"/>
      <c r="H1123" s="156"/>
      <c r="I1123" s="156"/>
      <c r="J1123" s="156"/>
      <c r="K1123" s="165"/>
      <c r="L1123" s="165"/>
      <c r="M1123" s="1"/>
      <c r="N1123" s="164"/>
      <c r="O1123" s="1"/>
      <c r="P1123" s="153"/>
      <c r="Q1123" s="39"/>
      <c r="R1123" s="39"/>
      <c r="S1123" s="39"/>
      <c r="T1123" s="154"/>
      <c r="U1123" s="40"/>
    </row>
    <row r="1124" spans="1:21" ht="20" customHeight="1" x14ac:dyDescent="0.15">
      <c r="A1124" s="284" t="s">
        <v>7020</v>
      </c>
      <c r="B1124" s="157"/>
      <c r="C1124" s="157"/>
      <c r="D1124" s="157"/>
      <c r="E1124" s="157"/>
      <c r="F1124" s="157"/>
      <c r="G1124" s="3"/>
      <c r="H1124" s="156"/>
      <c r="I1124" s="156"/>
      <c r="J1124" s="156"/>
      <c r="K1124" s="165"/>
      <c r="L1124" s="165"/>
      <c r="M1124" s="1"/>
      <c r="N1124" s="164"/>
      <c r="O1124" s="1"/>
      <c r="P1124" s="153"/>
      <c r="Q1124" s="39"/>
      <c r="R1124" s="39"/>
      <c r="S1124" s="39"/>
      <c r="T1124" s="154"/>
      <c r="U1124" s="40"/>
    </row>
    <row r="1125" spans="1:21" ht="20" customHeight="1" x14ac:dyDescent="0.15">
      <c r="A1125" s="284" t="s">
        <v>7021</v>
      </c>
      <c r="B1125" s="157"/>
      <c r="C1125" s="157"/>
      <c r="D1125" s="157"/>
      <c r="E1125" s="157"/>
      <c r="F1125" s="157"/>
      <c r="G1125" s="3"/>
      <c r="H1125" s="156"/>
      <c r="I1125" s="156"/>
      <c r="J1125" s="156"/>
      <c r="K1125" s="165"/>
      <c r="L1125" s="165"/>
      <c r="M1125" s="1"/>
      <c r="N1125" s="164"/>
      <c r="O1125" s="1"/>
      <c r="P1125" s="153"/>
      <c r="Q1125" s="39"/>
      <c r="R1125" s="39"/>
      <c r="S1125" s="39"/>
      <c r="T1125" s="154"/>
      <c r="U1125" s="40"/>
    </row>
    <row r="1126" spans="1:21" ht="20" customHeight="1" x14ac:dyDescent="0.15">
      <c r="A1126" s="284" t="s">
        <v>7022</v>
      </c>
      <c r="B1126" s="157"/>
      <c r="C1126" s="157"/>
      <c r="D1126" s="157"/>
      <c r="E1126" s="157"/>
      <c r="F1126" s="157"/>
      <c r="G1126" s="3"/>
      <c r="H1126" s="156"/>
      <c r="I1126" s="156"/>
      <c r="J1126" s="156"/>
      <c r="K1126" s="165"/>
      <c r="L1126" s="165"/>
      <c r="M1126" s="1"/>
      <c r="N1126" s="164"/>
      <c r="O1126" s="1"/>
      <c r="P1126" s="153"/>
      <c r="Q1126" s="39"/>
      <c r="R1126" s="39"/>
      <c r="S1126" s="39"/>
      <c r="T1126" s="154"/>
      <c r="U1126" s="40"/>
    </row>
    <row r="1127" spans="1:21" ht="20" customHeight="1" x14ac:dyDescent="0.15">
      <c r="A1127" s="284" t="s">
        <v>7023</v>
      </c>
      <c r="B1127" s="157"/>
      <c r="C1127" s="157"/>
      <c r="D1127" s="157"/>
      <c r="E1127" s="157"/>
      <c r="F1127" s="157"/>
      <c r="G1127" s="3"/>
      <c r="H1127" s="156"/>
      <c r="I1127" s="156"/>
      <c r="J1127" s="156"/>
      <c r="K1127" s="165"/>
      <c r="L1127" s="165"/>
      <c r="M1127" s="1"/>
      <c r="N1127" s="164"/>
      <c r="O1127" s="1"/>
      <c r="P1127" s="153"/>
      <c r="Q1127" s="39"/>
      <c r="R1127" s="39"/>
      <c r="S1127" s="39"/>
      <c r="T1127" s="154"/>
      <c r="U1127" s="40"/>
    </row>
    <row r="1128" spans="1:21" ht="20" customHeight="1" x14ac:dyDescent="0.15">
      <c r="A1128" s="284" t="s">
        <v>7024</v>
      </c>
      <c r="B1128" s="157"/>
      <c r="C1128" s="157"/>
      <c r="D1128" s="157"/>
      <c r="E1128" s="157"/>
      <c r="F1128" s="157"/>
      <c r="G1128" s="3"/>
      <c r="H1128" s="156"/>
      <c r="I1128" s="156"/>
      <c r="J1128" s="156"/>
      <c r="K1128" s="165"/>
      <c r="L1128" s="165"/>
      <c r="M1128" s="1"/>
      <c r="N1128" s="164"/>
      <c r="O1128" s="1"/>
      <c r="P1128" s="153"/>
      <c r="Q1128" s="39"/>
      <c r="R1128" s="39"/>
      <c r="S1128" s="39"/>
      <c r="T1128" s="154"/>
      <c r="U1128" s="40"/>
    </row>
    <row r="1129" spans="1:21" ht="20" customHeight="1" x14ac:dyDescent="0.15">
      <c r="A1129" s="284" t="s">
        <v>7025</v>
      </c>
      <c r="B1129" s="157"/>
      <c r="C1129" s="157"/>
      <c r="D1129" s="157"/>
      <c r="E1129" s="157"/>
      <c r="F1129" s="157"/>
      <c r="G1129" s="3"/>
      <c r="H1129" s="156"/>
      <c r="I1129" s="156"/>
      <c r="J1129" s="156"/>
      <c r="K1129" s="165"/>
      <c r="L1129" s="165"/>
      <c r="M1129" s="1"/>
      <c r="N1129" s="164"/>
      <c r="O1129" s="1"/>
      <c r="P1129" s="153"/>
      <c r="Q1129" s="39"/>
      <c r="R1129" s="39"/>
      <c r="S1129" s="39"/>
      <c r="T1129" s="154"/>
      <c r="U1129" s="40"/>
    </row>
    <row r="1130" spans="1:21" ht="20" customHeight="1" x14ac:dyDescent="0.15">
      <c r="A1130" s="284" t="s">
        <v>7026</v>
      </c>
      <c r="B1130" s="157"/>
      <c r="C1130" s="157"/>
      <c r="D1130" s="157"/>
      <c r="E1130" s="157"/>
      <c r="F1130" s="157"/>
      <c r="G1130" s="3"/>
      <c r="H1130" s="156"/>
      <c r="I1130" s="156"/>
      <c r="J1130" s="156"/>
      <c r="K1130" s="165"/>
      <c r="L1130" s="165"/>
      <c r="M1130" s="1"/>
      <c r="N1130" s="164"/>
      <c r="O1130" s="1"/>
      <c r="P1130" s="153"/>
      <c r="Q1130" s="39"/>
      <c r="R1130" s="39"/>
      <c r="S1130" s="39"/>
      <c r="T1130" s="154"/>
      <c r="U1130" s="40"/>
    </row>
    <row r="1131" spans="1:21" ht="20" customHeight="1" x14ac:dyDescent="0.15">
      <c r="A1131" s="284" t="s">
        <v>7027</v>
      </c>
      <c r="B1131" s="157"/>
      <c r="C1131" s="157"/>
      <c r="D1131" s="157"/>
      <c r="E1131" s="157"/>
      <c r="F1131" s="157"/>
      <c r="G1131" s="3"/>
      <c r="H1131" s="156"/>
      <c r="I1131" s="156"/>
      <c r="J1131" s="156"/>
      <c r="K1131" s="165"/>
      <c r="L1131" s="165"/>
      <c r="M1131" s="1"/>
      <c r="N1131" s="164"/>
      <c r="O1131" s="1"/>
      <c r="P1131" s="153"/>
      <c r="Q1131" s="39"/>
      <c r="R1131" s="39"/>
      <c r="S1131" s="39"/>
      <c r="T1131" s="154"/>
      <c r="U1131" s="40"/>
    </row>
    <row r="1132" spans="1:21" ht="20" customHeight="1" x14ac:dyDescent="0.15">
      <c r="A1132" s="284" t="s">
        <v>7028</v>
      </c>
      <c r="B1132" s="157"/>
      <c r="C1132" s="157"/>
      <c r="D1132" s="157"/>
      <c r="E1132" s="157"/>
      <c r="F1132" s="157"/>
      <c r="G1132" s="3"/>
      <c r="H1132" s="156"/>
      <c r="I1132" s="156"/>
      <c r="J1132" s="156"/>
      <c r="K1132" s="165"/>
      <c r="L1132" s="165"/>
      <c r="M1132" s="1"/>
      <c r="N1132" s="164"/>
      <c r="O1132" s="1"/>
      <c r="P1132" s="153"/>
      <c r="Q1132" s="39"/>
      <c r="R1132" s="39"/>
      <c r="S1132" s="39"/>
      <c r="T1132" s="154"/>
      <c r="U1132" s="40"/>
    </row>
    <row r="1133" spans="1:21" ht="20" customHeight="1" x14ac:dyDescent="0.15">
      <c r="A1133" s="284" t="s">
        <v>7029</v>
      </c>
      <c r="B1133" s="157"/>
      <c r="C1133" s="157"/>
      <c r="D1133" s="157"/>
      <c r="E1133" s="157"/>
      <c r="F1133" s="157"/>
      <c r="G1133" s="3"/>
      <c r="H1133" s="156"/>
      <c r="I1133" s="156"/>
      <c r="J1133" s="156"/>
      <c r="K1133" s="165"/>
      <c r="L1133" s="165"/>
      <c r="M1133" s="1"/>
      <c r="N1133" s="164"/>
      <c r="O1133" s="1"/>
      <c r="P1133" s="153"/>
      <c r="Q1133" s="39"/>
      <c r="R1133" s="39"/>
      <c r="S1133" s="39"/>
      <c r="T1133" s="154"/>
      <c r="U1133" s="40"/>
    </row>
    <row r="1134" spans="1:21" ht="20" customHeight="1" x14ac:dyDescent="0.15">
      <c r="A1134" s="284" t="s">
        <v>7030</v>
      </c>
      <c r="B1134" s="157"/>
      <c r="C1134" s="157"/>
      <c r="D1134" s="157"/>
      <c r="E1134" s="157"/>
      <c r="F1134" s="157"/>
      <c r="G1134" s="3"/>
      <c r="H1134" s="156"/>
      <c r="I1134" s="156"/>
      <c r="J1134" s="156"/>
      <c r="K1134" s="165"/>
      <c r="L1134" s="165"/>
      <c r="M1134" s="1"/>
      <c r="N1134" s="164"/>
      <c r="O1134" s="1"/>
      <c r="P1134" s="153"/>
      <c r="Q1134" s="39"/>
      <c r="R1134" s="39"/>
      <c r="S1134" s="39"/>
      <c r="T1134" s="154"/>
      <c r="U1134" s="40"/>
    </row>
    <row r="1135" spans="1:21" ht="20" customHeight="1" x14ac:dyDescent="0.15">
      <c r="A1135" s="284" t="s">
        <v>7031</v>
      </c>
      <c r="B1135" s="157"/>
      <c r="C1135" s="157"/>
      <c r="D1135" s="157"/>
      <c r="E1135" s="157"/>
      <c r="F1135" s="157"/>
      <c r="G1135" s="3"/>
      <c r="H1135" s="156"/>
      <c r="I1135" s="156"/>
      <c r="J1135" s="156"/>
      <c r="K1135" s="165"/>
      <c r="L1135" s="165"/>
      <c r="M1135" s="1"/>
      <c r="N1135" s="164"/>
      <c r="O1135" s="1"/>
      <c r="P1135" s="153"/>
      <c r="Q1135" s="39"/>
      <c r="R1135" s="39"/>
      <c r="S1135" s="39"/>
      <c r="T1135" s="154"/>
      <c r="U1135" s="40"/>
    </row>
    <row r="1136" spans="1:21" ht="20" customHeight="1" x14ac:dyDescent="0.15">
      <c r="A1136" s="284" t="s">
        <v>7032</v>
      </c>
      <c r="B1136" s="157"/>
      <c r="C1136" s="157"/>
      <c r="D1136" s="157"/>
      <c r="E1136" s="157"/>
      <c r="F1136" s="157"/>
      <c r="G1136" s="3"/>
      <c r="H1136" s="156"/>
      <c r="I1136" s="156"/>
      <c r="J1136" s="156"/>
      <c r="K1136" s="165"/>
      <c r="L1136" s="165"/>
      <c r="M1136" s="1"/>
      <c r="N1136" s="164"/>
      <c r="O1136" s="1"/>
      <c r="P1136" s="153"/>
      <c r="Q1136" s="39"/>
      <c r="R1136" s="39"/>
      <c r="S1136" s="39"/>
      <c r="T1136" s="154"/>
      <c r="U1136" s="40"/>
    </row>
    <row r="1137" spans="1:21" ht="20" customHeight="1" x14ac:dyDescent="0.15">
      <c r="A1137" s="284" t="s">
        <v>7033</v>
      </c>
      <c r="B1137" s="157"/>
      <c r="C1137" s="157"/>
      <c r="D1137" s="157"/>
      <c r="E1137" s="157"/>
      <c r="F1137" s="157"/>
      <c r="G1137" s="3"/>
      <c r="H1137" s="156"/>
      <c r="I1137" s="156"/>
      <c r="J1137" s="156"/>
      <c r="K1137" s="165"/>
      <c r="L1137" s="165"/>
      <c r="M1137" s="1"/>
      <c r="N1137" s="164"/>
      <c r="O1137" s="1"/>
      <c r="P1137" s="153"/>
      <c r="Q1137" s="39"/>
      <c r="R1137" s="39"/>
      <c r="S1137" s="39"/>
      <c r="T1137" s="154"/>
      <c r="U1137" s="40"/>
    </row>
    <row r="1138" spans="1:21" ht="20" customHeight="1" x14ac:dyDescent="0.15">
      <c r="A1138" s="284" t="s">
        <v>7034</v>
      </c>
      <c r="B1138" s="157"/>
      <c r="C1138" s="157"/>
      <c r="D1138" s="157"/>
      <c r="E1138" s="157"/>
      <c r="F1138" s="157"/>
      <c r="G1138" s="3"/>
      <c r="H1138" s="156"/>
      <c r="I1138" s="156"/>
      <c r="J1138" s="156"/>
      <c r="K1138" s="165"/>
      <c r="L1138" s="165"/>
      <c r="M1138" s="1"/>
      <c r="N1138" s="164"/>
      <c r="O1138" s="1"/>
      <c r="P1138" s="153"/>
      <c r="Q1138" s="39"/>
      <c r="R1138" s="39"/>
      <c r="S1138" s="39"/>
      <c r="T1138" s="154"/>
      <c r="U1138" s="40"/>
    </row>
    <row r="1139" spans="1:21" ht="20" customHeight="1" x14ac:dyDescent="0.15">
      <c r="A1139" s="284" t="s">
        <v>7035</v>
      </c>
      <c r="B1139" s="157"/>
      <c r="C1139" s="157"/>
      <c r="D1139" s="157"/>
      <c r="E1139" s="157"/>
      <c r="F1139" s="157"/>
      <c r="G1139" s="3"/>
      <c r="H1139" s="156"/>
      <c r="I1139" s="156"/>
      <c r="J1139" s="156"/>
      <c r="K1139" s="165"/>
      <c r="L1139" s="165"/>
      <c r="M1139" s="1"/>
      <c r="N1139" s="164"/>
      <c r="O1139" s="1"/>
      <c r="P1139" s="153"/>
      <c r="Q1139" s="39"/>
      <c r="R1139" s="39"/>
      <c r="S1139" s="39"/>
      <c r="T1139" s="154"/>
      <c r="U1139" s="40"/>
    </row>
    <row r="1140" spans="1:21" ht="20" customHeight="1" x14ac:dyDescent="0.15">
      <c r="A1140" s="284" t="s">
        <v>7036</v>
      </c>
      <c r="B1140" s="157"/>
      <c r="C1140" s="157"/>
      <c r="D1140" s="157"/>
      <c r="E1140" s="157"/>
      <c r="F1140" s="157"/>
      <c r="G1140" s="3"/>
      <c r="H1140" s="156"/>
      <c r="I1140" s="156"/>
      <c r="J1140" s="156"/>
      <c r="K1140" s="165"/>
      <c r="L1140" s="165"/>
      <c r="M1140" s="1"/>
      <c r="N1140" s="164"/>
      <c r="O1140" s="1"/>
      <c r="P1140" s="153"/>
      <c r="Q1140" s="39"/>
      <c r="R1140" s="39"/>
      <c r="S1140" s="39"/>
      <c r="T1140" s="154"/>
      <c r="U1140" s="40"/>
    </row>
    <row r="1141" spans="1:21" ht="20" customHeight="1" x14ac:dyDescent="0.15">
      <c r="A1141" s="284" t="s">
        <v>7037</v>
      </c>
      <c r="B1141" s="157"/>
      <c r="C1141" s="157"/>
      <c r="D1141" s="157"/>
      <c r="E1141" s="157"/>
      <c r="F1141" s="157"/>
      <c r="G1141" s="3"/>
      <c r="H1141" s="156"/>
      <c r="I1141" s="156"/>
      <c r="J1141" s="156"/>
      <c r="K1141" s="165"/>
      <c r="L1141" s="165"/>
      <c r="M1141" s="1"/>
      <c r="N1141" s="164"/>
      <c r="O1141" s="1"/>
      <c r="P1141" s="153"/>
      <c r="Q1141" s="39"/>
      <c r="R1141" s="39"/>
      <c r="S1141" s="39"/>
      <c r="T1141" s="154"/>
      <c r="U1141" s="40"/>
    </row>
    <row r="1142" spans="1:21" ht="20" customHeight="1" x14ac:dyDescent="0.15">
      <c r="A1142" s="284" t="s">
        <v>7038</v>
      </c>
      <c r="B1142" s="157"/>
      <c r="C1142" s="157"/>
      <c r="D1142" s="157"/>
      <c r="E1142" s="157"/>
      <c r="F1142" s="157"/>
      <c r="G1142" s="3"/>
      <c r="H1142" s="156"/>
      <c r="I1142" s="156"/>
      <c r="J1142" s="156"/>
      <c r="K1142" s="165"/>
      <c r="L1142" s="165"/>
      <c r="M1142" s="1"/>
      <c r="N1142" s="164"/>
      <c r="O1142" s="1"/>
      <c r="P1142" s="153"/>
      <c r="Q1142" s="39"/>
      <c r="R1142" s="39"/>
      <c r="S1142" s="39"/>
      <c r="T1142" s="154"/>
      <c r="U1142" s="40"/>
    </row>
    <row r="1143" spans="1:21" ht="20" customHeight="1" x14ac:dyDescent="0.15">
      <c r="A1143" s="284" t="s">
        <v>7039</v>
      </c>
      <c r="B1143" s="157"/>
      <c r="C1143" s="157"/>
      <c r="D1143" s="157"/>
      <c r="E1143" s="157"/>
      <c r="F1143" s="157"/>
      <c r="G1143" s="3"/>
      <c r="H1143" s="156"/>
      <c r="I1143" s="156"/>
      <c r="J1143" s="156"/>
      <c r="K1143" s="165"/>
      <c r="L1143" s="165"/>
      <c r="M1143" s="1"/>
      <c r="N1143" s="164"/>
      <c r="O1143" s="1"/>
      <c r="P1143" s="153"/>
      <c r="Q1143" s="39"/>
      <c r="R1143" s="39"/>
      <c r="S1143" s="39"/>
      <c r="T1143" s="154"/>
      <c r="U1143" s="40"/>
    </row>
    <row r="1144" spans="1:21" ht="20" customHeight="1" x14ac:dyDescent="0.15">
      <c r="A1144" s="284" t="s">
        <v>7040</v>
      </c>
      <c r="B1144" s="157"/>
      <c r="C1144" s="157"/>
      <c r="D1144" s="157"/>
      <c r="E1144" s="157"/>
      <c r="F1144" s="157"/>
      <c r="G1144" s="3"/>
      <c r="H1144" s="156"/>
      <c r="I1144" s="156"/>
      <c r="J1144" s="156"/>
      <c r="K1144" s="165"/>
      <c r="L1144" s="165"/>
      <c r="M1144" s="1"/>
      <c r="N1144" s="164"/>
      <c r="O1144" s="1"/>
      <c r="P1144" s="153"/>
      <c r="Q1144" s="39"/>
      <c r="R1144" s="39"/>
      <c r="S1144" s="39"/>
      <c r="T1144" s="154"/>
      <c r="U1144" s="40"/>
    </row>
    <row r="1145" spans="1:21" ht="20" customHeight="1" x14ac:dyDescent="0.15">
      <c r="A1145" s="284" t="s">
        <v>7041</v>
      </c>
      <c r="B1145" s="157"/>
      <c r="C1145" s="157"/>
      <c r="D1145" s="157"/>
      <c r="E1145" s="157"/>
      <c r="F1145" s="157"/>
      <c r="G1145" s="3"/>
      <c r="H1145" s="156"/>
      <c r="I1145" s="156"/>
      <c r="J1145" s="156"/>
      <c r="K1145" s="165"/>
      <c r="L1145" s="165"/>
      <c r="M1145" s="1"/>
      <c r="N1145" s="164"/>
      <c r="O1145" s="1"/>
      <c r="P1145" s="153"/>
      <c r="Q1145" s="39"/>
      <c r="R1145" s="39"/>
      <c r="S1145" s="39"/>
      <c r="T1145" s="154"/>
      <c r="U1145" s="40"/>
    </row>
    <row r="1146" spans="1:21" ht="20" customHeight="1" x14ac:dyDescent="0.15">
      <c r="A1146" s="284" t="s">
        <v>7042</v>
      </c>
      <c r="B1146" s="157"/>
      <c r="C1146" s="157"/>
      <c r="D1146" s="157"/>
      <c r="E1146" s="157"/>
      <c r="F1146" s="157"/>
      <c r="G1146" s="3"/>
      <c r="H1146" s="156"/>
      <c r="I1146" s="156"/>
      <c r="J1146" s="156"/>
      <c r="K1146" s="165"/>
      <c r="L1146" s="165"/>
      <c r="M1146" s="1"/>
      <c r="N1146" s="164"/>
      <c r="O1146" s="1"/>
      <c r="P1146" s="153"/>
      <c r="Q1146" s="39"/>
      <c r="R1146" s="39"/>
      <c r="S1146" s="39"/>
      <c r="T1146" s="154"/>
      <c r="U1146" s="40"/>
    </row>
    <row r="1147" spans="1:21" ht="20" customHeight="1" x14ac:dyDescent="0.15">
      <c r="A1147" s="284" t="s">
        <v>7043</v>
      </c>
      <c r="B1147" s="157"/>
      <c r="C1147" s="157"/>
      <c r="D1147" s="157"/>
      <c r="E1147" s="157"/>
      <c r="F1147" s="157"/>
      <c r="G1147" s="3"/>
      <c r="H1147" s="156"/>
      <c r="I1147" s="156"/>
      <c r="J1147" s="156"/>
      <c r="K1147" s="165"/>
      <c r="L1147" s="165"/>
      <c r="M1147" s="1"/>
      <c r="N1147" s="164"/>
      <c r="O1147" s="1"/>
      <c r="P1147" s="153"/>
      <c r="Q1147" s="39"/>
      <c r="R1147" s="39"/>
      <c r="S1147" s="39"/>
      <c r="T1147" s="154"/>
      <c r="U1147" s="40"/>
    </row>
    <row r="1148" spans="1:21" ht="20" customHeight="1" x14ac:dyDescent="0.15">
      <c r="A1148" s="284" t="s">
        <v>7044</v>
      </c>
      <c r="B1148" s="157"/>
      <c r="C1148" s="157"/>
      <c r="D1148" s="157"/>
      <c r="E1148" s="157"/>
      <c r="F1148" s="157"/>
      <c r="G1148" s="3"/>
      <c r="H1148" s="156"/>
      <c r="I1148" s="156"/>
      <c r="J1148" s="156"/>
      <c r="K1148" s="165"/>
      <c r="L1148" s="165"/>
      <c r="M1148" s="1"/>
      <c r="N1148" s="164"/>
      <c r="O1148" s="1"/>
      <c r="P1148" s="153"/>
      <c r="Q1148" s="39"/>
      <c r="R1148" s="39"/>
      <c r="S1148" s="39"/>
      <c r="T1148" s="154"/>
      <c r="U1148" s="40"/>
    </row>
    <row r="1149" spans="1:21" ht="20" customHeight="1" x14ac:dyDescent="0.15">
      <c r="A1149" s="284" t="s">
        <v>7045</v>
      </c>
      <c r="B1149" s="157"/>
      <c r="C1149" s="157"/>
      <c r="D1149" s="157"/>
      <c r="E1149" s="157"/>
      <c r="F1149" s="157"/>
      <c r="G1149" s="3"/>
      <c r="H1149" s="156"/>
      <c r="I1149" s="156"/>
      <c r="J1149" s="156"/>
      <c r="K1149" s="165"/>
      <c r="L1149" s="165"/>
      <c r="M1149" s="1"/>
      <c r="N1149" s="164"/>
      <c r="O1149" s="1"/>
      <c r="P1149" s="153"/>
      <c r="Q1149" s="39"/>
      <c r="R1149" s="39"/>
      <c r="S1149" s="39"/>
      <c r="T1149" s="154"/>
      <c r="U1149" s="40"/>
    </row>
    <row r="1150" spans="1:21" ht="20" customHeight="1" x14ac:dyDescent="0.15">
      <c r="A1150" s="284" t="s">
        <v>7046</v>
      </c>
      <c r="B1150" s="157"/>
      <c r="C1150" s="157"/>
      <c r="D1150" s="157"/>
      <c r="E1150" s="157"/>
      <c r="F1150" s="157"/>
      <c r="G1150" s="3"/>
      <c r="H1150" s="156"/>
      <c r="I1150" s="156"/>
      <c r="J1150" s="156"/>
      <c r="K1150" s="165"/>
      <c r="L1150" s="165"/>
      <c r="M1150" s="1"/>
      <c r="N1150" s="164"/>
      <c r="O1150" s="1"/>
      <c r="P1150" s="153"/>
      <c r="Q1150" s="39"/>
      <c r="R1150" s="39"/>
      <c r="S1150" s="39"/>
      <c r="T1150" s="154"/>
      <c r="U1150" s="40"/>
    </row>
    <row r="1151" spans="1:21" ht="20" customHeight="1" x14ac:dyDescent="0.15">
      <c r="A1151" s="284" t="s">
        <v>7047</v>
      </c>
      <c r="B1151" s="157"/>
      <c r="C1151" s="157"/>
      <c r="D1151" s="157"/>
      <c r="E1151" s="157"/>
      <c r="F1151" s="157"/>
      <c r="G1151" s="3"/>
      <c r="H1151" s="156"/>
      <c r="I1151" s="156"/>
      <c r="J1151" s="156"/>
      <c r="K1151" s="165"/>
      <c r="L1151" s="165"/>
      <c r="M1151" s="1"/>
      <c r="N1151" s="164"/>
      <c r="O1151" s="1"/>
      <c r="P1151" s="153"/>
      <c r="Q1151" s="39"/>
      <c r="R1151" s="39"/>
      <c r="S1151" s="39"/>
      <c r="T1151" s="154"/>
      <c r="U1151" s="40"/>
    </row>
    <row r="1152" spans="1:21" ht="20" customHeight="1" x14ac:dyDescent="0.15">
      <c r="A1152" s="284" t="s">
        <v>7048</v>
      </c>
      <c r="B1152" s="157"/>
      <c r="C1152" s="157"/>
      <c r="D1152" s="157"/>
      <c r="E1152" s="157"/>
      <c r="F1152" s="157"/>
      <c r="G1152" s="3"/>
      <c r="H1152" s="156"/>
      <c r="I1152" s="156"/>
      <c r="J1152" s="156"/>
      <c r="K1152" s="165"/>
      <c r="L1152" s="165"/>
      <c r="M1152" s="1"/>
      <c r="N1152" s="164"/>
      <c r="O1152" s="1"/>
      <c r="P1152" s="153"/>
      <c r="Q1152" s="39"/>
      <c r="R1152" s="39"/>
      <c r="S1152" s="39"/>
      <c r="T1152" s="154"/>
      <c r="U1152" s="40"/>
    </row>
    <row r="1153" spans="1:21" ht="20" customHeight="1" x14ac:dyDescent="0.15">
      <c r="A1153" s="284" t="s">
        <v>7049</v>
      </c>
      <c r="B1153" s="157"/>
      <c r="C1153" s="157"/>
      <c r="D1153" s="157"/>
      <c r="E1153" s="157"/>
      <c r="F1153" s="157"/>
      <c r="G1153" s="3"/>
      <c r="H1153" s="156"/>
      <c r="I1153" s="156"/>
      <c r="J1153" s="156"/>
      <c r="K1153" s="165"/>
      <c r="L1153" s="165"/>
      <c r="M1153" s="1"/>
      <c r="N1153" s="164"/>
      <c r="O1153" s="1"/>
      <c r="P1153" s="153"/>
      <c r="Q1153" s="39"/>
      <c r="R1153" s="39"/>
      <c r="S1153" s="39"/>
      <c r="T1153" s="154"/>
      <c r="U1153" s="40"/>
    </row>
    <row r="1154" spans="1:21" ht="20" customHeight="1" x14ac:dyDescent="0.15">
      <c r="A1154" s="284" t="s">
        <v>7050</v>
      </c>
      <c r="B1154" s="157"/>
      <c r="C1154" s="157"/>
      <c r="D1154" s="157"/>
      <c r="E1154" s="157"/>
      <c r="F1154" s="157"/>
      <c r="G1154" s="3"/>
      <c r="H1154" s="156"/>
      <c r="I1154" s="156"/>
      <c r="J1154" s="156"/>
      <c r="K1154" s="165"/>
      <c r="L1154" s="165"/>
      <c r="M1154" s="1"/>
      <c r="N1154" s="164"/>
      <c r="O1154" s="1"/>
      <c r="P1154" s="153"/>
      <c r="Q1154" s="39"/>
      <c r="R1154" s="39"/>
      <c r="S1154" s="39"/>
      <c r="T1154" s="154"/>
      <c r="U1154" s="40"/>
    </row>
    <row r="1155" spans="1:21" ht="20" customHeight="1" x14ac:dyDescent="0.15">
      <c r="A1155" s="284" t="s">
        <v>7051</v>
      </c>
      <c r="B1155" s="157"/>
      <c r="C1155" s="157"/>
      <c r="D1155" s="157"/>
      <c r="E1155" s="157"/>
      <c r="F1155" s="157"/>
      <c r="G1155" s="3"/>
      <c r="H1155" s="156"/>
      <c r="I1155" s="156"/>
      <c r="J1155" s="156"/>
      <c r="K1155" s="165"/>
      <c r="L1155" s="165"/>
      <c r="M1155" s="1"/>
      <c r="N1155" s="164"/>
      <c r="O1155" s="1"/>
      <c r="P1155" s="153"/>
      <c r="Q1155" s="39"/>
      <c r="R1155" s="39"/>
      <c r="S1155" s="39"/>
      <c r="T1155" s="154"/>
      <c r="U1155" s="40"/>
    </row>
    <row r="1156" spans="1:21" ht="20" customHeight="1" x14ac:dyDescent="0.15">
      <c r="A1156" s="284" t="s">
        <v>7052</v>
      </c>
      <c r="B1156" s="157"/>
      <c r="C1156" s="157"/>
      <c r="D1156" s="157"/>
      <c r="E1156" s="157"/>
      <c r="F1156" s="157"/>
      <c r="G1156" s="3"/>
      <c r="H1156" s="156"/>
      <c r="I1156" s="156"/>
      <c r="J1156" s="156"/>
      <c r="K1156" s="165"/>
      <c r="L1156" s="165"/>
      <c r="M1156" s="1"/>
      <c r="N1156" s="164"/>
      <c r="O1156" s="1"/>
      <c r="P1156" s="153"/>
      <c r="Q1156" s="39"/>
      <c r="R1156" s="39"/>
      <c r="S1156" s="39"/>
      <c r="T1156" s="154"/>
      <c r="U1156" s="40"/>
    </row>
    <row r="1157" spans="1:21" ht="20" customHeight="1" x14ac:dyDescent="0.15">
      <c r="A1157" s="284" t="s">
        <v>7053</v>
      </c>
      <c r="B1157" s="157"/>
      <c r="C1157" s="157"/>
      <c r="D1157" s="157"/>
      <c r="E1157" s="157"/>
      <c r="F1157" s="157"/>
      <c r="G1157" s="3"/>
      <c r="H1157" s="156"/>
      <c r="I1157" s="156"/>
      <c r="J1157" s="156"/>
      <c r="K1157" s="165"/>
      <c r="L1157" s="165"/>
      <c r="M1157" s="1"/>
      <c r="N1157" s="164"/>
      <c r="O1157" s="1"/>
      <c r="P1157" s="153"/>
      <c r="Q1157" s="39"/>
      <c r="R1157" s="39"/>
      <c r="S1157" s="39"/>
      <c r="T1157" s="154"/>
      <c r="U1157" s="40"/>
    </row>
    <row r="1158" spans="1:21" ht="20" customHeight="1" x14ac:dyDescent="0.15">
      <c r="A1158" s="284" t="s">
        <v>7054</v>
      </c>
      <c r="B1158" s="157"/>
      <c r="C1158" s="157"/>
      <c r="D1158" s="157"/>
      <c r="E1158" s="157"/>
      <c r="F1158" s="157"/>
      <c r="G1158" s="3"/>
      <c r="H1158" s="156"/>
      <c r="I1158" s="156"/>
      <c r="J1158" s="156"/>
      <c r="K1158" s="165"/>
      <c r="L1158" s="165"/>
      <c r="M1158" s="1"/>
      <c r="N1158" s="164"/>
      <c r="O1158" s="1"/>
      <c r="P1158" s="153"/>
      <c r="Q1158" s="39"/>
      <c r="R1158" s="39"/>
      <c r="S1158" s="39"/>
      <c r="T1158" s="154"/>
      <c r="U1158" s="40"/>
    </row>
    <row r="1159" spans="1:21" ht="20" customHeight="1" x14ac:dyDescent="0.15">
      <c r="A1159" s="284" t="s">
        <v>7055</v>
      </c>
      <c r="B1159" s="157"/>
      <c r="C1159" s="157"/>
      <c r="D1159" s="157"/>
      <c r="E1159" s="157"/>
      <c r="F1159" s="157"/>
      <c r="G1159" s="3"/>
      <c r="H1159" s="156"/>
      <c r="I1159" s="156"/>
      <c r="J1159" s="156"/>
      <c r="K1159" s="165"/>
      <c r="L1159" s="165"/>
      <c r="M1159" s="1"/>
      <c r="N1159" s="164"/>
      <c r="O1159" s="1"/>
      <c r="P1159" s="153"/>
      <c r="Q1159" s="39"/>
      <c r="R1159" s="39"/>
      <c r="S1159" s="39"/>
      <c r="T1159" s="154"/>
      <c r="U1159" s="40"/>
    </row>
    <row r="1160" spans="1:21" ht="20" customHeight="1" x14ac:dyDescent="0.15">
      <c r="A1160" s="284" t="s">
        <v>7056</v>
      </c>
      <c r="B1160" s="157"/>
      <c r="C1160" s="157"/>
      <c r="D1160" s="157"/>
      <c r="E1160" s="157"/>
      <c r="F1160" s="157"/>
      <c r="G1160" s="3"/>
      <c r="H1160" s="156"/>
      <c r="I1160" s="156"/>
      <c r="J1160" s="156"/>
      <c r="K1160" s="165"/>
      <c r="L1160" s="165"/>
      <c r="M1160" s="1"/>
      <c r="N1160" s="164"/>
      <c r="O1160" s="1"/>
      <c r="P1160" s="153"/>
      <c r="Q1160" s="39"/>
      <c r="R1160" s="39"/>
      <c r="S1160" s="39"/>
      <c r="T1160" s="154"/>
      <c r="U1160" s="40"/>
    </row>
    <row r="1161" spans="1:21" ht="20" customHeight="1" x14ac:dyDescent="0.15">
      <c r="A1161" s="284" t="s">
        <v>7057</v>
      </c>
      <c r="B1161" s="157"/>
      <c r="C1161" s="157"/>
      <c r="D1161" s="157"/>
      <c r="E1161" s="157"/>
      <c r="F1161" s="157"/>
      <c r="G1161" s="3"/>
      <c r="H1161" s="156"/>
      <c r="I1161" s="156"/>
      <c r="J1161" s="156"/>
      <c r="K1161" s="165"/>
      <c r="L1161" s="165"/>
      <c r="M1161" s="1"/>
      <c r="N1161" s="164"/>
      <c r="O1161" s="1"/>
      <c r="P1161" s="153"/>
      <c r="Q1161" s="39"/>
      <c r="R1161" s="39"/>
      <c r="S1161" s="39"/>
      <c r="T1161" s="154"/>
      <c r="U1161" s="40"/>
    </row>
    <row r="1162" spans="1:21" ht="20" customHeight="1" x14ac:dyDescent="0.15">
      <c r="A1162" s="284" t="s">
        <v>7058</v>
      </c>
      <c r="B1162" s="157"/>
      <c r="C1162" s="157"/>
      <c r="D1162" s="157"/>
      <c r="E1162" s="157"/>
      <c r="F1162" s="157"/>
      <c r="G1162" s="3"/>
      <c r="H1162" s="156"/>
      <c r="I1162" s="156"/>
      <c r="J1162" s="156"/>
      <c r="K1162" s="165"/>
      <c r="L1162" s="165"/>
      <c r="M1162" s="1"/>
      <c r="N1162" s="164"/>
      <c r="O1162" s="1"/>
      <c r="P1162" s="153"/>
      <c r="Q1162" s="39"/>
      <c r="R1162" s="39"/>
      <c r="S1162" s="39"/>
      <c r="T1162" s="154"/>
      <c r="U1162" s="40"/>
    </row>
    <row r="1163" spans="1:21" ht="20" customHeight="1" x14ac:dyDescent="0.15">
      <c r="A1163" s="284" t="s">
        <v>7059</v>
      </c>
      <c r="B1163" s="157"/>
      <c r="C1163" s="157"/>
      <c r="D1163" s="157"/>
      <c r="E1163" s="157"/>
      <c r="F1163" s="157"/>
      <c r="G1163" s="3"/>
      <c r="H1163" s="156"/>
      <c r="I1163" s="156"/>
      <c r="J1163" s="156"/>
      <c r="K1163" s="165"/>
      <c r="L1163" s="165"/>
      <c r="M1163" s="1"/>
      <c r="N1163" s="164"/>
      <c r="O1163" s="1"/>
      <c r="P1163" s="153"/>
      <c r="Q1163" s="39"/>
      <c r="R1163" s="39"/>
      <c r="S1163" s="39"/>
      <c r="T1163" s="154"/>
      <c r="U1163" s="40"/>
    </row>
    <row r="1164" spans="1:21" ht="20" customHeight="1" x14ac:dyDescent="0.15">
      <c r="A1164" s="284" t="s">
        <v>7060</v>
      </c>
      <c r="B1164" s="157"/>
      <c r="C1164" s="157"/>
      <c r="D1164" s="157"/>
      <c r="E1164" s="157"/>
      <c r="F1164" s="157"/>
      <c r="G1164" s="3"/>
      <c r="H1164" s="156"/>
      <c r="I1164" s="156"/>
      <c r="J1164" s="156"/>
      <c r="K1164" s="165"/>
      <c r="L1164" s="165"/>
      <c r="M1164" s="1"/>
      <c r="N1164" s="164"/>
      <c r="O1164" s="1"/>
      <c r="P1164" s="153"/>
      <c r="Q1164" s="39"/>
      <c r="R1164" s="39"/>
      <c r="S1164" s="39"/>
      <c r="T1164" s="154"/>
      <c r="U1164" s="40"/>
    </row>
    <row r="1165" spans="1:21" ht="20" customHeight="1" x14ac:dyDescent="0.15">
      <c r="A1165" s="284" t="s">
        <v>7061</v>
      </c>
      <c r="B1165" s="157"/>
      <c r="C1165" s="157"/>
      <c r="D1165" s="157"/>
      <c r="E1165" s="157"/>
      <c r="F1165" s="157"/>
      <c r="G1165" s="3"/>
      <c r="H1165" s="156"/>
      <c r="I1165" s="156"/>
      <c r="J1165" s="156"/>
      <c r="K1165" s="165"/>
      <c r="L1165" s="165"/>
      <c r="M1165" s="1"/>
      <c r="N1165" s="164"/>
      <c r="O1165" s="1"/>
      <c r="P1165" s="153"/>
      <c r="Q1165" s="39"/>
      <c r="R1165" s="39"/>
      <c r="S1165" s="39"/>
      <c r="T1165" s="154"/>
      <c r="U1165" s="40"/>
    </row>
    <row r="1166" spans="1:21" ht="20" customHeight="1" x14ac:dyDescent="0.15">
      <c r="A1166" s="284" t="s">
        <v>7062</v>
      </c>
      <c r="B1166" s="157"/>
      <c r="C1166" s="157"/>
      <c r="D1166" s="157"/>
      <c r="E1166" s="157"/>
      <c r="F1166" s="157"/>
      <c r="G1166" s="3"/>
      <c r="H1166" s="156"/>
      <c r="I1166" s="156"/>
      <c r="J1166" s="156"/>
      <c r="K1166" s="165"/>
      <c r="L1166" s="165"/>
      <c r="M1166" s="1"/>
      <c r="N1166" s="164"/>
      <c r="O1166" s="1"/>
      <c r="P1166" s="153"/>
      <c r="Q1166" s="39"/>
      <c r="R1166" s="39"/>
      <c r="S1166" s="39"/>
      <c r="T1166" s="154"/>
      <c r="U1166" s="40"/>
    </row>
    <row r="1167" spans="1:21" ht="20" customHeight="1" x14ac:dyDescent="0.15">
      <c r="A1167" s="284" t="s">
        <v>7063</v>
      </c>
      <c r="B1167" s="157"/>
      <c r="C1167" s="157"/>
      <c r="D1167" s="157"/>
      <c r="E1167" s="157"/>
      <c r="F1167" s="157"/>
      <c r="G1167" s="3"/>
      <c r="H1167" s="156"/>
      <c r="I1167" s="156"/>
      <c r="J1167" s="156"/>
      <c r="K1167" s="165"/>
      <c r="L1167" s="165"/>
      <c r="M1167" s="1"/>
      <c r="N1167" s="164"/>
      <c r="O1167" s="1"/>
      <c r="P1167" s="153"/>
      <c r="Q1167" s="39"/>
      <c r="R1167" s="39"/>
      <c r="S1167" s="39"/>
      <c r="T1167" s="154"/>
      <c r="U1167" s="40"/>
    </row>
    <row r="1168" spans="1:21" ht="20" customHeight="1" x14ac:dyDescent="0.15">
      <c r="A1168" s="284" t="s">
        <v>7064</v>
      </c>
      <c r="B1168" s="157"/>
      <c r="C1168" s="157"/>
      <c r="D1168" s="157"/>
      <c r="E1168" s="157"/>
      <c r="F1168" s="157"/>
      <c r="G1168" s="3"/>
      <c r="H1168" s="156"/>
      <c r="I1168" s="156"/>
      <c r="J1168" s="156"/>
      <c r="K1168" s="165"/>
      <c r="L1168" s="165"/>
      <c r="M1168" s="1"/>
      <c r="N1168" s="164"/>
      <c r="O1168" s="1"/>
      <c r="P1168" s="153"/>
      <c r="Q1168" s="39"/>
      <c r="R1168" s="39"/>
      <c r="S1168" s="39"/>
      <c r="T1168" s="154"/>
      <c r="U1168" s="40"/>
    </row>
    <row r="1169" spans="1:21" ht="20" customHeight="1" x14ac:dyDescent="0.15">
      <c r="A1169" s="284" t="s">
        <v>7065</v>
      </c>
      <c r="B1169" s="157"/>
      <c r="C1169" s="157"/>
      <c r="D1169" s="157"/>
      <c r="E1169" s="157"/>
      <c r="F1169" s="157"/>
      <c r="G1169" s="3"/>
      <c r="H1169" s="156"/>
      <c r="I1169" s="156"/>
      <c r="J1169" s="156"/>
      <c r="K1169" s="165"/>
      <c r="L1169" s="165"/>
      <c r="M1169" s="1"/>
      <c r="N1169" s="164"/>
      <c r="O1169" s="1"/>
      <c r="P1169" s="153"/>
      <c r="Q1169" s="39"/>
      <c r="R1169" s="39"/>
      <c r="S1169" s="39"/>
      <c r="T1169" s="154"/>
      <c r="U1169" s="40"/>
    </row>
    <row r="1170" spans="1:21" ht="20" customHeight="1" x14ac:dyDescent="0.15">
      <c r="A1170" s="284" t="s">
        <v>7066</v>
      </c>
      <c r="B1170" s="157"/>
      <c r="C1170" s="157"/>
      <c r="D1170" s="157"/>
      <c r="E1170" s="157"/>
      <c r="F1170" s="157"/>
      <c r="G1170" s="3"/>
      <c r="H1170" s="156"/>
      <c r="I1170" s="156"/>
      <c r="J1170" s="156"/>
      <c r="K1170" s="165"/>
      <c r="L1170" s="165"/>
      <c r="M1170" s="1"/>
      <c r="N1170" s="164"/>
      <c r="O1170" s="1"/>
      <c r="P1170" s="153"/>
      <c r="Q1170" s="39"/>
      <c r="R1170" s="39"/>
      <c r="S1170" s="39"/>
      <c r="T1170" s="154"/>
      <c r="U1170" s="40"/>
    </row>
    <row r="1171" spans="1:21" ht="20" customHeight="1" x14ac:dyDescent="0.15">
      <c r="A1171" s="284" t="s">
        <v>7067</v>
      </c>
      <c r="B1171" s="157"/>
      <c r="C1171" s="157"/>
      <c r="D1171" s="157"/>
      <c r="E1171" s="157"/>
      <c r="F1171" s="157"/>
      <c r="G1171" s="3"/>
      <c r="H1171" s="156"/>
      <c r="I1171" s="156"/>
      <c r="J1171" s="156"/>
      <c r="K1171" s="165"/>
      <c r="L1171" s="165"/>
      <c r="M1171" s="1"/>
      <c r="N1171" s="164"/>
      <c r="O1171" s="1"/>
      <c r="P1171" s="153"/>
      <c r="Q1171" s="39"/>
      <c r="R1171" s="39"/>
      <c r="S1171" s="39"/>
      <c r="T1171" s="154"/>
      <c r="U1171" s="40"/>
    </row>
    <row r="1172" spans="1:21" ht="20" customHeight="1" x14ac:dyDescent="0.15">
      <c r="A1172" s="284" t="s">
        <v>7068</v>
      </c>
      <c r="B1172" s="157"/>
      <c r="C1172" s="157"/>
      <c r="D1172" s="157"/>
      <c r="E1172" s="157"/>
      <c r="F1172" s="157"/>
      <c r="G1172" s="3"/>
      <c r="H1172" s="156"/>
      <c r="I1172" s="156"/>
      <c r="J1172" s="156"/>
      <c r="K1172" s="165"/>
      <c r="L1172" s="165"/>
      <c r="M1172" s="1"/>
      <c r="N1172" s="164"/>
      <c r="O1172" s="1"/>
      <c r="P1172" s="153"/>
      <c r="Q1172" s="39"/>
      <c r="R1172" s="39"/>
      <c r="S1172" s="39"/>
      <c r="T1172" s="154"/>
      <c r="U1172" s="40"/>
    </row>
    <row r="1173" spans="1:21" ht="20" customHeight="1" x14ac:dyDescent="0.15">
      <c r="A1173" s="284" t="s">
        <v>7069</v>
      </c>
      <c r="B1173" s="157"/>
      <c r="C1173" s="157"/>
      <c r="D1173" s="157"/>
      <c r="E1173" s="157"/>
      <c r="F1173" s="157"/>
      <c r="G1173" s="3"/>
      <c r="H1173" s="156"/>
      <c r="I1173" s="156"/>
      <c r="J1173" s="156"/>
      <c r="K1173" s="165"/>
      <c r="L1173" s="165"/>
      <c r="M1173" s="1"/>
      <c r="N1173" s="164"/>
      <c r="O1173" s="1"/>
      <c r="P1173" s="153"/>
      <c r="Q1173" s="39"/>
      <c r="R1173" s="39"/>
      <c r="S1173" s="39"/>
      <c r="T1173" s="154"/>
      <c r="U1173" s="40"/>
    </row>
    <row r="1174" spans="1:21" ht="20" customHeight="1" x14ac:dyDescent="0.15">
      <c r="A1174" s="284" t="s">
        <v>7070</v>
      </c>
      <c r="B1174" s="157"/>
      <c r="C1174" s="157"/>
      <c r="D1174" s="157"/>
      <c r="E1174" s="157"/>
      <c r="F1174" s="157"/>
      <c r="G1174" s="3"/>
      <c r="H1174" s="156"/>
      <c r="I1174" s="156"/>
      <c r="J1174" s="156"/>
      <c r="K1174" s="165"/>
      <c r="L1174" s="165"/>
      <c r="M1174" s="1"/>
      <c r="N1174" s="164"/>
      <c r="O1174" s="1"/>
      <c r="P1174" s="153"/>
      <c r="Q1174" s="39"/>
      <c r="R1174" s="39"/>
      <c r="S1174" s="39"/>
      <c r="T1174" s="154"/>
      <c r="U1174" s="40"/>
    </row>
    <row r="1175" spans="1:21" ht="20" customHeight="1" x14ac:dyDescent="0.15">
      <c r="A1175" s="284" t="s">
        <v>7071</v>
      </c>
      <c r="B1175" s="157"/>
      <c r="C1175" s="157"/>
      <c r="D1175" s="157"/>
      <c r="E1175" s="157"/>
      <c r="F1175" s="157"/>
      <c r="G1175" s="3"/>
      <c r="H1175" s="156"/>
      <c r="I1175" s="156"/>
      <c r="J1175" s="156"/>
      <c r="K1175" s="165"/>
      <c r="L1175" s="165"/>
      <c r="M1175" s="1"/>
      <c r="N1175" s="164"/>
      <c r="O1175" s="1"/>
      <c r="P1175" s="153"/>
      <c r="Q1175" s="39"/>
      <c r="R1175" s="39"/>
      <c r="S1175" s="39"/>
      <c r="T1175" s="154"/>
      <c r="U1175" s="40"/>
    </row>
    <row r="1176" spans="1:21" ht="20" customHeight="1" x14ac:dyDescent="0.15">
      <c r="A1176" s="284" t="s">
        <v>7072</v>
      </c>
      <c r="B1176" s="157"/>
      <c r="C1176" s="157"/>
      <c r="D1176" s="157"/>
      <c r="E1176" s="157"/>
      <c r="F1176" s="157"/>
      <c r="G1176" s="3"/>
      <c r="H1176" s="156"/>
      <c r="I1176" s="156"/>
      <c r="J1176" s="156"/>
      <c r="K1176" s="165"/>
      <c r="L1176" s="165"/>
      <c r="M1176" s="1"/>
      <c r="N1176" s="164"/>
      <c r="O1176" s="1"/>
      <c r="P1176" s="153"/>
      <c r="Q1176" s="39"/>
      <c r="R1176" s="39"/>
      <c r="S1176" s="39"/>
      <c r="T1176" s="154"/>
      <c r="U1176" s="40"/>
    </row>
    <row r="1177" spans="1:21" ht="20" customHeight="1" x14ac:dyDescent="0.15">
      <c r="A1177" s="284" t="s">
        <v>7073</v>
      </c>
      <c r="B1177" s="157"/>
      <c r="C1177" s="157"/>
      <c r="D1177" s="157"/>
      <c r="E1177" s="157"/>
      <c r="F1177" s="157"/>
      <c r="G1177" s="3"/>
      <c r="H1177" s="156"/>
      <c r="I1177" s="156"/>
      <c r="J1177" s="156"/>
      <c r="K1177" s="165"/>
      <c r="L1177" s="165"/>
      <c r="M1177" s="1"/>
      <c r="N1177" s="164"/>
      <c r="O1177" s="1"/>
      <c r="P1177" s="153"/>
      <c r="Q1177" s="39"/>
      <c r="R1177" s="39"/>
      <c r="S1177" s="39"/>
      <c r="T1177" s="154"/>
      <c r="U1177" s="40"/>
    </row>
    <row r="1178" spans="1:21" ht="20" customHeight="1" x14ac:dyDescent="0.15">
      <c r="A1178" s="284" t="s">
        <v>7074</v>
      </c>
      <c r="B1178" s="157"/>
      <c r="C1178" s="157"/>
      <c r="D1178" s="157"/>
      <c r="E1178" s="157"/>
      <c r="F1178" s="157"/>
      <c r="G1178" s="3"/>
      <c r="H1178" s="156"/>
      <c r="I1178" s="156"/>
      <c r="J1178" s="156"/>
      <c r="K1178" s="165"/>
      <c r="L1178" s="165"/>
      <c r="M1178" s="1"/>
      <c r="N1178" s="164"/>
      <c r="O1178" s="1"/>
      <c r="P1178" s="153"/>
      <c r="Q1178" s="39"/>
      <c r="R1178" s="39"/>
      <c r="S1178" s="39"/>
      <c r="T1178" s="154"/>
      <c r="U1178" s="40"/>
    </row>
    <row r="1179" spans="1:21" ht="20" customHeight="1" x14ac:dyDescent="0.15">
      <c r="A1179" s="284" t="s">
        <v>7075</v>
      </c>
      <c r="B1179" s="157"/>
      <c r="C1179" s="157"/>
      <c r="D1179" s="157"/>
      <c r="E1179" s="157"/>
      <c r="F1179" s="157"/>
      <c r="G1179" s="3"/>
      <c r="H1179" s="156"/>
      <c r="I1179" s="156"/>
      <c r="J1179" s="156"/>
      <c r="K1179" s="165"/>
      <c r="L1179" s="165"/>
      <c r="M1179" s="1"/>
      <c r="N1179" s="164"/>
      <c r="O1179" s="1"/>
      <c r="P1179" s="153"/>
      <c r="Q1179" s="39"/>
      <c r="R1179" s="39"/>
      <c r="S1179" s="39"/>
      <c r="T1179" s="154"/>
      <c r="U1179" s="40"/>
    </row>
    <row r="1180" spans="1:21" ht="20" customHeight="1" x14ac:dyDescent="0.15">
      <c r="A1180" s="284" t="s">
        <v>7076</v>
      </c>
      <c r="B1180" s="157"/>
      <c r="C1180" s="157"/>
      <c r="D1180" s="157"/>
      <c r="E1180" s="157"/>
      <c r="F1180" s="157"/>
      <c r="G1180" s="3"/>
      <c r="H1180" s="156"/>
      <c r="I1180" s="156"/>
      <c r="J1180" s="156"/>
      <c r="K1180" s="165"/>
      <c r="L1180" s="165"/>
      <c r="M1180" s="1"/>
      <c r="N1180" s="164"/>
      <c r="O1180" s="1"/>
      <c r="P1180" s="153"/>
      <c r="Q1180" s="39"/>
      <c r="R1180" s="39"/>
      <c r="S1180" s="39"/>
      <c r="T1180" s="154"/>
      <c r="U1180" s="40"/>
    </row>
    <row r="1181" spans="1:21" ht="20" customHeight="1" x14ac:dyDescent="0.15">
      <c r="A1181" s="284" t="s">
        <v>7077</v>
      </c>
      <c r="B1181" s="157"/>
      <c r="C1181" s="157"/>
      <c r="D1181" s="157"/>
      <c r="E1181" s="157"/>
      <c r="F1181" s="157"/>
      <c r="G1181" s="3"/>
      <c r="H1181" s="156"/>
      <c r="I1181" s="156"/>
      <c r="J1181" s="156"/>
      <c r="K1181" s="165"/>
      <c r="L1181" s="165"/>
      <c r="M1181" s="1"/>
      <c r="N1181" s="164"/>
      <c r="O1181" s="1"/>
      <c r="P1181" s="153"/>
      <c r="Q1181" s="39"/>
      <c r="R1181" s="39"/>
      <c r="S1181" s="39"/>
      <c r="T1181" s="154"/>
      <c r="U1181" s="40"/>
    </row>
    <row r="1182" spans="1:21" ht="20" customHeight="1" x14ac:dyDescent="0.15">
      <c r="A1182" s="284" t="s">
        <v>7078</v>
      </c>
      <c r="B1182" s="157"/>
      <c r="C1182" s="157"/>
      <c r="D1182" s="157"/>
      <c r="E1182" s="157"/>
      <c r="F1182" s="157"/>
      <c r="G1182" s="3"/>
      <c r="H1182" s="156"/>
      <c r="I1182" s="156"/>
      <c r="J1182" s="156"/>
      <c r="K1182" s="165"/>
      <c r="L1182" s="165"/>
      <c r="M1182" s="1"/>
      <c r="N1182" s="164"/>
      <c r="O1182" s="1"/>
      <c r="P1182" s="153"/>
      <c r="Q1182" s="39"/>
      <c r="R1182" s="39"/>
      <c r="S1182" s="39"/>
      <c r="T1182" s="154"/>
      <c r="U1182" s="40"/>
    </row>
    <row r="1183" spans="1:21" ht="20" customHeight="1" x14ac:dyDescent="0.15">
      <c r="A1183" s="284" t="s">
        <v>7079</v>
      </c>
      <c r="B1183" s="157"/>
      <c r="C1183" s="157"/>
      <c r="D1183" s="157"/>
      <c r="E1183" s="157"/>
      <c r="F1183" s="157"/>
      <c r="G1183" s="3"/>
      <c r="H1183" s="156"/>
      <c r="I1183" s="156"/>
      <c r="J1183" s="156"/>
      <c r="K1183" s="165"/>
      <c r="L1183" s="165"/>
      <c r="M1183" s="1"/>
      <c r="N1183" s="164"/>
      <c r="O1183" s="1"/>
      <c r="P1183" s="153"/>
      <c r="Q1183" s="39"/>
      <c r="R1183" s="39"/>
      <c r="S1183" s="39"/>
      <c r="T1183" s="154"/>
      <c r="U1183" s="40"/>
    </row>
    <row r="1184" spans="1:21" ht="20" customHeight="1" x14ac:dyDescent="0.15">
      <c r="A1184" s="284" t="s">
        <v>7080</v>
      </c>
      <c r="B1184" s="157"/>
      <c r="C1184" s="157"/>
      <c r="D1184" s="157"/>
      <c r="E1184" s="157"/>
      <c r="F1184" s="157"/>
      <c r="G1184" s="3"/>
      <c r="H1184" s="156"/>
      <c r="I1184" s="156"/>
      <c r="J1184" s="156"/>
      <c r="K1184" s="165"/>
      <c r="L1184" s="165"/>
      <c r="M1184" s="1"/>
      <c r="N1184" s="164"/>
      <c r="O1184" s="1"/>
      <c r="P1184" s="153"/>
      <c r="Q1184" s="39"/>
      <c r="R1184" s="39"/>
      <c r="S1184" s="39"/>
      <c r="T1184" s="154"/>
      <c r="U1184" s="40"/>
    </row>
    <row r="1185" spans="1:21" ht="20" customHeight="1" x14ac:dyDescent="0.15">
      <c r="A1185" s="284" t="s">
        <v>7081</v>
      </c>
      <c r="B1185" s="157"/>
      <c r="C1185" s="157"/>
      <c r="D1185" s="157"/>
      <c r="E1185" s="157"/>
      <c r="F1185" s="157"/>
      <c r="G1185" s="3"/>
      <c r="H1185" s="156"/>
      <c r="I1185" s="156"/>
      <c r="J1185" s="156"/>
      <c r="K1185" s="165"/>
      <c r="L1185" s="165"/>
      <c r="M1185" s="1"/>
      <c r="N1185" s="164"/>
      <c r="O1185" s="1"/>
      <c r="P1185" s="153"/>
      <c r="Q1185" s="39"/>
      <c r="R1185" s="39"/>
      <c r="S1185" s="39"/>
      <c r="T1185" s="154"/>
      <c r="U1185" s="40"/>
    </row>
    <row r="1186" spans="1:21" ht="20" customHeight="1" x14ac:dyDescent="0.15">
      <c r="A1186" s="284" t="s">
        <v>7082</v>
      </c>
      <c r="B1186" s="157"/>
      <c r="C1186" s="157"/>
      <c r="D1186" s="157"/>
      <c r="E1186" s="157"/>
      <c r="F1186" s="157"/>
      <c r="G1186" s="3"/>
      <c r="H1186" s="156"/>
      <c r="I1186" s="156"/>
      <c r="J1186" s="156"/>
      <c r="K1186" s="165"/>
      <c r="L1186" s="165"/>
      <c r="M1186" s="1"/>
      <c r="N1186" s="164"/>
      <c r="O1186" s="1"/>
      <c r="P1186" s="153"/>
      <c r="Q1186" s="39"/>
      <c r="R1186" s="39"/>
      <c r="S1186" s="39"/>
      <c r="T1186" s="154"/>
      <c r="U1186" s="40"/>
    </row>
    <row r="1187" spans="1:21" ht="20" customHeight="1" x14ac:dyDescent="0.15">
      <c r="A1187" s="284" t="s">
        <v>7083</v>
      </c>
      <c r="B1187" s="157"/>
      <c r="C1187" s="157"/>
      <c r="D1187" s="157"/>
      <c r="E1187" s="157"/>
      <c r="F1187" s="157"/>
      <c r="G1187" s="3"/>
      <c r="H1187" s="156"/>
      <c r="I1187" s="156"/>
      <c r="J1187" s="156"/>
      <c r="K1187" s="165"/>
      <c r="L1187" s="165"/>
      <c r="M1187" s="1"/>
      <c r="N1187" s="164"/>
      <c r="O1187" s="1"/>
      <c r="P1187" s="153"/>
      <c r="Q1187" s="39"/>
      <c r="R1187" s="39"/>
      <c r="S1187" s="39"/>
      <c r="T1187" s="154"/>
      <c r="U1187" s="40"/>
    </row>
    <row r="1188" spans="1:21" ht="20" customHeight="1" x14ac:dyDescent="0.15">
      <c r="A1188" s="284" t="s">
        <v>7084</v>
      </c>
      <c r="B1188" s="157"/>
      <c r="C1188" s="157"/>
      <c r="D1188" s="157"/>
      <c r="E1188" s="157"/>
      <c r="F1188" s="157"/>
      <c r="G1188" s="3"/>
      <c r="H1188" s="156"/>
      <c r="I1188" s="156"/>
      <c r="J1188" s="156"/>
      <c r="K1188" s="165"/>
      <c r="L1188" s="165"/>
      <c r="M1188" s="1"/>
      <c r="N1188" s="164"/>
      <c r="O1188" s="1"/>
      <c r="P1188" s="153"/>
      <c r="Q1188" s="39"/>
      <c r="R1188" s="39"/>
      <c r="S1188" s="39"/>
      <c r="T1188" s="154"/>
      <c r="U1188" s="40"/>
    </row>
    <row r="1189" spans="1:21" ht="20" customHeight="1" x14ac:dyDescent="0.15">
      <c r="A1189" s="284" t="s">
        <v>7085</v>
      </c>
      <c r="B1189" s="157"/>
      <c r="C1189" s="157"/>
      <c r="D1189" s="157"/>
      <c r="E1189" s="157"/>
      <c r="F1189" s="157"/>
      <c r="G1189" s="3"/>
      <c r="H1189" s="156"/>
      <c r="I1189" s="156"/>
      <c r="J1189" s="156"/>
      <c r="K1189" s="165"/>
      <c r="L1189" s="165"/>
      <c r="M1189" s="1"/>
      <c r="N1189" s="164"/>
      <c r="O1189" s="1"/>
      <c r="P1189" s="153"/>
      <c r="Q1189" s="39"/>
      <c r="R1189" s="39"/>
      <c r="S1189" s="39"/>
      <c r="T1189" s="154"/>
      <c r="U1189" s="40"/>
    </row>
    <row r="1190" spans="1:21" ht="20" customHeight="1" x14ac:dyDescent="0.15">
      <c r="A1190" s="284" t="s">
        <v>7086</v>
      </c>
      <c r="B1190" s="157"/>
      <c r="C1190" s="157"/>
      <c r="D1190" s="157"/>
      <c r="E1190" s="157"/>
      <c r="F1190" s="157"/>
      <c r="G1190" s="3"/>
      <c r="H1190" s="156"/>
      <c r="I1190" s="156"/>
      <c r="J1190" s="156"/>
      <c r="K1190" s="165"/>
      <c r="L1190" s="165"/>
      <c r="M1190" s="1"/>
      <c r="N1190" s="164"/>
      <c r="O1190" s="1"/>
      <c r="P1190" s="153"/>
      <c r="Q1190" s="39"/>
      <c r="R1190" s="39"/>
      <c r="S1190" s="39"/>
      <c r="T1190" s="154"/>
      <c r="U1190" s="40"/>
    </row>
    <row r="1191" spans="1:21" ht="20" customHeight="1" x14ac:dyDescent="0.15">
      <c r="A1191" s="284" t="s">
        <v>7087</v>
      </c>
      <c r="B1191" s="157"/>
      <c r="C1191" s="157"/>
      <c r="D1191" s="157"/>
      <c r="E1191" s="157"/>
      <c r="F1191" s="157"/>
      <c r="G1191" s="3"/>
      <c r="H1191" s="156"/>
      <c r="I1191" s="156"/>
      <c r="J1191" s="156"/>
      <c r="K1191" s="165"/>
      <c r="L1191" s="165"/>
      <c r="M1191" s="1"/>
      <c r="N1191" s="164"/>
      <c r="O1191" s="1"/>
      <c r="P1191" s="153"/>
      <c r="Q1191" s="39"/>
      <c r="R1191" s="39"/>
      <c r="S1191" s="39"/>
      <c r="T1191" s="154"/>
      <c r="U1191" s="40"/>
    </row>
    <row r="1192" spans="1:21" ht="20" customHeight="1" x14ac:dyDescent="0.15">
      <c r="A1192" s="284" t="s">
        <v>7088</v>
      </c>
      <c r="B1192" s="157"/>
      <c r="C1192" s="157"/>
      <c r="D1192" s="157"/>
      <c r="E1192" s="157"/>
      <c r="F1192" s="157"/>
      <c r="G1192" s="3"/>
      <c r="H1192" s="156"/>
      <c r="I1192" s="156"/>
      <c r="J1192" s="156"/>
      <c r="K1192" s="165"/>
      <c r="L1192" s="165"/>
      <c r="M1192" s="1"/>
      <c r="N1192" s="164"/>
      <c r="O1192" s="1"/>
      <c r="P1192" s="153"/>
      <c r="Q1192" s="39"/>
      <c r="R1192" s="39"/>
      <c r="S1192" s="39"/>
      <c r="T1192" s="154"/>
      <c r="U1192" s="40"/>
    </row>
    <row r="1193" spans="1:21" ht="20" customHeight="1" x14ac:dyDescent="0.15">
      <c r="A1193" s="284" t="s">
        <v>7089</v>
      </c>
      <c r="B1193" s="157"/>
      <c r="C1193" s="157"/>
      <c r="D1193" s="157"/>
      <c r="E1193" s="157"/>
      <c r="F1193" s="157"/>
      <c r="G1193" s="3"/>
      <c r="H1193" s="156"/>
      <c r="I1193" s="156"/>
      <c r="J1193" s="156"/>
      <c r="K1193" s="165"/>
      <c r="L1193" s="165"/>
      <c r="M1193" s="1"/>
      <c r="N1193" s="164"/>
      <c r="O1193" s="1"/>
      <c r="P1193" s="153"/>
      <c r="Q1193" s="39"/>
      <c r="R1193" s="39"/>
      <c r="S1193" s="39"/>
      <c r="T1193" s="154"/>
      <c r="U1193" s="40"/>
    </row>
    <row r="1194" spans="1:21" ht="20" customHeight="1" x14ac:dyDescent="0.15">
      <c r="A1194" s="284" t="s">
        <v>7090</v>
      </c>
      <c r="B1194" s="157"/>
      <c r="C1194" s="157"/>
      <c r="D1194" s="157"/>
      <c r="E1194" s="157"/>
      <c r="F1194" s="157"/>
      <c r="G1194" s="3"/>
      <c r="H1194" s="156"/>
      <c r="I1194" s="156"/>
      <c r="J1194" s="156"/>
      <c r="K1194" s="165"/>
      <c r="L1194" s="165"/>
      <c r="M1194" s="1"/>
      <c r="N1194" s="164"/>
      <c r="O1194" s="1"/>
      <c r="P1194" s="153"/>
      <c r="Q1194" s="39"/>
      <c r="R1194" s="39"/>
      <c r="S1194" s="39"/>
      <c r="T1194" s="154"/>
      <c r="U1194" s="40"/>
    </row>
    <row r="1195" spans="1:21" ht="20" customHeight="1" x14ac:dyDescent="0.15">
      <c r="A1195" s="284" t="s">
        <v>7091</v>
      </c>
      <c r="B1195" s="157"/>
      <c r="C1195" s="157"/>
      <c r="D1195" s="157"/>
      <c r="E1195" s="157"/>
      <c r="F1195" s="157"/>
      <c r="G1195" s="3"/>
      <c r="H1195" s="156"/>
      <c r="I1195" s="156"/>
      <c r="J1195" s="156"/>
      <c r="K1195" s="165"/>
      <c r="L1195" s="165"/>
      <c r="M1195" s="1"/>
      <c r="N1195" s="164"/>
      <c r="O1195" s="1"/>
      <c r="P1195" s="153"/>
      <c r="Q1195" s="39"/>
      <c r="R1195" s="39"/>
      <c r="S1195" s="39"/>
      <c r="T1195" s="154"/>
      <c r="U1195" s="40"/>
    </row>
    <row r="1196" spans="1:21" ht="20" customHeight="1" x14ac:dyDescent="0.15">
      <c r="A1196" s="284" t="s">
        <v>7092</v>
      </c>
      <c r="B1196" s="157"/>
      <c r="C1196" s="157"/>
      <c r="D1196" s="157"/>
      <c r="E1196" s="157"/>
      <c r="F1196" s="157"/>
      <c r="G1196" s="3"/>
      <c r="H1196" s="156"/>
      <c r="I1196" s="156"/>
      <c r="J1196" s="156"/>
      <c r="K1196" s="165"/>
      <c r="L1196" s="165"/>
      <c r="M1196" s="1"/>
      <c r="N1196" s="164"/>
      <c r="O1196" s="1"/>
      <c r="P1196" s="153"/>
      <c r="Q1196" s="39"/>
      <c r="R1196" s="39"/>
      <c r="S1196" s="39"/>
      <c r="T1196" s="154"/>
      <c r="U1196" s="40"/>
    </row>
    <row r="1197" spans="1:21" ht="20" customHeight="1" x14ac:dyDescent="0.15">
      <c r="A1197" s="284" t="s">
        <v>7093</v>
      </c>
      <c r="B1197" s="157"/>
      <c r="C1197" s="157"/>
      <c r="D1197" s="157"/>
      <c r="E1197" s="157"/>
      <c r="F1197" s="157"/>
      <c r="G1197" s="3"/>
      <c r="H1197" s="156"/>
      <c r="I1197" s="156"/>
      <c r="J1197" s="156"/>
      <c r="K1197" s="165"/>
      <c r="L1197" s="165"/>
      <c r="M1197" s="1"/>
      <c r="N1197" s="164"/>
      <c r="O1197" s="1"/>
      <c r="P1197" s="153"/>
      <c r="Q1197" s="39"/>
      <c r="R1197" s="39"/>
      <c r="S1197" s="39"/>
      <c r="T1197" s="154"/>
      <c r="U1197" s="40"/>
    </row>
    <row r="1198" spans="1:21" ht="20" customHeight="1" x14ac:dyDescent="0.15">
      <c r="A1198" s="284" t="s">
        <v>7094</v>
      </c>
      <c r="B1198" s="157"/>
      <c r="C1198" s="157"/>
      <c r="D1198" s="157"/>
      <c r="E1198" s="157"/>
      <c r="F1198" s="157"/>
      <c r="G1198" s="3"/>
      <c r="H1198" s="156"/>
      <c r="I1198" s="156"/>
      <c r="J1198" s="156"/>
      <c r="K1198" s="165"/>
      <c r="L1198" s="165"/>
      <c r="M1198" s="1"/>
      <c r="N1198" s="164"/>
      <c r="O1198" s="1"/>
      <c r="P1198" s="153"/>
      <c r="Q1198" s="39"/>
      <c r="R1198" s="39"/>
      <c r="S1198" s="39"/>
      <c r="T1198" s="154"/>
      <c r="U1198" s="40"/>
    </row>
    <row r="1199" spans="1:21" ht="20" customHeight="1" x14ac:dyDescent="0.15">
      <c r="A1199" s="284" t="s">
        <v>7095</v>
      </c>
      <c r="B1199" s="157"/>
      <c r="C1199" s="157"/>
      <c r="D1199" s="157"/>
      <c r="E1199" s="157"/>
      <c r="F1199" s="157"/>
      <c r="G1199" s="3"/>
      <c r="H1199" s="156"/>
      <c r="I1199" s="156"/>
      <c r="J1199" s="156"/>
      <c r="K1199" s="165"/>
      <c r="L1199" s="165"/>
      <c r="M1199" s="1"/>
      <c r="N1199" s="164"/>
      <c r="O1199" s="1"/>
      <c r="P1199" s="153"/>
      <c r="Q1199" s="39"/>
      <c r="R1199" s="39"/>
      <c r="S1199" s="39"/>
      <c r="T1199" s="154"/>
      <c r="U1199" s="40"/>
    </row>
    <row r="1200" spans="1:21" ht="20" customHeight="1" x14ac:dyDescent="0.15">
      <c r="A1200" s="284" t="s">
        <v>7096</v>
      </c>
      <c r="B1200" s="157"/>
      <c r="C1200" s="157"/>
      <c r="D1200" s="157"/>
      <c r="E1200" s="157"/>
      <c r="F1200" s="157"/>
      <c r="G1200" s="3"/>
      <c r="H1200" s="156"/>
      <c r="I1200" s="156"/>
      <c r="J1200" s="156"/>
      <c r="K1200" s="165"/>
      <c r="L1200" s="165"/>
      <c r="M1200" s="1"/>
      <c r="N1200" s="164"/>
      <c r="O1200" s="1"/>
      <c r="P1200" s="153"/>
      <c r="Q1200" s="39"/>
      <c r="R1200" s="39"/>
      <c r="S1200" s="39"/>
      <c r="T1200" s="154"/>
      <c r="U1200" s="40"/>
    </row>
    <row r="1201" spans="1:21" ht="20" customHeight="1" x14ac:dyDescent="0.15">
      <c r="A1201" s="284" t="s">
        <v>7097</v>
      </c>
      <c r="B1201" s="157"/>
      <c r="C1201" s="157"/>
      <c r="D1201" s="157"/>
      <c r="E1201" s="157"/>
      <c r="F1201" s="157"/>
      <c r="G1201" s="3"/>
      <c r="H1201" s="156"/>
      <c r="I1201" s="156"/>
      <c r="J1201" s="156"/>
      <c r="K1201" s="165"/>
      <c r="L1201" s="165"/>
      <c r="M1201" s="1"/>
      <c r="N1201" s="164"/>
      <c r="O1201" s="1"/>
      <c r="P1201" s="153"/>
      <c r="Q1201" s="39"/>
      <c r="R1201" s="39"/>
      <c r="S1201" s="39"/>
      <c r="T1201" s="154"/>
      <c r="U1201" s="40"/>
    </row>
    <row r="1202" spans="1:21" ht="20" customHeight="1" x14ac:dyDescent="0.15">
      <c r="A1202" s="284" t="s">
        <v>7098</v>
      </c>
      <c r="B1202" s="157"/>
      <c r="C1202" s="157"/>
      <c r="D1202" s="157"/>
      <c r="E1202" s="157"/>
      <c r="F1202" s="157"/>
      <c r="G1202" s="3"/>
      <c r="H1202" s="156"/>
      <c r="I1202" s="156"/>
      <c r="J1202" s="156"/>
      <c r="K1202" s="165"/>
      <c r="L1202" s="165"/>
      <c r="M1202" s="1"/>
      <c r="N1202" s="164"/>
      <c r="O1202" s="1"/>
      <c r="P1202" s="153"/>
      <c r="Q1202" s="39"/>
      <c r="R1202" s="39"/>
      <c r="S1202" s="39"/>
      <c r="T1202" s="154"/>
      <c r="U1202" s="40"/>
    </row>
    <row r="1203" spans="1:21" ht="20" customHeight="1" x14ac:dyDescent="0.15">
      <c r="A1203" s="284" t="s">
        <v>7099</v>
      </c>
      <c r="B1203" s="157"/>
      <c r="C1203" s="157"/>
      <c r="D1203" s="157"/>
      <c r="E1203" s="157"/>
      <c r="F1203" s="157"/>
      <c r="G1203" s="3"/>
      <c r="H1203" s="156"/>
      <c r="I1203" s="156"/>
      <c r="J1203" s="156"/>
      <c r="K1203" s="165"/>
      <c r="L1203" s="165"/>
      <c r="M1203" s="1"/>
      <c r="N1203" s="164"/>
      <c r="O1203" s="1"/>
      <c r="P1203" s="153"/>
      <c r="Q1203" s="39"/>
      <c r="R1203" s="39"/>
      <c r="S1203" s="39"/>
      <c r="T1203" s="154"/>
      <c r="U1203" s="40"/>
    </row>
    <row r="1204" spans="1:21" ht="20" customHeight="1" x14ac:dyDescent="0.15">
      <c r="A1204" s="284" t="s">
        <v>7100</v>
      </c>
      <c r="B1204" s="157"/>
      <c r="C1204" s="157"/>
      <c r="D1204" s="157"/>
      <c r="E1204" s="157"/>
      <c r="F1204" s="157"/>
      <c r="G1204" s="3"/>
      <c r="H1204" s="156"/>
      <c r="I1204" s="156"/>
      <c r="J1204" s="156"/>
      <c r="K1204" s="165"/>
      <c r="L1204" s="165"/>
      <c r="M1204" s="1"/>
      <c r="N1204" s="164"/>
      <c r="O1204" s="1"/>
      <c r="P1204" s="153"/>
      <c r="Q1204" s="39"/>
      <c r="R1204" s="39"/>
      <c r="S1204" s="39"/>
      <c r="T1204" s="154"/>
      <c r="U1204" s="40"/>
    </row>
    <row r="1205" spans="1:21" ht="20" customHeight="1" x14ac:dyDescent="0.15">
      <c r="A1205" s="284" t="s">
        <v>7101</v>
      </c>
      <c r="B1205" s="157"/>
      <c r="C1205" s="157"/>
      <c r="D1205" s="157"/>
      <c r="E1205" s="157"/>
      <c r="F1205" s="157"/>
      <c r="G1205" s="3"/>
      <c r="H1205" s="156"/>
      <c r="I1205" s="156"/>
      <c r="J1205" s="156"/>
      <c r="K1205" s="165"/>
      <c r="L1205" s="165"/>
      <c r="M1205" s="1"/>
      <c r="N1205" s="164"/>
      <c r="O1205" s="1"/>
      <c r="P1205" s="153"/>
      <c r="Q1205" s="39"/>
      <c r="R1205" s="39"/>
      <c r="S1205" s="39"/>
      <c r="T1205" s="154"/>
      <c r="U1205" s="40"/>
    </row>
    <row r="1206" spans="1:21" ht="20" customHeight="1" x14ac:dyDescent="0.15">
      <c r="A1206" s="284" t="s">
        <v>7102</v>
      </c>
      <c r="B1206" s="157"/>
      <c r="C1206" s="157"/>
      <c r="D1206" s="157"/>
      <c r="E1206" s="157"/>
      <c r="F1206" s="157"/>
      <c r="G1206" s="3"/>
      <c r="H1206" s="156"/>
      <c r="I1206" s="156"/>
      <c r="J1206" s="156"/>
      <c r="K1206" s="165"/>
      <c r="L1206" s="165"/>
      <c r="M1206" s="1"/>
      <c r="N1206" s="164"/>
      <c r="O1206" s="1"/>
      <c r="P1206" s="153"/>
      <c r="Q1206" s="39"/>
      <c r="R1206" s="39"/>
      <c r="S1206" s="39"/>
      <c r="T1206" s="154"/>
      <c r="U1206" s="40"/>
    </row>
    <row r="1207" spans="1:21" ht="20" customHeight="1" x14ac:dyDescent="0.15">
      <c r="A1207" s="284" t="s">
        <v>7103</v>
      </c>
      <c r="B1207" s="157"/>
      <c r="C1207" s="157"/>
      <c r="D1207" s="157"/>
      <c r="E1207" s="157"/>
      <c r="F1207" s="157"/>
      <c r="G1207" s="3"/>
      <c r="H1207" s="156"/>
      <c r="I1207" s="156"/>
      <c r="J1207" s="156"/>
      <c r="K1207" s="165"/>
      <c r="L1207" s="165"/>
      <c r="M1207" s="1"/>
      <c r="N1207" s="164"/>
      <c r="O1207" s="1"/>
      <c r="P1207" s="153"/>
      <c r="Q1207" s="39"/>
      <c r="R1207" s="39"/>
      <c r="S1207" s="39"/>
      <c r="T1207" s="154"/>
      <c r="U1207" s="40"/>
    </row>
    <row r="1208" spans="1:21" ht="20" customHeight="1" x14ac:dyDescent="0.15">
      <c r="A1208" s="284" t="s">
        <v>7104</v>
      </c>
      <c r="B1208" s="157"/>
      <c r="C1208" s="157"/>
      <c r="D1208" s="157"/>
      <c r="E1208" s="157"/>
      <c r="F1208" s="157"/>
      <c r="G1208" s="3"/>
      <c r="H1208" s="156"/>
      <c r="I1208" s="156"/>
      <c r="J1208" s="156"/>
      <c r="K1208" s="165"/>
      <c r="L1208" s="165"/>
      <c r="M1208" s="1"/>
      <c r="N1208" s="164"/>
      <c r="O1208" s="1"/>
      <c r="P1208" s="153"/>
      <c r="Q1208" s="39"/>
      <c r="R1208" s="39"/>
      <c r="S1208" s="39"/>
      <c r="T1208" s="154"/>
      <c r="U1208" s="40"/>
    </row>
    <row r="1209" spans="1:21" ht="20" customHeight="1" x14ac:dyDescent="0.15">
      <c r="A1209" s="284" t="s">
        <v>7105</v>
      </c>
      <c r="B1209" s="157"/>
      <c r="C1209" s="157"/>
      <c r="D1209" s="157"/>
      <c r="E1209" s="157"/>
      <c r="F1209" s="157"/>
      <c r="G1209" s="3"/>
      <c r="H1209" s="156"/>
      <c r="I1209" s="156"/>
      <c r="J1209" s="156"/>
      <c r="K1209" s="165"/>
      <c r="L1209" s="165"/>
      <c r="M1209" s="1"/>
      <c r="N1209" s="164"/>
      <c r="O1209" s="1"/>
      <c r="P1209" s="153"/>
      <c r="Q1209" s="39"/>
      <c r="R1209" s="39"/>
      <c r="S1209" s="39"/>
      <c r="T1209" s="154"/>
      <c r="U1209" s="40"/>
    </row>
    <row r="1210" spans="1:21" ht="20" customHeight="1" x14ac:dyDescent="0.15">
      <c r="A1210" s="284" t="s">
        <v>7106</v>
      </c>
      <c r="B1210" s="157"/>
      <c r="C1210" s="157"/>
      <c r="D1210" s="157"/>
      <c r="E1210" s="157"/>
      <c r="F1210" s="157"/>
      <c r="G1210" s="3"/>
      <c r="H1210" s="156"/>
      <c r="I1210" s="156"/>
      <c r="J1210" s="156"/>
      <c r="K1210" s="165"/>
      <c r="L1210" s="165"/>
      <c r="M1210" s="1"/>
      <c r="N1210" s="164"/>
      <c r="O1210" s="1"/>
      <c r="P1210" s="153"/>
      <c r="Q1210" s="39"/>
      <c r="R1210" s="39"/>
      <c r="S1210" s="39"/>
      <c r="T1210" s="154"/>
      <c r="U1210" s="40"/>
    </row>
    <row r="1211" spans="1:21" ht="20" customHeight="1" x14ac:dyDescent="0.15">
      <c r="A1211" s="284" t="s">
        <v>7107</v>
      </c>
      <c r="B1211" s="157"/>
      <c r="C1211" s="157"/>
      <c r="D1211" s="157"/>
      <c r="E1211" s="157"/>
      <c r="F1211" s="157"/>
      <c r="G1211" s="3"/>
      <c r="H1211" s="156"/>
      <c r="I1211" s="156"/>
      <c r="J1211" s="156"/>
      <c r="K1211" s="165"/>
      <c r="L1211" s="165"/>
      <c r="M1211" s="1"/>
      <c r="N1211" s="164"/>
      <c r="O1211" s="1"/>
      <c r="P1211" s="153"/>
      <c r="Q1211" s="39"/>
      <c r="R1211" s="39"/>
      <c r="S1211" s="39"/>
      <c r="T1211" s="154"/>
      <c r="U1211" s="40"/>
    </row>
    <row r="1212" spans="1:21" ht="20" customHeight="1" x14ac:dyDescent="0.15">
      <c r="A1212" s="284" t="s">
        <v>7108</v>
      </c>
      <c r="B1212" s="157"/>
      <c r="C1212" s="157"/>
      <c r="D1212" s="157"/>
      <c r="E1212" s="157"/>
      <c r="F1212" s="157"/>
      <c r="G1212" s="3"/>
      <c r="H1212" s="156"/>
      <c r="I1212" s="156"/>
      <c r="J1212" s="156"/>
      <c r="K1212" s="165"/>
      <c r="L1212" s="165"/>
      <c r="M1212" s="1"/>
      <c r="N1212" s="164"/>
      <c r="O1212" s="1"/>
      <c r="P1212" s="153"/>
      <c r="Q1212" s="39"/>
      <c r="R1212" s="39"/>
      <c r="S1212" s="39"/>
      <c r="T1212" s="154"/>
      <c r="U1212" s="40"/>
    </row>
    <row r="1213" spans="1:21" ht="20" customHeight="1" x14ac:dyDescent="0.15">
      <c r="A1213" s="284" t="s">
        <v>7109</v>
      </c>
      <c r="B1213" s="157"/>
      <c r="C1213" s="157"/>
      <c r="D1213" s="157"/>
      <c r="E1213" s="157"/>
      <c r="F1213" s="157"/>
      <c r="G1213" s="3"/>
      <c r="H1213" s="156"/>
      <c r="I1213" s="156"/>
      <c r="J1213" s="156"/>
      <c r="K1213" s="165"/>
      <c r="L1213" s="165"/>
      <c r="M1213" s="1"/>
      <c r="N1213" s="164"/>
      <c r="O1213" s="1"/>
      <c r="P1213" s="153"/>
      <c r="Q1213" s="39"/>
      <c r="R1213" s="39"/>
      <c r="S1213" s="39"/>
      <c r="T1213" s="154"/>
      <c r="U1213" s="40"/>
    </row>
    <row r="1214" spans="1:21" ht="20" customHeight="1" x14ac:dyDescent="0.15">
      <c r="A1214" s="284" t="s">
        <v>7110</v>
      </c>
      <c r="B1214" s="157"/>
      <c r="C1214" s="157"/>
      <c r="D1214" s="157"/>
      <c r="E1214" s="157"/>
      <c r="F1214" s="157"/>
      <c r="G1214" s="3"/>
      <c r="H1214" s="156"/>
      <c r="I1214" s="156"/>
      <c r="J1214" s="156"/>
      <c r="K1214" s="165"/>
      <c r="L1214" s="165"/>
      <c r="M1214" s="1"/>
      <c r="N1214" s="164"/>
      <c r="O1214" s="1"/>
      <c r="P1214" s="153"/>
      <c r="Q1214" s="39"/>
      <c r="R1214" s="39"/>
      <c r="S1214" s="39"/>
      <c r="T1214" s="154"/>
      <c r="U1214" s="40"/>
    </row>
    <row r="1215" spans="1:21" ht="20" customHeight="1" x14ac:dyDescent="0.15">
      <c r="A1215" s="284" t="s">
        <v>7111</v>
      </c>
      <c r="B1215" s="157"/>
      <c r="C1215" s="157"/>
      <c r="D1215" s="157"/>
      <c r="E1215" s="157"/>
      <c r="F1215" s="157"/>
      <c r="G1215" s="3"/>
      <c r="H1215" s="156"/>
      <c r="I1215" s="156"/>
      <c r="J1215" s="156"/>
      <c r="K1215" s="165"/>
      <c r="L1215" s="165"/>
      <c r="M1215" s="1"/>
      <c r="N1215" s="164"/>
      <c r="O1215" s="1"/>
      <c r="P1215" s="153"/>
      <c r="Q1215" s="39"/>
      <c r="R1215" s="39"/>
      <c r="S1215" s="39"/>
      <c r="T1215" s="154"/>
      <c r="U1215" s="40"/>
    </row>
    <row r="1216" spans="1:21" ht="20" customHeight="1" x14ac:dyDescent="0.15">
      <c r="A1216" s="284" t="s">
        <v>7112</v>
      </c>
      <c r="B1216" s="157"/>
      <c r="C1216" s="157"/>
      <c r="D1216" s="157"/>
      <c r="E1216" s="157"/>
      <c r="F1216" s="157"/>
      <c r="G1216" s="3"/>
      <c r="H1216" s="156"/>
      <c r="I1216" s="156"/>
      <c r="J1216" s="156"/>
      <c r="K1216" s="165"/>
      <c r="L1216" s="165"/>
      <c r="M1216" s="1"/>
      <c r="N1216" s="164"/>
      <c r="O1216" s="1"/>
      <c r="P1216" s="153"/>
      <c r="Q1216" s="39"/>
      <c r="R1216" s="39"/>
      <c r="S1216" s="39"/>
      <c r="T1216" s="154"/>
      <c r="U1216" s="40"/>
    </row>
    <row r="1217" spans="1:21" ht="20" customHeight="1" x14ac:dyDescent="0.15">
      <c r="A1217" s="284" t="s">
        <v>7113</v>
      </c>
      <c r="B1217" s="157"/>
      <c r="C1217" s="157"/>
      <c r="D1217" s="157"/>
      <c r="E1217" s="157"/>
      <c r="F1217" s="157"/>
      <c r="G1217" s="3"/>
      <c r="H1217" s="156"/>
      <c r="I1217" s="156"/>
      <c r="J1217" s="156"/>
      <c r="K1217" s="165"/>
      <c r="L1217" s="165"/>
      <c r="M1217" s="1"/>
      <c r="N1217" s="164"/>
      <c r="O1217" s="1"/>
      <c r="P1217" s="153"/>
      <c r="Q1217" s="39"/>
      <c r="R1217" s="39"/>
      <c r="S1217" s="39"/>
      <c r="T1217" s="154"/>
      <c r="U1217" s="40"/>
    </row>
    <row r="1218" spans="1:21" ht="20" customHeight="1" x14ac:dyDescent="0.15">
      <c r="A1218" s="284" t="s">
        <v>7114</v>
      </c>
      <c r="B1218" s="157"/>
      <c r="C1218" s="157"/>
      <c r="D1218" s="157"/>
      <c r="E1218" s="157"/>
      <c r="F1218" s="157"/>
      <c r="G1218" s="3"/>
      <c r="H1218" s="156"/>
      <c r="I1218" s="156"/>
      <c r="J1218" s="156"/>
      <c r="K1218" s="165"/>
      <c r="L1218" s="165"/>
      <c r="M1218" s="1"/>
      <c r="N1218" s="164"/>
      <c r="O1218" s="1"/>
      <c r="P1218" s="153"/>
      <c r="Q1218" s="39"/>
      <c r="R1218" s="39"/>
      <c r="S1218" s="39"/>
      <c r="T1218" s="154"/>
      <c r="U1218" s="40"/>
    </row>
    <row r="1219" spans="1:21" ht="20" customHeight="1" x14ac:dyDescent="0.15">
      <c r="A1219" s="284" t="s">
        <v>7115</v>
      </c>
      <c r="B1219" s="157"/>
      <c r="C1219" s="157"/>
      <c r="D1219" s="157"/>
      <c r="E1219" s="157"/>
      <c r="F1219" s="157"/>
      <c r="G1219" s="3"/>
      <c r="H1219" s="156"/>
      <c r="I1219" s="156"/>
      <c r="J1219" s="156"/>
      <c r="K1219" s="165"/>
      <c r="L1219" s="165"/>
      <c r="M1219" s="1"/>
      <c r="N1219" s="164"/>
      <c r="O1219" s="1"/>
      <c r="P1219" s="153"/>
      <c r="Q1219" s="39"/>
      <c r="R1219" s="39"/>
      <c r="S1219" s="39"/>
      <c r="T1219" s="154"/>
      <c r="U1219" s="40"/>
    </row>
    <row r="1220" spans="1:21" ht="20" customHeight="1" x14ac:dyDescent="0.15">
      <c r="A1220" s="284" t="s">
        <v>7116</v>
      </c>
      <c r="B1220" s="157"/>
      <c r="C1220" s="157"/>
      <c r="D1220" s="157"/>
      <c r="E1220" s="157"/>
      <c r="F1220" s="157"/>
      <c r="G1220" s="3"/>
      <c r="H1220" s="156"/>
      <c r="I1220" s="156"/>
      <c r="J1220" s="156"/>
      <c r="K1220" s="165"/>
      <c r="L1220" s="165"/>
      <c r="M1220" s="1"/>
      <c r="N1220" s="164"/>
      <c r="O1220" s="1"/>
      <c r="P1220" s="153"/>
      <c r="Q1220" s="39"/>
      <c r="R1220" s="39"/>
      <c r="S1220" s="39"/>
      <c r="T1220" s="154"/>
      <c r="U1220" s="40"/>
    </row>
    <row r="1221" spans="1:21" ht="20" customHeight="1" x14ac:dyDescent="0.15">
      <c r="A1221" s="284" t="s">
        <v>7117</v>
      </c>
      <c r="B1221" s="157"/>
      <c r="C1221" s="157"/>
      <c r="D1221" s="157"/>
      <c r="E1221" s="157"/>
      <c r="F1221" s="157"/>
      <c r="G1221" s="3"/>
      <c r="H1221" s="156"/>
      <c r="I1221" s="156"/>
      <c r="J1221" s="156"/>
      <c r="K1221" s="165"/>
      <c r="L1221" s="165"/>
      <c r="M1221" s="1"/>
      <c r="N1221" s="164"/>
      <c r="O1221" s="1"/>
      <c r="P1221" s="153"/>
      <c r="Q1221" s="39"/>
      <c r="R1221" s="39"/>
      <c r="S1221" s="39"/>
      <c r="T1221" s="154"/>
      <c r="U1221" s="40"/>
    </row>
    <row r="1222" spans="1:21" ht="20" customHeight="1" x14ac:dyDescent="0.15">
      <c r="A1222" s="284" t="s">
        <v>7118</v>
      </c>
      <c r="B1222" s="157"/>
      <c r="C1222" s="157"/>
      <c r="D1222" s="157"/>
      <c r="E1222" s="157"/>
      <c r="F1222" s="157"/>
      <c r="G1222" s="3"/>
      <c r="H1222" s="156"/>
      <c r="I1222" s="156"/>
      <c r="J1222" s="156"/>
      <c r="K1222" s="165"/>
      <c r="L1222" s="165"/>
      <c r="M1222" s="1"/>
      <c r="N1222" s="164"/>
      <c r="O1222" s="1"/>
      <c r="P1222" s="153"/>
      <c r="Q1222" s="39"/>
      <c r="R1222" s="39"/>
      <c r="S1222" s="39"/>
      <c r="T1222" s="154"/>
      <c r="U1222" s="40"/>
    </row>
    <row r="1223" spans="1:21" ht="20" customHeight="1" x14ac:dyDescent="0.15">
      <c r="A1223" s="284" t="s">
        <v>7119</v>
      </c>
      <c r="B1223" s="157"/>
      <c r="C1223" s="157"/>
      <c r="D1223" s="157"/>
      <c r="E1223" s="157"/>
      <c r="F1223" s="157"/>
      <c r="G1223" s="3"/>
      <c r="H1223" s="156"/>
      <c r="I1223" s="156"/>
      <c r="J1223" s="156"/>
      <c r="K1223" s="165"/>
      <c r="L1223" s="165"/>
      <c r="M1223" s="1"/>
      <c r="N1223" s="164"/>
      <c r="O1223" s="1"/>
      <c r="P1223" s="153"/>
      <c r="Q1223" s="39"/>
      <c r="R1223" s="39"/>
      <c r="S1223" s="39"/>
      <c r="T1223" s="154"/>
      <c r="U1223" s="40"/>
    </row>
    <row r="1224" spans="1:21" ht="20" customHeight="1" x14ac:dyDescent="0.15">
      <c r="A1224" s="284" t="s">
        <v>7120</v>
      </c>
      <c r="B1224" s="157"/>
      <c r="C1224" s="157"/>
      <c r="D1224" s="157"/>
      <c r="E1224" s="157"/>
      <c r="F1224" s="157"/>
      <c r="G1224" s="3"/>
      <c r="H1224" s="156"/>
      <c r="I1224" s="156"/>
      <c r="J1224" s="156"/>
      <c r="K1224" s="165"/>
      <c r="L1224" s="165"/>
      <c r="M1224" s="1"/>
      <c r="N1224" s="164"/>
      <c r="O1224" s="1"/>
      <c r="P1224" s="153"/>
      <c r="Q1224" s="39"/>
      <c r="R1224" s="39"/>
      <c r="S1224" s="39"/>
      <c r="T1224" s="154"/>
      <c r="U1224" s="40"/>
    </row>
    <row r="1225" spans="1:21" ht="20" customHeight="1" x14ac:dyDescent="0.15">
      <c r="A1225" s="284" t="s">
        <v>7121</v>
      </c>
      <c r="B1225" s="157"/>
      <c r="C1225" s="157"/>
      <c r="D1225" s="157"/>
      <c r="E1225" s="157"/>
      <c r="F1225" s="157"/>
      <c r="G1225" s="3"/>
      <c r="H1225" s="156"/>
      <c r="I1225" s="156"/>
      <c r="J1225" s="156"/>
      <c r="K1225" s="165"/>
      <c r="L1225" s="165"/>
      <c r="M1225" s="1"/>
      <c r="N1225" s="164"/>
      <c r="O1225" s="1"/>
      <c r="P1225" s="153"/>
      <c r="Q1225" s="39"/>
      <c r="R1225" s="39"/>
      <c r="S1225" s="39"/>
      <c r="T1225" s="154"/>
      <c r="U1225" s="40"/>
    </row>
    <row r="1226" spans="1:21" ht="20" customHeight="1" x14ac:dyDescent="0.15">
      <c r="A1226" s="284" t="s">
        <v>7122</v>
      </c>
      <c r="B1226" s="157"/>
      <c r="C1226" s="157"/>
      <c r="D1226" s="157"/>
      <c r="E1226" s="157"/>
      <c r="F1226" s="157"/>
      <c r="G1226" s="3"/>
      <c r="H1226" s="156"/>
      <c r="I1226" s="156"/>
      <c r="J1226" s="156"/>
      <c r="K1226" s="165"/>
      <c r="L1226" s="165"/>
      <c r="M1226" s="1"/>
      <c r="N1226" s="164"/>
      <c r="O1226" s="1"/>
      <c r="P1226" s="153"/>
      <c r="Q1226" s="39"/>
      <c r="R1226" s="39"/>
      <c r="S1226" s="39"/>
      <c r="T1226" s="154"/>
      <c r="U1226" s="40"/>
    </row>
    <row r="1227" spans="1:21" ht="20" customHeight="1" x14ac:dyDescent="0.15">
      <c r="A1227" s="284" t="s">
        <v>7123</v>
      </c>
      <c r="B1227" s="157"/>
      <c r="C1227" s="157"/>
      <c r="D1227" s="157"/>
      <c r="E1227" s="157"/>
      <c r="F1227" s="157"/>
      <c r="G1227" s="3"/>
      <c r="H1227" s="156"/>
      <c r="I1227" s="156"/>
      <c r="J1227" s="156"/>
      <c r="K1227" s="165"/>
      <c r="L1227" s="165"/>
      <c r="M1227" s="1"/>
      <c r="N1227" s="164"/>
      <c r="O1227" s="1"/>
      <c r="P1227" s="153"/>
      <c r="Q1227" s="39"/>
      <c r="R1227" s="39"/>
      <c r="S1227" s="39"/>
      <c r="T1227" s="154"/>
      <c r="U1227" s="40"/>
    </row>
    <row r="1228" spans="1:21" ht="20" customHeight="1" x14ac:dyDescent="0.15">
      <c r="A1228" s="284" t="s">
        <v>7124</v>
      </c>
      <c r="B1228" s="157"/>
      <c r="C1228" s="157"/>
      <c r="D1228" s="157"/>
      <c r="E1228" s="157"/>
      <c r="F1228" s="157"/>
      <c r="G1228" s="3"/>
      <c r="H1228" s="156"/>
      <c r="I1228" s="156"/>
      <c r="J1228" s="156"/>
      <c r="K1228" s="165"/>
      <c r="L1228" s="165"/>
      <c r="M1228" s="1"/>
      <c r="N1228" s="164"/>
      <c r="O1228" s="1"/>
      <c r="P1228" s="153"/>
      <c r="Q1228" s="39"/>
      <c r="R1228" s="39"/>
      <c r="S1228" s="39"/>
      <c r="T1228" s="154"/>
      <c r="U1228" s="40"/>
    </row>
    <row r="1229" spans="1:21" ht="20" customHeight="1" x14ac:dyDescent="0.15">
      <c r="A1229" s="284" t="s">
        <v>7125</v>
      </c>
      <c r="B1229" s="157"/>
      <c r="C1229" s="157"/>
      <c r="D1229" s="157"/>
      <c r="E1229" s="157"/>
      <c r="F1229" s="157"/>
      <c r="G1229" s="3"/>
      <c r="H1229" s="156"/>
      <c r="I1229" s="156"/>
      <c r="J1229" s="156"/>
      <c r="K1229" s="165"/>
      <c r="L1229" s="165"/>
      <c r="M1229" s="1"/>
      <c r="N1229" s="164"/>
      <c r="O1229" s="1"/>
      <c r="P1229" s="153"/>
      <c r="Q1229" s="39"/>
      <c r="R1229" s="39"/>
      <c r="S1229" s="39"/>
      <c r="T1229" s="154"/>
      <c r="U1229" s="40"/>
    </row>
    <row r="1230" spans="1:21" ht="20" customHeight="1" x14ac:dyDescent="0.15">
      <c r="A1230" s="284" t="s">
        <v>7126</v>
      </c>
      <c r="B1230" s="157"/>
      <c r="C1230" s="157"/>
      <c r="D1230" s="157"/>
      <c r="E1230" s="157"/>
      <c r="F1230" s="157"/>
      <c r="G1230" s="3"/>
      <c r="H1230" s="156"/>
      <c r="I1230" s="156"/>
      <c r="J1230" s="156"/>
      <c r="K1230" s="165"/>
      <c r="L1230" s="165"/>
      <c r="M1230" s="1"/>
      <c r="N1230" s="164"/>
      <c r="O1230" s="1"/>
      <c r="P1230" s="153"/>
      <c r="Q1230" s="39"/>
      <c r="R1230" s="39"/>
      <c r="S1230" s="39"/>
      <c r="T1230" s="154"/>
      <c r="U1230" s="40"/>
    </row>
    <row r="1231" spans="1:21" ht="20" customHeight="1" x14ac:dyDescent="0.15">
      <c r="A1231" s="284" t="s">
        <v>7127</v>
      </c>
      <c r="B1231" s="157"/>
      <c r="C1231" s="157"/>
      <c r="D1231" s="157"/>
      <c r="E1231" s="157"/>
      <c r="F1231" s="157"/>
      <c r="G1231" s="3"/>
      <c r="H1231" s="156"/>
      <c r="I1231" s="156"/>
      <c r="J1231" s="156"/>
      <c r="K1231" s="165"/>
      <c r="L1231" s="165"/>
      <c r="M1231" s="1"/>
      <c r="N1231" s="164"/>
      <c r="O1231" s="1"/>
      <c r="P1231" s="153"/>
      <c r="Q1231" s="39"/>
      <c r="R1231" s="39"/>
      <c r="S1231" s="39"/>
      <c r="T1231" s="154"/>
      <c r="U1231" s="40"/>
    </row>
    <row r="1232" spans="1:21" ht="20" customHeight="1" x14ac:dyDescent="0.15">
      <c r="A1232" s="284" t="s">
        <v>7128</v>
      </c>
      <c r="B1232" s="157"/>
      <c r="C1232" s="157"/>
      <c r="D1232" s="157"/>
      <c r="E1232" s="157"/>
      <c r="F1232" s="157"/>
      <c r="G1232" s="3"/>
      <c r="H1232" s="156"/>
      <c r="I1232" s="156"/>
      <c r="J1232" s="156"/>
      <c r="K1232" s="165"/>
      <c r="L1232" s="165"/>
      <c r="M1232" s="1"/>
      <c r="N1232" s="164"/>
      <c r="O1232" s="1"/>
      <c r="P1232" s="153"/>
      <c r="Q1232" s="39"/>
      <c r="R1232" s="39"/>
      <c r="S1232" s="39"/>
      <c r="T1232" s="154"/>
      <c r="U1232" s="40"/>
    </row>
    <row r="1233" spans="1:21" ht="20" customHeight="1" x14ac:dyDescent="0.15">
      <c r="A1233" s="284" t="s">
        <v>7129</v>
      </c>
      <c r="B1233" s="157"/>
      <c r="C1233" s="157"/>
      <c r="D1233" s="157"/>
      <c r="E1233" s="157"/>
      <c r="F1233" s="157"/>
      <c r="G1233" s="3"/>
      <c r="H1233" s="156"/>
      <c r="I1233" s="156"/>
      <c r="J1233" s="156"/>
      <c r="K1233" s="165"/>
      <c r="L1233" s="165"/>
      <c r="M1233" s="1"/>
      <c r="N1233" s="164"/>
      <c r="O1233" s="1"/>
      <c r="P1233" s="153"/>
      <c r="Q1233" s="39"/>
      <c r="R1233" s="39"/>
      <c r="S1233" s="39"/>
      <c r="T1233" s="154"/>
      <c r="U1233" s="40"/>
    </row>
    <row r="1234" spans="1:21" ht="20" customHeight="1" x14ac:dyDescent="0.15">
      <c r="A1234" s="284" t="s">
        <v>7130</v>
      </c>
      <c r="B1234" s="157"/>
      <c r="C1234" s="157"/>
      <c r="D1234" s="157"/>
      <c r="E1234" s="157"/>
      <c r="F1234" s="157"/>
      <c r="G1234" s="3"/>
      <c r="H1234" s="156"/>
      <c r="I1234" s="156"/>
      <c r="J1234" s="156"/>
      <c r="K1234" s="165"/>
      <c r="L1234" s="165"/>
      <c r="M1234" s="1"/>
      <c r="N1234" s="164"/>
      <c r="O1234" s="1"/>
      <c r="P1234" s="153"/>
      <c r="Q1234" s="39"/>
      <c r="R1234" s="39"/>
      <c r="S1234" s="39"/>
      <c r="T1234" s="154"/>
      <c r="U1234" s="40"/>
    </row>
    <row r="1235" spans="1:21" ht="20" customHeight="1" x14ac:dyDescent="0.15">
      <c r="A1235" s="284" t="s">
        <v>7131</v>
      </c>
      <c r="B1235" s="157"/>
      <c r="C1235" s="157"/>
      <c r="D1235" s="157"/>
      <c r="E1235" s="157"/>
      <c r="F1235" s="157"/>
      <c r="G1235" s="3"/>
      <c r="H1235" s="156"/>
      <c r="I1235" s="156"/>
      <c r="J1235" s="156"/>
      <c r="K1235" s="165"/>
      <c r="L1235" s="165"/>
      <c r="M1235" s="1"/>
      <c r="N1235" s="164"/>
      <c r="O1235" s="1"/>
      <c r="P1235" s="153"/>
      <c r="Q1235" s="39"/>
      <c r="R1235" s="39"/>
      <c r="S1235" s="39"/>
      <c r="T1235" s="154"/>
      <c r="U1235" s="40"/>
    </row>
    <row r="1236" spans="1:21" ht="20" customHeight="1" x14ac:dyDescent="0.15">
      <c r="A1236" s="284" t="s">
        <v>7132</v>
      </c>
      <c r="B1236" s="157"/>
      <c r="C1236" s="157"/>
      <c r="D1236" s="157"/>
      <c r="E1236" s="157"/>
      <c r="F1236" s="157"/>
      <c r="G1236" s="3"/>
      <c r="H1236" s="156"/>
      <c r="I1236" s="156"/>
      <c r="J1236" s="156"/>
      <c r="K1236" s="165"/>
      <c r="L1236" s="165"/>
      <c r="M1236" s="1"/>
      <c r="N1236" s="164"/>
      <c r="O1236" s="1"/>
      <c r="P1236" s="153"/>
      <c r="Q1236" s="39"/>
      <c r="R1236" s="39"/>
      <c r="S1236" s="39"/>
      <c r="T1236" s="154"/>
      <c r="U1236" s="40"/>
    </row>
    <row r="1237" spans="1:21" ht="20" customHeight="1" x14ac:dyDescent="0.15">
      <c r="A1237" s="284" t="s">
        <v>7133</v>
      </c>
      <c r="B1237" s="157"/>
      <c r="C1237" s="157"/>
      <c r="D1237" s="157"/>
      <c r="E1237" s="157"/>
      <c r="F1237" s="157"/>
      <c r="G1237" s="3"/>
      <c r="H1237" s="156"/>
      <c r="I1237" s="156"/>
      <c r="J1237" s="156"/>
      <c r="K1237" s="165"/>
      <c r="L1237" s="165"/>
      <c r="M1237" s="1"/>
      <c r="N1237" s="164"/>
      <c r="O1237" s="1"/>
      <c r="P1237" s="153"/>
      <c r="Q1237" s="39"/>
      <c r="R1237" s="39"/>
      <c r="S1237" s="39"/>
      <c r="T1237" s="154"/>
      <c r="U1237" s="40"/>
    </row>
    <row r="1238" spans="1:21" ht="20" customHeight="1" x14ac:dyDescent="0.15">
      <c r="A1238" s="284" t="s">
        <v>7134</v>
      </c>
      <c r="B1238" s="157"/>
      <c r="C1238" s="157"/>
      <c r="D1238" s="157"/>
      <c r="E1238" s="157"/>
      <c r="F1238" s="157"/>
      <c r="G1238" s="3"/>
      <c r="H1238" s="156"/>
      <c r="I1238" s="156"/>
      <c r="J1238" s="156"/>
      <c r="K1238" s="165"/>
      <c r="L1238" s="165"/>
      <c r="M1238" s="1"/>
      <c r="N1238" s="164"/>
      <c r="O1238" s="1"/>
      <c r="P1238" s="153"/>
      <c r="Q1238" s="39"/>
      <c r="R1238" s="39"/>
      <c r="S1238" s="39"/>
      <c r="T1238" s="154"/>
      <c r="U1238" s="40"/>
    </row>
    <row r="1239" spans="1:21" ht="20" customHeight="1" x14ac:dyDescent="0.15">
      <c r="A1239" s="284" t="s">
        <v>7135</v>
      </c>
      <c r="B1239" s="157"/>
      <c r="C1239" s="157"/>
      <c r="D1239" s="157"/>
      <c r="E1239" s="157"/>
      <c r="F1239" s="157"/>
      <c r="G1239" s="3"/>
      <c r="H1239" s="156"/>
      <c r="I1239" s="156"/>
      <c r="J1239" s="156"/>
      <c r="K1239" s="165"/>
      <c r="L1239" s="165"/>
      <c r="M1239" s="1"/>
      <c r="N1239" s="164"/>
      <c r="O1239" s="1"/>
      <c r="P1239" s="153"/>
      <c r="Q1239" s="39"/>
      <c r="R1239" s="39"/>
      <c r="S1239" s="39"/>
      <c r="T1239" s="154"/>
      <c r="U1239" s="40"/>
    </row>
    <row r="1240" spans="1:21" ht="20" customHeight="1" x14ac:dyDescent="0.15">
      <c r="A1240" s="284" t="s">
        <v>7136</v>
      </c>
      <c r="B1240" s="157"/>
      <c r="C1240" s="157"/>
      <c r="D1240" s="157"/>
      <c r="E1240" s="157"/>
      <c r="F1240" s="157"/>
      <c r="G1240" s="3"/>
      <c r="H1240" s="156"/>
      <c r="I1240" s="156"/>
      <c r="J1240" s="156"/>
      <c r="K1240" s="165"/>
      <c r="L1240" s="165"/>
      <c r="M1240" s="1"/>
      <c r="N1240" s="164"/>
      <c r="O1240" s="1"/>
      <c r="P1240" s="153"/>
      <c r="Q1240" s="39"/>
      <c r="R1240" s="39"/>
      <c r="S1240" s="39"/>
      <c r="T1240" s="154"/>
      <c r="U1240" s="40"/>
    </row>
    <row r="1241" spans="1:21" ht="20" customHeight="1" x14ac:dyDescent="0.15">
      <c r="A1241" s="284" t="s">
        <v>7137</v>
      </c>
      <c r="B1241" s="157"/>
      <c r="C1241" s="157"/>
      <c r="D1241" s="157"/>
      <c r="E1241" s="157"/>
      <c r="F1241" s="157"/>
      <c r="G1241" s="3"/>
      <c r="H1241" s="156"/>
      <c r="I1241" s="156"/>
      <c r="J1241" s="156"/>
      <c r="K1241" s="165"/>
      <c r="L1241" s="165"/>
      <c r="M1241" s="1"/>
      <c r="N1241" s="164"/>
      <c r="O1241" s="1"/>
      <c r="P1241" s="153"/>
      <c r="Q1241" s="39"/>
      <c r="R1241" s="39"/>
      <c r="S1241" s="39"/>
      <c r="T1241" s="154"/>
      <c r="U1241" s="40"/>
    </row>
    <row r="1242" spans="1:21" ht="20" customHeight="1" x14ac:dyDescent="0.15">
      <c r="A1242" s="284" t="s">
        <v>7138</v>
      </c>
      <c r="B1242" s="157"/>
      <c r="C1242" s="157"/>
      <c r="D1242" s="157"/>
      <c r="E1242" s="157"/>
      <c r="F1242" s="157"/>
      <c r="G1242" s="3"/>
      <c r="H1242" s="156"/>
      <c r="I1242" s="156"/>
      <c r="J1242" s="156"/>
      <c r="K1242" s="165"/>
      <c r="L1242" s="165"/>
      <c r="M1242" s="1"/>
      <c r="N1242" s="164"/>
      <c r="O1242" s="1"/>
      <c r="P1242" s="153"/>
      <c r="Q1242" s="39"/>
      <c r="R1242" s="39"/>
      <c r="S1242" s="39"/>
      <c r="T1242" s="154"/>
      <c r="U1242" s="40"/>
    </row>
    <row r="1243" spans="1:21" ht="20" customHeight="1" x14ac:dyDescent="0.15">
      <c r="A1243" s="284" t="s">
        <v>7139</v>
      </c>
      <c r="B1243" s="157"/>
      <c r="C1243" s="157"/>
      <c r="D1243" s="157"/>
      <c r="E1243" s="157"/>
      <c r="F1243" s="157"/>
      <c r="G1243" s="3"/>
      <c r="H1243" s="156"/>
      <c r="I1243" s="156"/>
      <c r="J1243" s="156"/>
      <c r="K1243" s="165"/>
      <c r="L1243" s="165"/>
      <c r="M1243" s="1"/>
      <c r="N1243" s="164"/>
      <c r="O1243" s="1"/>
      <c r="P1243" s="153"/>
      <c r="Q1243" s="39"/>
      <c r="R1243" s="39"/>
      <c r="S1243" s="39"/>
      <c r="T1243" s="154"/>
      <c r="U1243" s="40"/>
    </row>
    <row r="1244" spans="1:21" ht="20" customHeight="1" x14ac:dyDescent="0.15">
      <c r="A1244" s="284" t="s">
        <v>7140</v>
      </c>
      <c r="B1244" s="157"/>
      <c r="C1244" s="157"/>
      <c r="D1244" s="157"/>
      <c r="E1244" s="157"/>
      <c r="F1244" s="157"/>
      <c r="G1244" s="3"/>
      <c r="H1244" s="156"/>
      <c r="I1244" s="156"/>
      <c r="J1244" s="156"/>
      <c r="K1244" s="165"/>
      <c r="L1244" s="165"/>
      <c r="M1244" s="1"/>
      <c r="N1244" s="164"/>
      <c r="O1244" s="1"/>
      <c r="P1244" s="153"/>
      <c r="Q1244" s="39"/>
      <c r="R1244" s="39"/>
      <c r="S1244" s="39"/>
      <c r="T1244" s="154"/>
      <c r="U1244" s="40"/>
    </row>
    <row r="1245" spans="1:21" ht="20" customHeight="1" x14ac:dyDescent="0.15">
      <c r="A1245" s="284" t="s">
        <v>7141</v>
      </c>
      <c r="B1245" s="157"/>
      <c r="C1245" s="157"/>
      <c r="D1245" s="157"/>
      <c r="E1245" s="157"/>
      <c r="F1245" s="157"/>
      <c r="G1245" s="3"/>
      <c r="H1245" s="156"/>
      <c r="I1245" s="156"/>
      <c r="J1245" s="156"/>
      <c r="K1245" s="165"/>
      <c r="L1245" s="165"/>
      <c r="M1245" s="1"/>
      <c r="N1245" s="164"/>
      <c r="O1245" s="1"/>
      <c r="P1245" s="153"/>
      <c r="Q1245" s="39"/>
      <c r="R1245" s="39"/>
      <c r="S1245" s="39"/>
      <c r="T1245" s="154"/>
      <c r="U1245" s="40"/>
    </row>
    <row r="1246" spans="1:21" ht="20" customHeight="1" x14ac:dyDescent="0.15">
      <c r="A1246" s="284" t="s">
        <v>7142</v>
      </c>
      <c r="B1246" s="157"/>
      <c r="C1246" s="157"/>
      <c r="D1246" s="157"/>
      <c r="E1246" s="157"/>
      <c r="F1246" s="157"/>
      <c r="G1246" s="3"/>
      <c r="H1246" s="156"/>
      <c r="I1246" s="156"/>
      <c r="J1246" s="156"/>
      <c r="K1246" s="165"/>
      <c r="L1246" s="165"/>
      <c r="M1246" s="1"/>
      <c r="N1246" s="164"/>
      <c r="O1246" s="1"/>
      <c r="P1246" s="153"/>
      <c r="Q1246" s="39"/>
      <c r="R1246" s="39"/>
      <c r="S1246" s="39"/>
      <c r="T1246" s="154"/>
      <c r="U1246" s="40"/>
    </row>
    <row r="1247" spans="1:21" ht="20" customHeight="1" x14ac:dyDescent="0.15">
      <c r="A1247" s="284" t="s">
        <v>7143</v>
      </c>
      <c r="B1247" s="157"/>
      <c r="C1247" s="157"/>
      <c r="D1247" s="157"/>
      <c r="E1247" s="157"/>
      <c r="F1247" s="157"/>
      <c r="G1247" s="3"/>
      <c r="H1247" s="156"/>
      <c r="I1247" s="156"/>
      <c r="J1247" s="156"/>
      <c r="K1247" s="165"/>
      <c r="L1247" s="165"/>
      <c r="M1247" s="1"/>
      <c r="N1247" s="164"/>
      <c r="O1247" s="1"/>
      <c r="P1247" s="153"/>
      <c r="Q1247" s="39"/>
      <c r="R1247" s="39"/>
      <c r="S1247" s="39"/>
      <c r="T1247" s="154"/>
      <c r="U1247" s="40"/>
    </row>
    <row r="1248" spans="1:21" ht="20" customHeight="1" x14ac:dyDescent="0.15">
      <c r="A1248" s="284" t="s">
        <v>7144</v>
      </c>
      <c r="B1248" s="157"/>
      <c r="C1248" s="157"/>
      <c r="D1248" s="157"/>
      <c r="E1248" s="157"/>
      <c r="F1248" s="157"/>
      <c r="G1248" s="3"/>
      <c r="H1248" s="156"/>
      <c r="I1248" s="156"/>
      <c r="J1248" s="156"/>
      <c r="K1248" s="165"/>
      <c r="L1248" s="165"/>
      <c r="M1248" s="1"/>
      <c r="N1248" s="164"/>
      <c r="O1248" s="1"/>
      <c r="P1248" s="153"/>
      <c r="Q1248" s="39"/>
      <c r="R1248" s="39"/>
      <c r="S1248" s="39"/>
      <c r="T1248" s="154"/>
      <c r="U1248" s="40"/>
    </row>
    <row r="1249" spans="1:21" ht="20" customHeight="1" x14ac:dyDescent="0.15">
      <c r="A1249" s="284" t="s">
        <v>7145</v>
      </c>
      <c r="B1249" s="157"/>
      <c r="C1249" s="157"/>
      <c r="D1249" s="157"/>
      <c r="E1249" s="157"/>
      <c r="F1249" s="157"/>
      <c r="G1249" s="3"/>
      <c r="H1249" s="156"/>
      <c r="I1249" s="156"/>
      <c r="J1249" s="156"/>
      <c r="K1249" s="165"/>
      <c r="L1249" s="165"/>
      <c r="M1249" s="1"/>
      <c r="N1249" s="164"/>
      <c r="O1249" s="1"/>
      <c r="P1249" s="153"/>
      <c r="Q1249" s="39"/>
      <c r="R1249" s="39"/>
      <c r="S1249" s="39"/>
      <c r="T1249" s="154"/>
      <c r="U1249" s="40"/>
    </row>
    <row r="1250" spans="1:21" ht="20" customHeight="1" x14ac:dyDescent="0.15">
      <c r="A1250" s="284" t="s">
        <v>7146</v>
      </c>
      <c r="B1250" s="157"/>
      <c r="C1250" s="157"/>
      <c r="D1250" s="157"/>
      <c r="E1250" s="157"/>
      <c r="F1250" s="157"/>
      <c r="G1250" s="3"/>
      <c r="H1250" s="156"/>
      <c r="I1250" s="156"/>
      <c r="J1250" s="156"/>
      <c r="K1250" s="165"/>
      <c r="L1250" s="165"/>
      <c r="M1250" s="1"/>
      <c r="N1250" s="164"/>
      <c r="O1250" s="1"/>
      <c r="P1250" s="153"/>
      <c r="Q1250" s="39"/>
      <c r="R1250" s="39"/>
      <c r="S1250" s="39"/>
      <c r="T1250" s="154"/>
      <c r="U1250" s="40"/>
    </row>
    <row r="1251" spans="1:21" ht="20" customHeight="1" x14ac:dyDescent="0.15">
      <c r="A1251" s="284" t="s">
        <v>7147</v>
      </c>
      <c r="B1251" s="157"/>
      <c r="C1251" s="157"/>
      <c r="D1251" s="157"/>
      <c r="E1251" s="157"/>
      <c r="F1251" s="157"/>
      <c r="G1251" s="3"/>
      <c r="H1251" s="156"/>
      <c r="I1251" s="156"/>
      <c r="J1251" s="156"/>
      <c r="K1251" s="165"/>
      <c r="L1251" s="165"/>
      <c r="M1251" s="1"/>
      <c r="N1251" s="164"/>
      <c r="O1251" s="1"/>
      <c r="P1251" s="153"/>
      <c r="Q1251" s="39"/>
      <c r="R1251" s="39"/>
      <c r="S1251" s="39"/>
      <c r="T1251" s="154"/>
      <c r="U1251" s="40"/>
    </row>
    <row r="1252" spans="1:21" ht="20" customHeight="1" x14ac:dyDescent="0.15">
      <c r="A1252" s="284" t="s">
        <v>7148</v>
      </c>
      <c r="B1252" s="157"/>
      <c r="C1252" s="157"/>
      <c r="D1252" s="157"/>
      <c r="E1252" s="157"/>
      <c r="F1252" s="157"/>
      <c r="G1252" s="3"/>
      <c r="H1252" s="156"/>
      <c r="I1252" s="156"/>
      <c r="J1252" s="156"/>
      <c r="K1252" s="165"/>
      <c r="L1252" s="165"/>
      <c r="M1252" s="1"/>
      <c r="N1252" s="164"/>
      <c r="O1252" s="1"/>
      <c r="P1252" s="153"/>
      <c r="Q1252" s="39"/>
      <c r="R1252" s="39"/>
      <c r="S1252" s="39"/>
      <c r="T1252" s="154"/>
      <c r="U1252" s="40"/>
    </row>
    <row r="1253" spans="1:21" ht="20" customHeight="1" x14ac:dyDescent="0.15">
      <c r="A1253" s="284" t="s">
        <v>7149</v>
      </c>
      <c r="B1253" s="157"/>
      <c r="C1253" s="157"/>
      <c r="D1253" s="157"/>
      <c r="E1253" s="157"/>
      <c r="F1253" s="157"/>
      <c r="G1253" s="3"/>
      <c r="H1253" s="156"/>
      <c r="I1253" s="156"/>
      <c r="J1253" s="156"/>
      <c r="K1253" s="165"/>
      <c r="L1253" s="165"/>
      <c r="M1253" s="1"/>
      <c r="N1253" s="164"/>
      <c r="O1253" s="1"/>
      <c r="P1253" s="153"/>
      <c r="Q1253" s="39"/>
      <c r="R1253" s="39"/>
      <c r="S1253" s="39"/>
      <c r="T1253" s="154"/>
      <c r="U1253" s="40"/>
    </row>
    <row r="1254" spans="1:21" ht="20" customHeight="1" x14ac:dyDescent="0.15">
      <c r="A1254" s="284" t="s">
        <v>7150</v>
      </c>
      <c r="B1254" s="157"/>
      <c r="C1254" s="157"/>
      <c r="D1254" s="157"/>
      <c r="E1254" s="157"/>
      <c r="F1254" s="157"/>
      <c r="G1254" s="3"/>
      <c r="H1254" s="156"/>
      <c r="I1254" s="156"/>
      <c r="J1254" s="156"/>
      <c r="K1254" s="165"/>
      <c r="L1254" s="165"/>
      <c r="M1254" s="1"/>
      <c r="N1254" s="164"/>
      <c r="O1254" s="1"/>
      <c r="P1254" s="153"/>
      <c r="Q1254" s="39"/>
      <c r="R1254" s="39"/>
      <c r="S1254" s="39"/>
      <c r="T1254" s="154"/>
      <c r="U1254" s="40"/>
    </row>
    <row r="1255" spans="1:21" ht="20" customHeight="1" x14ac:dyDescent="0.15">
      <c r="A1255" s="284" t="s">
        <v>7151</v>
      </c>
      <c r="B1255" s="157"/>
      <c r="C1255" s="157"/>
      <c r="D1255" s="157"/>
      <c r="E1255" s="157"/>
      <c r="F1255" s="157"/>
      <c r="G1255" s="3"/>
      <c r="H1255" s="156"/>
      <c r="I1255" s="156"/>
      <c r="J1255" s="156"/>
      <c r="K1255" s="165"/>
      <c r="L1255" s="165"/>
      <c r="M1255" s="1"/>
      <c r="N1255" s="164"/>
      <c r="O1255" s="1"/>
      <c r="P1255" s="153"/>
      <c r="Q1255" s="39"/>
      <c r="R1255" s="39"/>
      <c r="S1255" s="39"/>
      <c r="T1255" s="154"/>
      <c r="U1255" s="40"/>
    </row>
    <row r="1256" spans="1:21" ht="20" customHeight="1" x14ac:dyDescent="0.15">
      <c r="A1256" s="284" t="s">
        <v>7152</v>
      </c>
      <c r="B1256" s="157"/>
      <c r="C1256" s="157"/>
      <c r="D1256" s="157"/>
      <c r="E1256" s="157"/>
      <c r="F1256" s="157"/>
      <c r="G1256" s="3"/>
      <c r="H1256" s="156"/>
      <c r="I1256" s="156"/>
      <c r="J1256" s="156"/>
      <c r="K1256" s="165"/>
      <c r="L1256" s="165"/>
      <c r="M1256" s="1"/>
      <c r="N1256" s="164"/>
      <c r="O1256" s="1"/>
      <c r="P1256" s="153"/>
      <c r="Q1256" s="39"/>
      <c r="R1256" s="39"/>
      <c r="S1256" s="39"/>
      <c r="T1256" s="154"/>
      <c r="U1256" s="40"/>
    </row>
    <row r="1257" spans="1:21" ht="20" customHeight="1" x14ac:dyDescent="0.15">
      <c r="A1257" s="284" t="s">
        <v>7153</v>
      </c>
      <c r="B1257" s="157"/>
      <c r="C1257" s="157"/>
      <c r="D1257" s="157"/>
      <c r="E1257" s="157"/>
      <c r="F1257" s="157"/>
      <c r="G1257" s="3"/>
      <c r="H1257" s="156"/>
      <c r="I1257" s="156"/>
      <c r="J1257" s="156"/>
      <c r="K1257" s="165"/>
      <c r="L1257" s="165"/>
      <c r="M1257" s="1"/>
      <c r="N1257" s="164"/>
      <c r="O1257" s="1"/>
      <c r="P1257" s="153"/>
      <c r="Q1257" s="39"/>
      <c r="R1257" s="39"/>
      <c r="S1257" s="39"/>
      <c r="T1257" s="154"/>
      <c r="U1257" s="40"/>
    </row>
    <row r="1258" spans="1:21" ht="20" customHeight="1" x14ac:dyDescent="0.15">
      <c r="A1258" s="284" t="s">
        <v>7154</v>
      </c>
      <c r="B1258" s="157"/>
      <c r="C1258" s="157"/>
      <c r="D1258" s="157"/>
      <c r="E1258" s="157"/>
      <c r="F1258" s="157"/>
      <c r="G1258" s="3"/>
      <c r="H1258" s="156"/>
      <c r="I1258" s="156"/>
      <c r="J1258" s="156"/>
      <c r="K1258" s="165"/>
      <c r="L1258" s="165"/>
      <c r="M1258" s="1"/>
      <c r="N1258" s="164"/>
      <c r="O1258" s="1"/>
      <c r="P1258" s="153"/>
      <c r="Q1258" s="39"/>
      <c r="R1258" s="39"/>
      <c r="S1258" s="39"/>
      <c r="T1258" s="154"/>
      <c r="U1258" s="40"/>
    </row>
    <row r="1259" spans="1:21" ht="20" customHeight="1" x14ac:dyDescent="0.15">
      <c r="A1259" s="284" t="s">
        <v>7155</v>
      </c>
      <c r="B1259" s="157"/>
      <c r="C1259" s="157"/>
      <c r="D1259" s="157"/>
      <c r="E1259" s="157"/>
      <c r="F1259" s="157"/>
      <c r="G1259" s="3"/>
      <c r="H1259" s="156"/>
      <c r="I1259" s="156"/>
      <c r="J1259" s="156"/>
      <c r="K1259" s="165"/>
      <c r="L1259" s="165"/>
      <c r="M1259" s="1"/>
      <c r="N1259" s="164"/>
      <c r="O1259" s="1"/>
      <c r="P1259" s="153"/>
      <c r="Q1259" s="39"/>
      <c r="R1259" s="39"/>
      <c r="S1259" s="39"/>
      <c r="T1259" s="154"/>
      <c r="U1259" s="40"/>
    </row>
    <row r="1260" spans="1:21" ht="20" customHeight="1" x14ac:dyDescent="0.15">
      <c r="A1260" s="284" t="s">
        <v>7156</v>
      </c>
      <c r="B1260" s="157"/>
      <c r="C1260" s="157"/>
      <c r="D1260" s="157"/>
      <c r="E1260" s="157"/>
      <c r="F1260" s="157"/>
      <c r="G1260" s="3"/>
      <c r="H1260" s="156"/>
      <c r="I1260" s="156"/>
      <c r="J1260" s="156"/>
      <c r="K1260" s="165"/>
      <c r="L1260" s="165"/>
      <c r="M1260" s="1"/>
      <c r="N1260" s="164"/>
      <c r="O1260" s="1"/>
      <c r="P1260" s="153"/>
      <c r="Q1260" s="39"/>
      <c r="R1260" s="39"/>
      <c r="S1260" s="39"/>
      <c r="T1260" s="154"/>
      <c r="U1260" s="40"/>
    </row>
    <row r="1261" spans="1:21" ht="20" customHeight="1" x14ac:dyDescent="0.15">
      <c r="A1261" s="284" t="s">
        <v>7157</v>
      </c>
      <c r="B1261" s="157"/>
      <c r="C1261" s="157"/>
      <c r="D1261" s="157"/>
      <c r="E1261" s="157"/>
      <c r="F1261" s="157"/>
      <c r="G1261" s="3"/>
      <c r="H1261" s="156"/>
      <c r="I1261" s="156"/>
      <c r="J1261" s="156"/>
      <c r="K1261" s="165"/>
      <c r="L1261" s="165"/>
      <c r="M1261" s="1"/>
      <c r="N1261" s="164"/>
      <c r="O1261" s="1"/>
      <c r="P1261" s="153"/>
      <c r="Q1261" s="39"/>
      <c r="R1261" s="39"/>
      <c r="S1261" s="39"/>
      <c r="T1261" s="154"/>
      <c r="U1261" s="40"/>
    </row>
    <row r="1262" spans="1:21" ht="20" customHeight="1" x14ac:dyDescent="0.15">
      <c r="A1262" s="284" t="s">
        <v>7158</v>
      </c>
      <c r="B1262" s="157"/>
      <c r="C1262" s="157"/>
      <c r="D1262" s="157"/>
      <c r="E1262" s="157"/>
      <c r="F1262" s="157"/>
      <c r="G1262" s="3"/>
      <c r="H1262" s="156"/>
      <c r="I1262" s="156"/>
      <c r="J1262" s="156"/>
      <c r="K1262" s="165"/>
      <c r="L1262" s="165"/>
      <c r="M1262" s="1"/>
      <c r="N1262" s="164"/>
      <c r="O1262" s="1"/>
      <c r="P1262" s="153"/>
      <c r="Q1262" s="39"/>
      <c r="R1262" s="39"/>
      <c r="S1262" s="39"/>
      <c r="T1262" s="154"/>
      <c r="U1262" s="40"/>
    </row>
    <row r="1263" spans="1:21" ht="20" customHeight="1" x14ac:dyDescent="0.15">
      <c r="A1263" s="284" t="s">
        <v>7159</v>
      </c>
      <c r="B1263" s="157"/>
      <c r="C1263" s="157"/>
      <c r="D1263" s="157"/>
      <c r="E1263" s="157"/>
      <c r="F1263" s="157"/>
      <c r="G1263" s="3"/>
      <c r="H1263" s="156"/>
      <c r="I1263" s="156"/>
      <c r="J1263" s="156"/>
      <c r="K1263" s="165"/>
      <c r="L1263" s="165"/>
      <c r="M1263" s="1"/>
      <c r="N1263" s="164"/>
      <c r="O1263" s="1"/>
      <c r="P1263" s="153"/>
      <c r="Q1263" s="39"/>
      <c r="R1263" s="39"/>
      <c r="S1263" s="39"/>
      <c r="T1263" s="154"/>
      <c r="U1263" s="40"/>
    </row>
    <row r="1264" spans="1:21" ht="20" customHeight="1" x14ac:dyDescent="0.15">
      <c r="A1264" s="284" t="s">
        <v>7160</v>
      </c>
      <c r="B1264" s="157"/>
      <c r="C1264" s="157"/>
      <c r="D1264" s="157"/>
      <c r="E1264" s="157"/>
      <c r="F1264" s="157"/>
      <c r="G1264" s="3"/>
      <c r="H1264" s="156"/>
      <c r="I1264" s="156"/>
      <c r="J1264" s="156"/>
      <c r="K1264" s="165"/>
      <c r="L1264" s="165"/>
      <c r="M1264" s="1"/>
      <c r="N1264" s="164"/>
      <c r="O1264" s="1"/>
      <c r="P1264" s="153"/>
      <c r="Q1264" s="39"/>
      <c r="R1264" s="39"/>
      <c r="S1264" s="39"/>
      <c r="T1264" s="154"/>
      <c r="U1264" s="40"/>
    </row>
    <row r="1265" spans="1:21" ht="20" customHeight="1" x14ac:dyDescent="0.15">
      <c r="A1265" s="284" t="s">
        <v>7161</v>
      </c>
      <c r="B1265" s="157"/>
      <c r="C1265" s="157"/>
      <c r="D1265" s="157"/>
      <c r="E1265" s="157"/>
      <c r="F1265" s="157"/>
      <c r="G1265" s="3"/>
      <c r="H1265" s="156"/>
      <c r="I1265" s="156"/>
      <c r="J1265" s="156"/>
      <c r="K1265" s="165"/>
      <c r="L1265" s="165"/>
      <c r="M1265" s="1"/>
      <c r="N1265" s="164"/>
      <c r="O1265" s="1"/>
      <c r="P1265" s="153"/>
      <c r="Q1265" s="39"/>
      <c r="R1265" s="39"/>
      <c r="S1265" s="39"/>
      <c r="T1265" s="154"/>
      <c r="U1265" s="40"/>
    </row>
    <row r="1266" spans="1:21" ht="20" customHeight="1" x14ac:dyDescent="0.15">
      <c r="A1266" s="284" t="s">
        <v>7162</v>
      </c>
      <c r="B1266" s="157"/>
      <c r="C1266" s="157"/>
      <c r="D1266" s="157"/>
      <c r="E1266" s="157"/>
      <c r="F1266" s="157"/>
      <c r="G1266" s="3"/>
      <c r="H1266" s="156"/>
      <c r="I1266" s="156"/>
      <c r="J1266" s="156"/>
      <c r="K1266" s="165"/>
      <c r="L1266" s="165"/>
      <c r="M1266" s="1"/>
      <c r="N1266" s="164"/>
      <c r="O1266" s="1"/>
      <c r="P1266" s="153"/>
      <c r="Q1266" s="39"/>
      <c r="R1266" s="39"/>
      <c r="S1266" s="39"/>
      <c r="T1266" s="154"/>
      <c r="U1266" s="40"/>
    </row>
    <row r="1267" spans="1:21" ht="20" customHeight="1" x14ac:dyDescent="0.15">
      <c r="A1267" s="284" t="s">
        <v>7163</v>
      </c>
      <c r="B1267" s="157"/>
      <c r="C1267" s="157"/>
      <c r="D1267" s="157"/>
      <c r="E1267" s="157"/>
      <c r="F1267" s="157"/>
      <c r="G1267" s="3"/>
      <c r="H1267" s="156"/>
      <c r="I1267" s="156"/>
      <c r="J1267" s="156"/>
      <c r="K1267" s="165"/>
      <c r="L1267" s="165"/>
      <c r="M1267" s="1"/>
      <c r="N1267" s="164"/>
      <c r="O1267" s="1"/>
      <c r="P1267" s="153"/>
      <c r="Q1267" s="39"/>
      <c r="R1267" s="39"/>
      <c r="S1267" s="39"/>
      <c r="T1267" s="154"/>
      <c r="U1267" s="40"/>
    </row>
    <row r="1268" spans="1:21" ht="20" customHeight="1" x14ac:dyDescent="0.15">
      <c r="A1268" s="284" t="s">
        <v>7164</v>
      </c>
      <c r="B1268" s="157"/>
      <c r="C1268" s="157"/>
      <c r="D1268" s="157"/>
      <c r="E1268" s="157"/>
      <c r="F1268" s="157"/>
      <c r="G1268" s="3"/>
      <c r="H1268" s="156"/>
      <c r="I1268" s="156"/>
      <c r="J1268" s="156"/>
      <c r="K1268" s="165"/>
      <c r="L1268" s="165"/>
      <c r="M1268" s="1"/>
      <c r="N1268" s="164"/>
      <c r="O1268" s="1"/>
      <c r="P1268" s="153"/>
      <c r="Q1268" s="39"/>
      <c r="R1268" s="39"/>
      <c r="S1268" s="39"/>
      <c r="T1268" s="154"/>
      <c r="U1268" s="40"/>
    </row>
    <row r="1269" spans="1:21" ht="20" customHeight="1" x14ac:dyDescent="0.15">
      <c r="A1269" s="284" t="s">
        <v>7165</v>
      </c>
      <c r="B1269" s="157"/>
      <c r="C1269" s="157"/>
      <c r="D1269" s="157"/>
      <c r="E1269" s="157"/>
      <c r="F1269" s="157"/>
      <c r="G1269" s="3"/>
      <c r="H1269" s="156"/>
      <c r="I1269" s="156"/>
      <c r="J1269" s="156"/>
      <c r="K1269" s="165"/>
      <c r="L1269" s="165"/>
      <c r="M1269" s="1"/>
      <c r="N1269" s="164"/>
      <c r="O1269" s="1"/>
      <c r="P1269" s="153"/>
      <c r="Q1269" s="39"/>
      <c r="R1269" s="39"/>
      <c r="S1269" s="39"/>
      <c r="T1269" s="154"/>
      <c r="U1269" s="40"/>
    </row>
    <row r="1270" spans="1:21" ht="20" customHeight="1" x14ac:dyDescent="0.15">
      <c r="A1270" s="284" t="s">
        <v>7166</v>
      </c>
      <c r="B1270" s="157"/>
      <c r="C1270" s="157"/>
      <c r="D1270" s="157"/>
      <c r="E1270" s="157"/>
      <c r="F1270" s="157"/>
      <c r="G1270" s="3"/>
      <c r="H1270" s="156"/>
      <c r="I1270" s="156"/>
      <c r="J1270" s="156"/>
      <c r="K1270" s="165"/>
      <c r="L1270" s="165"/>
      <c r="M1270" s="1"/>
      <c r="N1270" s="164"/>
      <c r="O1270" s="1"/>
      <c r="P1270" s="153"/>
      <c r="Q1270" s="39"/>
      <c r="R1270" s="39"/>
      <c r="S1270" s="39"/>
      <c r="T1270" s="154"/>
      <c r="U1270" s="40"/>
    </row>
    <row r="1271" spans="1:21" ht="20" customHeight="1" x14ac:dyDescent="0.15">
      <c r="A1271" s="284" t="s">
        <v>7167</v>
      </c>
      <c r="B1271" s="157"/>
      <c r="C1271" s="157"/>
      <c r="D1271" s="157"/>
      <c r="E1271" s="157"/>
      <c r="F1271" s="157"/>
      <c r="G1271" s="3"/>
      <c r="H1271" s="156"/>
      <c r="I1271" s="156"/>
      <c r="J1271" s="156"/>
      <c r="K1271" s="165"/>
      <c r="L1271" s="165"/>
      <c r="M1271" s="1"/>
      <c r="N1271" s="164"/>
      <c r="O1271" s="1"/>
      <c r="P1271" s="153"/>
      <c r="Q1271" s="39"/>
      <c r="R1271" s="39"/>
      <c r="S1271" s="39"/>
      <c r="T1271" s="154"/>
      <c r="U1271" s="40"/>
    </row>
    <row r="1272" spans="1:21" ht="20" customHeight="1" x14ac:dyDescent="0.15">
      <c r="A1272" s="284" t="s">
        <v>7168</v>
      </c>
      <c r="B1272" s="157"/>
      <c r="C1272" s="157"/>
      <c r="D1272" s="157"/>
      <c r="E1272" s="157"/>
      <c r="F1272" s="157"/>
      <c r="G1272" s="3"/>
      <c r="H1272" s="156"/>
      <c r="I1272" s="156"/>
      <c r="J1272" s="156"/>
      <c r="K1272" s="165"/>
      <c r="L1272" s="165"/>
      <c r="M1272" s="1"/>
      <c r="N1272" s="164"/>
      <c r="O1272" s="1"/>
      <c r="P1272" s="153"/>
      <c r="Q1272" s="39"/>
      <c r="R1272" s="39"/>
      <c r="S1272" s="39"/>
      <c r="T1272" s="154"/>
      <c r="U1272" s="40"/>
    </row>
    <row r="1273" spans="1:21" ht="20" customHeight="1" x14ac:dyDescent="0.15">
      <c r="A1273" s="284" t="s">
        <v>7169</v>
      </c>
      <c r="B1273" s="157"/>
      <c r="C1273" s="157"/>
      <c r="D1273" s="157"/>
      <c r="E1273" s="157"/>
      <c r="F1273" s="157"/>
      <c r="G1273" s="3"/>
      <c r="H1273" s="156"/>
      <c r="I1273" s="156"/>
      <c r="J1273" s="156"/>
      <c r="K1273" s="165"/>
      <c r="L1273" s="165"/>
      <c r="M1273" s="1"/>
      <c r="N1273" s="164"/>
      <c r="O1273" s="1"/>
      <c r="P1273" s="153"/>
      <c r="Q1273" s="39"/>
      <c r="R1273" s="39"/>
      <c r="S1273" s="39"/>
      <c r="T1273" s="154"/>
      <c r="U1273" s="40"/>
    </row>
    <row r="1274" spans="1:21" ht="20" customHeight="1" x14ac:dyDescent="0.15">
      <c r="A1274" s="284" t="s">
        <v>7170</v>
      </c>
      <c r="B1274" s="157"/>
      <c r="C1274" s="157"/>
      <c r="D1274" s="157"/>
      <c r="E1274" s="157"/>
      <c r="F1274" s="157"/>
      <c r="G1274" s="3"/>
      <c r="H1274" s="156"/>
      <c r="I1274" s="156"/>
      <c r="J1274" s="156"/>
      <c r="K1274" s="165"/>
      <c r="L1274" s="165"/>
      <c r="M1274" s="1"/>
      <c r="N1274" s="164"/>
      <c r="O1274" s="1"/>
      <c r="P1274" s="153"/>
      <c r="Q1274" s="39"/>
      <c r="R1274" s="39"/>
      <c r="S1274" s="39"/>
      <c r="T1274" s="154"/>
      <c r="U1274" s="40"/>
    </row>
    <row r="1275" spans="1:21" ht="20" customHeight="1" x14ac:dyDescent="0.15">
      <c r="A1275" s="284" t="s">
        <v>7171</v>
      </c>
      <c r="B1275" s="157"/>
      <c r="C1275" s="157"/>
      <c r="D1275" s="157"/>
      <c r="E1275" s="157"/>
      <c r="F1275" s="157"/>
      <c r="G1275" s="3"/>
      <c r="H1275" s="156"/>
      <c r="I1275" s="156"/>
      <c r="J1275" s="156"/>
      <c r="K1275" s="165"/>
      <c r="L1275" s="165"/>
      <c r="M1275" s="1"/>
      <c r="N1275" s="164"/>
      <c r="O1275" s="1"/>
      <c r="P1275" s="153"/>
      <c r="Q1275" s="39"/>
      <c r="R1275" s="39"/>
      <c r="S1275" s="39"/>
      <c r="T1275" s="154"/>
      <c r="U1275" s="40"/>
    </row>
    <row r="1276" spans="1:21" ht="20" customHeight="1" x14ac:dyDescent="0.15">
      <c r="A1276" s="284" t="s">
        <v>7172</v>
      </c>
      <c r="B1276" s="157"/>
      <c r="C1276" s="157"/>
      <c r="D1276" s="157"/>
      <c r="E1276" s="157"/>
      <c r="F1276" s="157"/>
      <c r="G1276" s="3"/>
      <c r="H1276" s="156"/>
      <c r="I1276" s="156"/>
      <c r="J1276" s="156"/>
      <c r="K1276" s="165"/>
      <c r="L1276" s="165"/>
      <c r="M1276" s="1"/>
      <c r="N1276" s="164"/>
      <c r="O1276" s="1"/>
      <c r="P1276" s="153"/>
      <c r="Q1276" s="39"/>
      <c r="R1276" s="39"/>
      <c r="S1276" s="39"/>
      <c r="T1276" s="154"/>
      <c r="U1276" s="40"/>
    </row>
    <row r="1277" spans="1:21" ht="20" customHeight="1" x14ac:dyDescent="0.15">
      <c r="A1277" s="284" t="s">
        <v>7173</v>
      </c>
      <c r="B1277" s="157"/>
      <c r="C1277" s="157"/>
      <c r="D1277" s="157"/>
      <c r="E1277" s="157"/>
      <c r="F1277" s="157"/>
      <c r="G1277" s="3"/>
      <c r="H1277" s="156"/>
      <c r="I1277" s="156"/>
      <c r="J1277" s="156"/>
      <c r="K1277" s="165"/>
      <c r="L1277" s="165"/>
      <c r="M1277" s="1"/>
      <c r="N1277" s="164"/>
      <c r="O1277" s="1"/>
      <c r="P1277" s="153"/>
      <c r="Q1277" s="39"/>
      <c r="R1277" s="39"/>
      <c r="S1277" s="39"/>
      <c r="T1277" s="154"/>
      <c r="U1277" s="40"/>
    </row>
    <row r="1278" spans="1:21" ht="20" customHeight="1" x14ac:dyDescent="0.15">
      <c r="A1278" s="284" t="s">
        <v>7174</v>
      </c>
      <c r="B1278" s="157"/>
      <c r="C1278" s="157"/>
      <c r="D1278" s="157"/>
      <c r="E1278" s="157"/>
      <c r="F1278" s="157"/>
      <c r="G1278" s="3"/>
      <c r="H1278" s="156"/>
      <c r="I1278" s="156"/>
      <c r="J1278" s="156"/>
      <c r="K1278" s="165"/>
      <c r="L1278" s="165"/>
      <c r="M1278" s="1"/>
      <c r="N1278" s="164"/>
      <c r="O1278" s="1"/>
      <c r="P1278" s="153"/>
      <c r="Q1278" s="39"/>
      <c r="R1278" s="39"/>
      <c r="S1278" s="39"/>
      <c r="T1278" s="154"/>
      <c r="U1278" s="40"/>
    </row>
    <row r="1279" spans="1:21" ht="20" customHeight="1" x14ac:dyDescent="0.15">
      <c r="A1279" s="284" t="s">
        <v>7175</v>
      </c>
      <c r="B1279" s="157"/>
      <c r="C1279" s="157"/>
      <c r="D1279" s="157"/>
      <c r="E1279" s="157"/>
      <c r="F1279" s="157"/>
      <c r="G1279" s="3"/>
      <c r="H1279" s="156"/>
      <c r="I1279" s="156"/>
      <c r="J1279" s="156"/>
      <c r="K1279" s="165"/>
      <c r="L1279" s="165"/>
      <c r="M1279" s="1"/>
      <c r="N1279" s="164"/>
      <c r="O1279" s="1"/>
      <c r="P1279" s="153"/>
      <c r="Q1279" s="39"/>
      <c r="R1279" s="39"/>
      <c r="S1279" s="39"/>
      <c r="T1279" s="154"/>
      <c r="U1279" s="40"/>
    </row>
    <row r="1280" spans="1:21" ht="20" customHeight="1" x14ac:dyDescent="0.15">
      <c r="A1280" s="284" t="s">
        <v>7176</v>
      </c>
      <c r="B1280" s="157"/>
      <c r="C1280" s="157"/>
      <c r="D1280" s="157"/>
      <c r="E1280" s="157"/>
      <c r="F1280" s="157"/>
      <c r="G1280" s="3"/>
      <c r="H1280" s="156"/>
      <c r="I1280" s="156"/>
      <c r="J1280" s="156"/>
      <c r="K1280" s="165"/>
      <c r="L1280" s="165"/>
      <c r="M1280" s="1"/>
      <c r="N1280" s="164"/>
      <c r="O1280" s="1"/>
      <c r="P1280" s="153"/>
      <c r="Q1280" s="39"/>
      <c r="R1280" s="39"/>
      <c r="S1280" s="39"/>
      <c r="T1280" s="154"/>
      <c r="U1280" s="40"/>
    </row>
    <row r="1281" spans="1:21" ht="20" customHeight="1" x14ac:dyDescent="0.15">
      <c r="A1281" s="284" t="s">
        <v>7177</v>
      </c>
      <c r="B1281" s="157"/>
      <c r="C1281" s="157"/>
      <c r="D1281" s="157"/>
      <c r="E1281" s="157"/>
      <c r="F1281" s="157"/>
      <c r="G1281" s="3"/>
      <c r="H1281" s="156"/>
      <c r="I1281" s="156"/>
      <c r="J1281" s="156"/>
      <c r="K1281" s="165"/>
      <c r="L1281" s="165"/>
      <c r="M1281" s="1"/>
      <c r="N1281" s="164"/>
      <c r="O1281" s="1"/>
      <c r="P1281" s="153"/>
      <c r="Q1281" s="39"/>
      <c r="R1281" s="39"/>
      <c r="S1281" s="39"/>
      <c r="T1281" s="154"/>
      <c r="U1281" s="40"/>
    </row>
    <row r="1282" spans="1:21" ht="20" customHeight="1" x14ac:dyDescent="0.15">
      <c r="A1282" s="284" t="s">
        <v>7178</v>
      </c>
      <c r="B1282" s="157"/>
      <c r="C1282" s="157"/>
      <c r="D1282" s="157"/>
      <c r="E1282" s="157"/>
      <c r="F1282" s="157"/>
      <c r="G1282" s="3"/>
      <c r="H1282" s="156"/>
      <c r="I1282" s="156"/>
      <c r="J1282" s="156"/>
      <c r="K1282" s="165"/>
      <c r="L1282" s="165"/>
      <c r="M1282" s="1"/>
      <c r="N1282" s="164"/>
      <c r="O1282" s="1"/>
      <c r="P1282" s="153"/>
      <c r="Q1282" s="39"/>
      <c r="R1282" s="39"/>
      <c r="S1282" s="39"/>
      <c r="T1282" s="154"/>
      <c r="U1282" s="40"/>
    </row>
    <row r="1283" spans="1:21" ht="20" customHeight="1" x14ac:dyDescent="0.15">
      <c r="A1283" s="284" t="s">
        <v>7179</v>
      </c>
      <c r="B1283" s="157"/>
      <c r="C1283" s="157"/>
      <c r="D1283" s="157"/>
      <c r="E1283" s="157"/>
      <c r="F1283" s="157"/>
      <c r="G1283" s="3"/>
      <c r="H1283" s="156"/>
      <c r="I1283" s="156"/>
      <c r="J1283" s="156"/>
      <c r="K1283" s="165"/>
      <c r="L1283" s="165"/>
      <c r="M1283" s="1"/>
      <c r="N1283" s="164"/>
      <c r="O1283" s="1"/>
      <c r="P1283" s="153"/>
      <c r="Q1283" s="39"/>
      <c r="R1283" s="39"/>
      <c r="S1283" s="39"/>
      <c r="T1283" s="154"/>
      <c r="U1283" s="40"/>
    </row>
    <row r="1284" spans="1:21" ht="20" customHeight="1" x14ac:dyDescent="0.15">
      <c r="A1284" s="284" t="s">
        <v>7180</v>
      </c>
      <c r="B1284" s="157"/>
      <c r="C1284" s="157"/>
      <c r="D1284" s="157"/>
      <c r="E1284" s="157"/>
      <c r="F1284" s="157"/>
      <c r="G1284" s="3"/>
      <c r="H1284" s="156"/>
      <c r="I1284" s="156"/>
      <c r="J1284" s="156"/>
      <c r="K1284" s="165"/>
      <c r="L1284" s="165"/>
      <c r="M1284" s="1"/>
      <c r="N1284" s="164"/>
      <c r="O1284" s="1"/>
      <c r="P1284" s="153"/>
      <c r="Q1284" s="39"/>
      <c r="R1284" s="39"/>
      <c r="S1284" s="39"/>
      <c r="T1284" s="154"/>
      <c r="U1284" s="40"/>
    </row>
    <row r="1285" spans="1:21" ht="20" customHeight="1" x14ac:dyDescent="0.15">
      <c r="A1285" s="284" t="s">
        <v>7181</v>
      </c>
      <c r="B1285" s="157"/>
      <c r="C1285" s="157"/>
      <c r="D1285" s="157"/>
      <c r="E1285" s="157"/>
      <c r="F1285" s="157"/>
      <c r="G1285" s="3"/>
      <c r="H1285" s="156"/>
      <c r="I1285" s="156"/>
      <c r="J1285" s="156"/>
      <c r="K1285" s="165"/>
      <c r="L1285" s="165"/>
      <c r="M1285" s="1"/>
      <c r="N1285" s="164"/>
      <c r="O1285" s="1"/>
      <c r="P1285" s="153"/>
      <c r="Q1285" s="39"/>
      <c r="R1285" s="39"/>
      <c r="S1285" s="39"/>
      <c r="T1285" s="154"/>
      <c r="U1285" s="40"/>
    </row>
    <row r="1286" spans="1:21" ht="20" customHeight="1" x14ac:dyDescent="0.15">
      <c r="A1286" s="284" t="s">
        <v>7182</v>
      </c>
      <c r="B1286" s="157"/>
      <c r="C1286" s="157"/>
      <c r="D1286" s="157"/>
      <c r="E1286" s="157"/>
      <c r="F1286" s="157"/>
      <c r="G1286" s="3"/>
      <c r="H1286" s="156"/>
      <c r="I1286" s="156"/>
      <c r="J1286" s="156"/>
      <c r="K1286" s="165"/>
      <c r="L1286" s="165"/>
      <c r="M1286" s="1"/>
      <c r="N1286" s="164"/>
      <c r="O1286" s="1"/>
      <c r="P1286" s="153"/>
      <c r="Q1286" s="39"/>
      <c r="R1286" s="39"/>
      <c r="S1286" s="39"/>
      <c r="T1286" s="154"/>
      <c r="U1286" s="40"/>
    </row>
    <row r="1287" spans="1:21" ht="20" customHeight="1" x14ac:dyDescent="0.15">
      <c r="A1287" s="284" t="s">
        <v>7183</v>
      </c>
      <c r="B1287" s="157"/>
      <c r="C1287" s="157"/>
      <c r="D1287" s="157"/>
      <c r="E1287" s="157"/>
      <c r="F1287" s="157"/>
      <c r="G1287" s="3"/>
      <c r="H1287" s="156"/>
      <c r="I1287" s="156"/>
      <c r="J1287" s="156"/>
      <c r="K1287" s="165"/>
      <c r="L1287" s="165"/>
      <c r="M1287" s="1"/>
      <c r="N1287" s="164"/>
      <c r="O1287" s="1"/>
      <c r="P1287" s="153"/>
      <c r="Q1287" s="39"/>
      <c r="R1287" s="39"/>
      <c r="S1287" s="39"/>
      <c r="T1287" s="154"/>
      <c r="U1287" s="40"/>
    </row>
    <row r="1288" spans="1:21" ht="20" customHeight="1" x14ac:dyDescent="0.15">
      <c r="A1288" s="284" t="s">
        <v>7184</v>
      </c>
      <c r="B1288" s="157"/>
      <c r="C1288" s="157"/>
      <c r="D1288" s="157"/>
      <c r="E1288" s="157"/>
      <c r="F1288" s="157"/>
      <c r="G1288" s="3"/>
      <c r="H1288" s="156"/>
      <c r="I1288" s="156"/>
      <c r="J1288" s="156"/>
      <c r="K1288" s="165"/>
      <c r="L1288" s="165"/>
      <c r="M1288" s="1"/>
      <c r="N1288" s="164"/>
      <c r="O1288" s="1"/>
      <c r="P1288" s="153"/>
      <c r="Q1288" s="39"/>
      <c r="R1288" s="39"/>
      <c r="S1288" s="39"/>
      <c r="T1288" s="154"/>
      <c r="U1288" s="40"/>
    </row>
    <row r="1289" spans="1:21" ht="20" customHeight="1" x14ac:dyDescent="0.15">
      <c r="A1289" s="284" t="s">
        <v>7185</v>
      </c>
      <c r="B1289" s="157"/>
      <c r="C1289" s="157"/>
      <c r="D1289" s="157"/>
      <c r="E1289" s="157"/>
      <c r="F1289" s="157"/>
      <c r="G1289" s="3"/>
      <c r="H1289" s="156"/>
      <c r="I1289" s="156"/>
      <c r="J1289" s="156"/>
      <c r="K1289" s="165"/>
      <c r="L1289" s="165"/>
      <c r="M1289" s="1"/>
      <c r="N1289" s="164"/>
      <c r="O1289" s="1"/>
      <c r="P1289" s="153"/>
      <c r="Q1289" s="39"/>
      <c r="R1289" s="39"/>
      <c r="S1289" s="39"/>
      <c r="T1289" s="154"/>
      <c r="U1289" s="40"/>
    </row>
    <row r="1290" spans="1:21" ht="20" customHeight="1" x14ac:dyDescent="0.15">
      <c r="A1290" s="284" t="s">
        <v>7186</v>
      </c>
      <c r="B1290" s="157"/>
      <c r="C1290" s="157"/>
      <c r="D1290" s="157"/>
      <c r="E1290" s="157"/>
      <c r="F1290" s="157"/>
      <c r="G1290" s="3"/>
      <c r="H1290" s="156"/>
      <c r="I1290" s="156"/>
      <c r="J1290" s="156"/>
      <c r="K1290" s="165"/>
      <c r="L1290" s="165"/>
      <c r="M1290" s="1"/>
      <c r="N1290" s="164"/>
      <c r="O1290" s="1"/>
      <c r="P1290" s="153"/>
      <c r="Q1290" s="39"/>
      <c r="R1290" s="39"/>
      <c r="S1290" s="39"/>
      <c r="T1290" s="154"/>
      <c r="U1290" s="40"/>
    </row>
    <row r="1291" spans="1:21" ht="20" customHeight="1" x14ac:dyDescent="0.15">
      <c r="A1291" s="284" t="s">
        <v>7187</v>
      </c>
      <c r="B1291" s="157"/>
      <c r="C1291" s="157"/>
      <c r="D1291" s="157"/>
      <c r="E1291" s="157"/>
      <c r="F1291" s="157"/>
      <c r="G1291" s="3"/>
      <c r="H1291" s="156"/>
      <c r="I1291" s="156"/>
      <c r="J1291" s="156"/>
      <c r="K1291" s="165"/>
      <c r="L1291" s="165"/>
      <c r="M1291" s="1"/>
      <c r="N1291" s="164"/>
      <c r="O1291" s="1"/>
      <c r="P1291" s="153"/>
      <c r="Q1291" s="39"/>
      <c r="R1291" s="39"/>
      <c r="S1291" s="39"/>
      <c r="T1291" s="154"/>
      <c r="U1291" s="40"/>
    </row>
    <row r="1292" spans="1:21" ht="20" customHeight="1" x14ac:dyDescent="0.15">
      <c r="A1292" s="284" t="s">
        <v>7188</v>
      </c>
      <c r="B1292" s="157"/>
      <c r="C1292" s="157"/>
      <c r="D1292" s="157"/>
      <c r="E1292" s="157"/>
      <c r="F1292" s="157"/>
      <c r="G1292" s="3"/>
      <c r="H1292" s="156"/>
      <c r="I1292" s="156"/>
      <c r="J1292" s="156"/>
      <c r="K1292" s="165"/>
      <c r="L1292" s="165"/>
      <c r="M1292" s="1"/>
      <c r="N1292" s="164"/>
      <c r="O1292" s="1"/>
      <c r="P1292" s="153"/>
      <c r="Q1292" s="39"/>
      <c r="R1292" s="39"/>
      <c r="S1292" s="39"/>
      <c r="T1292" s="154"/>
      <c r="U1292" s="40"/>
    </row>
    <row r="1293" spans="1:21" ht="20" customHeight="1" x14ac:dyDescent="0.15">
      <c r="A1293" s="284" t="s">
        <v>7189</v>
      </c>
      <c r="B1293" s="157"/>
      <c r="C1293" s="157"/>
      <c r="D1293" s="157"/>
      <c r="E1293" s="157"/>
      <c r="F1293" s="157"/>
      <c r="G1293" s="3"/>
      <c r="H1293" s="156"/>
      <c r="I1293" s="156"/>
      <c r="J1293" s="156"/>
      <c r="K1293" s="165"/>
      <c r="L1293" s="165"/>
      <c r="M1293" s="1"/>
      <c r="N1293" s="164"/>
      <c r="O1293" s="1"/>
      <c r="P1293" s="153"/>
      <c r="Q1293" s="39"/>
      <c r="R1293" s="39"/>
      <c r="S1293" s="39"/>
      <c r="T1293" s="154"/>
      <c r="U1293" s="40"/>
    </row>
    <row r="1294" spans="1:21" ht="20" customHeight="1" x14ac:dyDescent="0.15">
      <c r="A1294" s="284" t="s">
        <v>7190</v>
      </c>
      <c r="B1294" s="157"/>
      <c r="C1294" s="157"/>
      <c r="D1294" s="157"/>
      <c r="E1294" s="157"/>
      <c r="F1294" s="157"/>
      <c r="G1294" s="3"/>
      <c r="H1294" s="156"/>
      <c r="I1294" s="156"/>
      <c r="J1294" s="156"/>
      <c r="K1294" s="165"/>
      <c r="L1294" s="165"/>
      <c r="M1294" s="1"/>
      <c r="N1294" s="164"/>
      <c r="O1294" s="1"/>
      <c r="P1294" s="153"/>
      <c r="Q1294" s="39"/>
      <c r="R1294" s="39"/>
      <c r="S1294" s="39"/>
      <c r="T1294" s="154"/>
      <c r="U1294" s="40"/>
    </row>
    <row r="1295" spans="1:21" ht="20" customHeight="1" x14ac:dyDescent="0.15">
      <c r="A1295" s="284" t="s">
        <v>7191</v>
      </c>
      <c r="B1295" s="157"/>
      <c r="C1295" s="157"/>
      <c r="D1295" s="157"/>
      <c r="E1295" s="157"/>
      <c r="F1295" s="157"/>
      <c r="G1295" s="3"/>
      <c r="H1295" s="156"/>
      <c r="I1295" s="156"/>
      <c r="J1295" s="156"/>
      <c r="K1295" s="165"/>
      <c r="L1295" s="165"/>
      <c r="M1295" s="1"/>
      <c r="N1295" s="164"/>
      <c r="O1295" s="1"/>
      <c r="P1295" s="153"/>
      <c r="Q1295" s="39"/>
      <c r="R1295" s="39"/>
      <c r="S1295" s="39"/>
      <c r="T1295" s="154"/>
      <c r="U1295" s="40"/>
    </row>
    <row r="1296" spans="1:21" ht="20" customHeight="1" x14ac:dyDescent="0.15">
      <c r="A1296" s="284" t="s">
        <v>7192</v>
      </c>
      <c r="B1296" s="157"/>
      <c r="C1296" s="157"/>
      <c r="D1296" s="157"/>
      <c r="E1296" s="157"/>
      <c r="F1296" s="157"/>
      <c r="G1296" s="3"/>
      <c r="H1296" s="156"/>
      <c r="I1296" s="156"/>
      <c r="J1296" s="156"/>
      <c r="K1296" s="165"/>
      <c r="L1296" s="165"/>
      <c r="M1296" s="1"/>
      <c r="N1296" s="164"/>
      <c r="O1296" s="1"/>
      <c r="P1296" s="153"/>
      <c r="Q1296" s="39"/>
      <c r="R1296" s="39"/>
      <c r="S1296" s="39"/>
      <c r="T1296" s="154"/>
      <c r="U1296" s="40"/>
    </row>
    <row r="1297" spans="1:21" ht="20" customHeight="1" x14ac:dyDescent="0.15">
      <c r="A1297" s="284" t="s">
        <v>7193</v>
      </c>
      <c r="B1297" s="157"/>
      <c r="C1297" s="157"/>
      <c r="D1297" s="157"/>
      <c r="E1297" s="157"/>
      <c r="F1297" s="157"/>
      <c r="G1297" s="3"/>
      <c r="H1297" s="156"/>
      <c r="I1297" s="156"/>
      <c r="J1297" s="156"/>
      <c r="K1297" s="165"/>
      <c r="L1297" s="165"/>
      <c r="M1297" s="1"/>
      <c r="N1297" s="164"/>
      <c r="O1297" s="1"/>
      <c r="P1297" s="153"/>
      <c r="Q1297" s="39"/>
      <c r="R1297" s="39"/>
      <c r="S1297" s="39"/>
      <c r="T1297" s="154"/>
      <c r="U1297" s="40"/>
    </row>
    <row r="1298" spans="1:21" ht="20" customHeight="1" x14ac:dyDescent="0.15">
      <c r="A1298" s="284" t="s">
        <v>7194</v>
      </c>
      <c r="B1298" s="157"/>
      <c r="C1298" s="157"/>
      <c r="D1298" s="157"/>
      <c r="E1298" s="157"/>
      <c r="F1298" s="157"/>
      <c r="G1298" s="3"/>
      <c r="H1298" s="156"/>
      <c r="I1298" s="156"/>
      <c r="J1298" s="156"/>
      <c r="K1298" s="165"/>
      <c r="L1298" s="165"/>
      <c r="M1298" s="1"/>
      <c r="N1298" s="164"/>
      <c r="O1298" s="1"/>
      <c r="P1298" s="153"/>
      <c r="Q1298" s="39"/>
      <c r="R1298" s="39"/>
      <c r="S1298" s="39"/>
      <c r="T1298" s="154"/>
      <c r="U1298" s="40"/>
    </row>
    <row r="1299" spans="1:21" ht="20" customHeight="1" x14ac:dyDescent="0.15">
      <c r="A1299" s="284" t="s">
        <v>7195</v>
      </c>
      <c r="B1299" s="157"/>
      <c r="C1299" s="157"/>
      <c r="D1299" s="157"/>
      <c r="E1299" s="157"/>
      <c r="F1299" s="157"/>
      <c r="G1299" s="3"/>
      <c r="H1299" s="156"/>
      <c r="I1299" s="156"/>
      <c r="J1299" s="156"/>
      <c r="K1299" s="165"/>
      <c r="L1299" s="165"/>
      <c r="M1299" s="1"/>
      <c r="N1299" s="164"/>
      <c r="O1299" s="1"/>
      <c r="P1299" s="153"/>
      <c r="Q1299" s="39"/>
      <c r="R1299" s="39"/>
      <c r="S1299" s="39"/>
      <c r="T1299" s="154"/>
      <c r="U1299" s="40"/>
    </row>
    <row r="1300" spans="1:21" ht="20" customHeight="1" x14ac:dyDescent="0.15">
      <c r="A1300" s="284" t="s">
        <v>7196</v>
      </c>
      <c r="B1300" s="157"/>
      <c r="C1300" s="157"/>
      <c r="D1300" s="157"/>
      <c r="E1300" s="157"/>
      <c r="F1300" s="157"/>
      <c r="G1300" s="3"/>
      <c r="H1300" s="156"/>
      <c r="I1300" s="156"/>
      <c r="J1300" s="156"/>
      <c r="K1300" s="165"/>
      <c r="L1300" s="165"/>
      <c r="M1300" s="1"/>
      <c r="N1300" s="164"/>
      <c r="O1300" s="1"/>
      <c r="P1300" s="153"/>
      <c r="Q1300" s="39"/>
      <c r="R1300" s="39"/>
      <c r="S1300" s="39"/>
      <c r="T1300" s="154"/>
      <c r="U1300" s="40"/>
    </row>
    <row r="1301" spans="1:21" ht="20" customHeight="1" x14ac:dyDescent="0.15">
      <c r="A1301" s="284" t="s">
        <v>7197</v>
      </c>
      <c r="B1301" s="157"/>
      <c r="C1301" s="157"/>
      <c r="D1301" s="157"/>
      <c r="E1301" s="157"/>
      <c r="F1301" s="157"/>
      <c r="G1301" s="3"/>
      <c r="H1301" s="156"/>
      <c r="I1301" s="156"/>
      <c r="J1301" s="156"/>
      <c r="K1301" s="165"/>
      <c r="L1301" s="165"/>
      <c r="M1301" s="1"/>
      <c r="N1301" s="164"/>
      <c r="O1301" s="1"/>
      <c r="P1301" s="153"/>
      <c r="Q1301" s="39"/>
      <c r="R1301" s="39"/>
      <c r="S1301" s="39"/>
      <c r="T1301" s="154"/>
      <c r="U1301" s="40"/>
    </row>
    <row r="1302" spans="1:21" ht="20" customHeight="1" x14ac:dyDescent="0.15">
      <c r="A1302" s="284" t="s">
        <v>7198</v>
      </c>
      <c r="B1302" s="157"/>
      <c r="C1302" s="157"/>
      <c r="D1302" s="157"/>
      <c r="E1302" s="157"/>
      <c r="F1302" s="157"/>
      <c r="G1302" s="3"/>
      <c r="H1302" s="156"/>
      <c r="I1302" s="156"/>
      <c r="J1302" s="156"/>
      <c r="K1302" s="165"/>
      <c r="L1302" s="165"/>
      <c r="M1302" s="1"/>
      <c r="N1302" s="164"/>
      <c r="O1302" s="1"/>
      <c r="P1302" s="153"/>
      <c r="Q1302" s="39"/>
      <c r="R1302" s="39"/>
      <c r="S1302" s="39"/>
      <c r="T1302" s="154"/>
      <c r="U1302" s="40"/>
    </row>
    <row r="1303" spans="1:21" ht="20" customHeight="1" x14ac:dyDescent="0.15">
      <c r="A1303" s="284" t="s">
        <v>7199</v>
      </c>
      <c r="B1303" s="157"/>
      <c r="C1303" s="157"/>
      <c r="D1303" s="157"/>
      <c r="E1303" s="157"/>
      <c r="F1303" s="157"/>
      <c r="G1303" s="3"/>
      <c r="H1303" s="156"/>
      <c r="I1303" s="156"/>
      <c r="J1303" s="156"/>
      <c r="K1303" s="165"/>
      <c r="L1303" s="165"/>
      <c r="M1303" s="1"/>
      <c r="N1303" s="164"/>
      <c r="O1303" s="1"/>
      <c r="P1303" s="153"/>
      <c r="Q1303" s="39"/>
      <c r="R1303" s="39"/>
      <c r="S1303" s="39"/>
      <c r="T1303" s="154"/>
      <c r="U1303" s="40"/>
    </row>
    <row r="1304" spans="1:21" ht="20" customHeight="1" x14ac:dyDescent="0.15">
      <c r="A1304" s="284" t="s">
        <v>7200</v>
      </c>
      <c r="B1304" s="157"/>
      <c r="C1304" s="157"/>
      <c r="D1304" s="157"/>
      <c r="E1304" s="157"/>
      <c r="F1304" s="157"/>
      <c r="G1304" s="3"/>
      <c r="H1304" s="156"/>
      <c r="I1304" s="156"/>
      <c r="J1304" s="156"/>
      <c r="K1304" s="165"/>
      <c r="L1304" s="165"/>
      <c r="M1304" s="1"/>
      <c r="N1304" s="164"/>
      <c r="O1304" s="1"/>
      <c r="P1304" s="153"/>
      <c r="Q1304" s="39"/>
      <c r="R1304" s="39"/>
      <c r="S1304" s="39"/>
      <c r="T1304" s="154"/>
      <c r="U1304" s="40"/>
    </row>
    <row r="1305" spans="1:21" ht="20" customHeight="1" x14ac:dyDescent="0.15">
      <c r="A1305" s="284" t="s">
        <v>7201</v>
      </c>
      <c r="B1305" s="157"/>
      <c r="C1305" s="157"/>
      <c r="D1305" s="157"/>
      <c r="E1305" s="157"/>
      <c r="F1305" s="157"/>
      <c r="G1305" s="3"/>
      <c r="H1305" s="156"/>
      <c r="I1305" s="156"/>
      <c r="J1305" s="156"/>
      <c r="K1305" s="165"/>
      <c r="L1305" s="165"/>
      <c r="M1305" s="1"/>
      <c r="N1305" s="164"/>
      <c r="O1305" s="1"/>
      <c r="P1305" s="153"/>
      <c r="Q1305" s="39"/>
      <c r="R1305" s="39"/>
      <c r="S1305" s="39"/>
      <c r="T1305" s="154"/>
      <c r="U1305" s="40"/>
    </row>
    <row r="1306" spans="1:21" ht="20" customHeight="1" x14ac:dyDescent="0.15">
      <c r="A1306" s="284" t="s">
        <v>7202</v>
      </c>
      <c r="B1306" s="157"/>
      <c r="C1306" s="157"/>
      <c r="D1306" s="157"/>
      <c r="E1306" s="157"/>
      <c r="F1306" s="157"/>
      <c r="G1306" s="3"/>
      <c r="H1306" s="156"/>
      <c r="I1306" s="156"/>
      <c r="J1306" s="156"/>
      <c r="K1306" s="165"/>
      <c r="L1306" s="165"/>
      <c r="M1306" s="1"/>
      <c r="N1306" s="164"/>
      <c r="O1306" s="1"/>
      <c r="P1306" s="153"/>
      <c r="Q1306" s="39"/>
      <c r="R1306" s="39"/>
      <c r="S1306" s="39"/>
      <c r="T1306" s="154"/>
      <c r="U1306" s="40"/>
    </row>
    <row r="1307" spans="1:21" ht="20" customHeight="1" x14ac:dyDescent="0.15">
      <c r="A1307" s="284" t="s">
        <v>7203</v>
      </c>
      <c r="B1307" s="157"/>
      <c r="C1307" s="157"/>
      <c r="D1307" s="157"/>
      <c r="E1307" s="157"/>
      <c r="F1307" s="157"/>
      <c r="G1307" s="3"/>
      <c r="H1307" s="156"/>
      <c r="I1307" s="156"/>
      <c r="J1307" s="156"/>
      <c r="K1307" s="165"/>
      <c r="L1307" s="165"/>
      <c r="M1307" s="1"/>
      <c r="N1307" s="164"/>
      <c r="O1307" s="1"/>
      <c r="P1307" s="153"/>
      <c r="Q1307" s="39"/>
      <c r="R1307" s="39"/>
      <c r="S1307" s="39"/>
      <c r="T1307" s="154"/>
      <c r="U1307" s="40"/>
    </row>
    <row r="1308" spans="1:21" ht="20" customHeight="1" x14ac:dyDescent="0.15">
      <c r="A1308" s="284" t="s">
        <v>7204</v>
      </c>
      <c r="B1308" s="157"/>
      <c r="C1308" s="157"/>
      <c r="D1308" s="157"/>
      <c r="E1308" s="157"/>
      <c r="F1308" s="157"/>
      <c r="G1308" s="3"/>
      <c r="H1308" s="156"/>
      <c r="I1308" s="156"/>
      <c r="J1308" s="156"/>
      <c r="K1308" s="165"/>
      <c r="L1308" s="165"/>
      <c r="M1308" s="1"/>
      <c r="N1308" s="164"/>
      <c r="O1308" s="1"/>
      <c r="P1308" s="153"/>
      <c r="Q1308" s="39"/>
      <c r="R1308" s="39"/>
      <c r="S1308" s="39"/>
      <c r="T1308" s="154"/>
      <c r="U1308" s="40"/>
    </row>
    <row r="1309" spans="1:21" ht="20" customHeight="1" x14ac:dyDescent="0.15">
      <c r="A1309" s="284" t="s">
        <v>7205</v>
      </c>
      <c r="B1309" s="157"/>
      <c r="C1309" s="157"/>
      <c r="D1309" s="157"/>
      <c r="E1309" s="157"/>
      <c r="F1309" s="157"/>
      <c r="G1309" s="3"/>
      <c r="H1309" s="156"/>
      <c r="I1309" s="156"/>
      <c r="J1309" s="156"/>
      <c r="K1309" s="165"/>
      <c r="L1309" s="165"/>
      <c r="M1309" s="1"/>
      <c r="N1309" s="164"/>
      <c r="O1309" s="1"/>
      <c r="P1309" s="153"/>
      <c r="Q1309" s="39"/>
      <c r="R1309" s="39"/>
      <c r="S1309" s="39"/>
      <c r="T1309" s="154"/>
      <c r="U1309" s="40"/>
    </row>
    <row r="1310" spans="1:21" ht="20" customHeight="1" x14ac:dyDescent="0.15">
      <c r="A1310" s="284" t="s">
        <v>7206</v>
      </c>
      <c r="B1310" s="157"/>
      <c r="C1310" s="157"/>
      <c r="D1310" s="157"/>
      <c r="E1310" s="157"/>
      <c r="F1310" s="157"/>
      <c r="G1310" s="3"/>
      <c r="H1310" s="156"/>
      <c r="I1310" s="156"/>
      <c r="J1310" s="156"/>
      <c r="K1310" s="165"/>
      <c r="L1310" s="165"/>
      <c r="M1310" s="1"/>
      <c r="N1310" s="164"/>
      <c r="O1310" s="1"/>
      <c r="P1310" s="153"/>
      <c r="Q1310" s="39"/>
      <c r="R1310" s="39"/>
      <c r="S1310" s="39"/>
      <c r="T1310" s="154"/>
      <c r="U1310" s="40"/>
    </row>
    <row r="1311" spans="1:21" ht="20" customHeight="1" x14ac:dyDescent="0.15">
      <c r="A1311" s="284" t="s">
        <v>7207</v>
      </c>
      <c r="B1311" s="157"/>
      <c r="C1311" s="157"/>
      <c r="D1311" s="157"/>
      <c r="E1311" s="157"/>
      <c r="F1311" s="157"/>
      <c r="G1311" s="3"/>
      <c r="H1311" s="156"/>
      <c r="I1311" s="156"/>
      <c r="J1311" s="156"/>
      <c r="K1311" s="165"/>
      <c r="L1311" s="165"/>
      <c r="M1311" s="1"/>
      <c r="N1311" s="164"/>
      <c r="O1311" s="1"/>
      <c r="P1311" s="153"/>
      <c r="Q1311" s="39"/>
      <c r="R1311" s="39"/>
      <c r="S1311" s="39"/>
      <c r="T1311" s="154"/>
      <c r="U1311" s="40"/>
    </row>
    <row r="1312" spans="1:21" ht="20" customHeight="1" x14ac:dyDescent="0.15">
      <c r="A1312" s="284" t="s">
        <v>7208</v>
      </c>
      <c r="B1312" s="157"/>
      <c r="C1312" s="157"/>
      <c r="D1312" s="157"/>
      <c r="E1312" s="157"/>
      <c r="F1312" s="157"/>
      <c r="G1312" s="3"/>
      <c r="H1312" s="156"/>
      <c r="I1312" s="156"/>
      <c r="J1312" s="156"/>
      <c r="K1312" s="165"/>
      <c r="L1312" s="165"/>
      <c r="M1312" s="1"/>
      <c r="N1312" s="164"/>
      <c r="O1312" s="1"/>
      <c r="P1312" s="153"/>
      <c r="Q1312" s="39"/>
      <c r="R1312" s="39"/>
      <c r="S1312" s="39"/>
      <c r="T1312" s="154"/>
      <c r="U1312" s="40"/>
    </row>
    <row r="1313" spans="1:21" ht="20" customHeight="1" x14ac:dyDescent="0.15">
      <c r="A1313" s="284" t="s">
        <v>7209</v>
      </c>
      <c r="B1313" s="157"/>
      <c r="C1313" s="157"/>
      <c r="D1313" s="157"/>
      <c r="E1313" s="157"/>
      <c r="F1313" s="157"/>
      <c r="G1313" s="3"/>
      <c r="H1313" s="156"/>
      <c r="I1313" s="156"/>
      <c r="J1313" s="156"/>
      <c r="K1313" s="165"/>
      <c r="L1313" s="165"/>
      <c r="M1313" s="1"/>
      <c r="N1313" s="164"/>
      <c r="O1313" s="1"/>
      <c r="P1313" s="153"/>
      <c r="Q1313" s="39"/>
      <c r="R1313" s="39"/>
      <c r="S1313" s="39"/>
      <c r="T1313" s="154"/>
      <c r="U1313" s="40"/>
    </row>
    <row r="1314" spans="1:21" ht="20" customHeight="1" x14ac:dyDescent="0.15">
      <c r="A1314" s="284" t="s">
        <v>7210</v>
      </c>
      <c r="B1314" s="157"/>
      <c r="C1314" s="157"/>
      <c r="D1314" s="157"/>
      <c r="E1314" s="157"/>
      <c r="F1314" s="157"/>
      <c r="G1314" s="3"/>
      <c r="H1314" s="156"/>
      <c r="I1314" s="156"/>
      <c r="J1314" s="156"/>
      <c r="K1314" s="165"/>
      <c r="L1314" s="165"/>
      <c r="M1314" s="1"/>
      <c r="N1314" s="164"/>
      <c r="O1314" s="1"/>
      <c r="P1314" s="153"/>
      <c r="Q1314" s="39"/>
      <c r="R1314" s="39"/>
      <c r="S1314" s="39"/>
      <c r="T1314" s="154"/>
      <c r="U1314" s="40"/>
    </row>
    <row r="1315" spans="1:21" ht="20" customHeight="1" x14ac:dyDescent="0.15">
      <c r="A1315" s="284" t="s">
        <v>7211</v>
      </c>
      <c r="B1315" s="157"/>
      <c r="C1315" s="157"/>
      <c r="D1315" s="157"/>
      <c r="E1315" s="157"/>
      <c r="F1315" s="157"/>
      <c r="G1315" s="3"/>
      <c r="H1315" s="156"/>
      <c r="I1315" s="156"/>
      <c r="J1315" s="156"/>
      <c r="K1315" s="165"/>
      <c r="L1315" s="165"/>
      <c r="M1315" s="1"/>
      <c r="N1315" s="164"/>
      <c r="O1315" s="1"/>
      <c r="P1315" s="153"/>
      <c r="Q1315" s="39"/>
      <c r="R1315" s="39"/>
      <c r="S1315" s="39"/>
      <c r="T1315" s="154"/>
      <c r="U1315" s="40"/>
    </row>
    <row r="1316" spans="1:21" ht="20" customHeight="1" x14ac:dyDescent="0.15">
      <c r="A1316" s="284" t="s">
        <v>7212</v>
      </c>
      <c r="B1316" s="157"/>
      <c r="C1316" s="157"/>
      <c r="D1316" s="157"/>
      <c r="E1316" s="157"/>
      <c r="F1316" s="157"/>
      <c r="G1316" s="3"/>
      <c r="H1316" s="156"/>
      <c r="I1316" s="156"/>
      <c r="J1316" s="156"/>
      <c r="K1316" s="165"/>
      <c r="L1316" s="165"/>
      <c r="M1316" s="1"/>
      <c r="N1316" s="164"/>
      <c r="O1316" s="1"/>
      <c r="P1316" s="153"/>
      <c r="Q1316" s="39"/>
      <c r="R1316" s="39"/>
      <c r="S1316" s="39"/>
      <c r="T1316" s="154"/>
      <c r="U1316" s="40"/>
    </row>
    <row r="1317" spans="1:21" ht="20" customHeight="1" x14ac:dyDescent="0.15">
      <c r="A1317" s="284" t="s">
        <v>7213</v>
      </c>
      <c r="B1317" s="157"/>
      <c r="C1317" s="157"/>
      <c r="D1317" s="157"/>
      <c r="E1317" s="157"/>
      <c r="F1317" s="157"/>
      <c r="G1317" s="3"/>
      <c r="H1317" s="156"/>
      <c r="I1317" s="156"/>
      <c r="J1317" s="156"/>
      <c r="K1317" s="165"/>
      <c r="L1317" s="165"/>
      <c r="M1317" s="1"/>
      <c r="N1317" s="164"/>
      <c r="O1317" s="1"/>
      <c r="P1317" s="153"/>
      <c r="Q1317" s="39"/>
      <c r="R1317" s="39"/>
      <c r="S1317" s="39"/>
      <c r="T1317" s="154"/>
      <c r="U1317" s="40"/>
    </row>
    <row r="1318" spans="1:21" ht="20" customHeight="1" x14ac:dyDescent="0.15">
      <c r="A1318" s="284" t="s">
        <v>7214</v>
      </c>
      <c r="B1318" s="157"/>
      <c r="C1318" s="157"/>
      <c r="D1318" s="157"/>
      <c r="E1318" s="157"/>
      <c r="F1318" s="157"/>
      <c r="G1318" s="3"/>
      <c r="H1318" s="156"/>
      <c r="I1318" s="156"/>
      <c r="J1318" s="156"/>
      <c r="K1318" s="165"/>
      <c r="L1318" s="165"/>
      <c r="M1318" s="1"/>
      <c r="N1318" s="164"/>
      <c r="O1318" s="1"/>
      <c r="P1318" s="153"/>
      <c r="Q1318" s="39"/>
      <c r="R1318" s="39"/>
      <c r="S1318" s="39"/>
      <c r="T1318" s="154"/>
      <c r="U1318" s="40"/>
    </row>
    <row r="1319" spans="1:21" ht="20" customHeight="1" x14ac:dyDescent="0.15">
      <c r="A1319" s="284" t="s">
        <v>7215</v>
      </c>
      <c r="B1319" s="157"/>
      <c r="C1319" s="157"/>
      <c r="D1319" s="157"/>
      <c r="E1319" s="157"/>
      <c r="F1319" s="157"/>
      <c r="G1319" s="3"/>
      <c r="H1319" s="156"/>
      <c r="I1319" s="156"/>
      <c r="J1319" s="156"/>
      <c r="K1319" s="165"/>
      <c r="L1319" s="165"/>
      <c r="M1319" s="1"/>
      <c r="N1319" s="164"/>
      <c r="O1319" s="1"/>
      <c r="P1319" s="153"/>
      <c r="Q1319" s="39"/>
      <c r="R1319" s="39"/>
      <c r="S1319" s="39"/>
      <c r="T1319" s="154"/>
      <c r="U1319" s="40"/>
    </row>
    <row r="1320" spans="1:21" ht="20" customHeight="1" x14ac:dyDescent="0.15">
      <c r="A1320" s="284" t="s">
        <v>7216</v>
      </c>
      <c r="B1320" s="157"/>
      <c r="C1320" s="157"/>
      <c r="D1320" s="157"/>
      <c r="E1320" s="157"/>
      <c r="F1320" s="157"/>
      <c r="G1320" s="3"/>
      <c r="H1320" s="156"/>
      <c r="I1320" s="156"/>
      <c r="J1320" s="156"/>
      <c r="K1320" s="165"/>
      <c r="L1320" s="165"/>
      <c r="M1320" s="1"/>
      <c r="N1320" s="164"/>
      <c r="O1320" s="1"/>
      <c r="P1320" s="153"/>
      <c r="Q1320" s="39"/>
      <c r="R1320" s="39"/>
      <c r="S1320" s="39"/>
      <c r="T1320" s="154"/>
      <c r="U1320" s="40"/>
    </row>
    <row r="1321" spans="1:21" ht="20" customHeight="1" x14ac:dyDescent="0.15">
      <c r="A1321" s="284" t="s">
        <v>7217</v>
      </c>
      <c r="B1321" s="157"/>
      <c r="C1321" s="157"/>
      <c r="D1321" s="157"/>
      <c r="E1321" s="157"/>
      <c r="F1321" s="157"/>
      <c r="G1321" s="3"/>
      <c r="H1321" s="156"/>
      <c r="I1321" s="156"/>
      <c r="J1321" s="156"/>
      <c r="K1321" s="165"/>
      <c r="L1321" s="165"/>
      <c r="M1321" s="1"/>
      <c r="N1321" s="164"/>
      <c r="O1321" s="1"/>
      <c r="P1321" s="153"/>
      <c r="Q1321" s="39"/>
      <c r="R1321" s="39"/>
      <c r="S1321" s="39"/>
      <c r="T1321" s="154"/>
      <c r="U1321" s="40"/>
    </row>
    <row r="1322" spans="1:21" ht="20" customHeight="1" x14ac:dyDescent="0.15">
      <c r="A1322" s="284" t="s">
        <v>7218</v>
      </c>
      <c r="B1322" s="157"/>
      <c r="C1322" s="157"/>
      <c r="D1322" s="157"/>
      <c r="E1322" s="157"/>
      <c r="F1322" s="157"/>
      <c r="G1322" s="3"/>
      <c r="H1322" s="156"/>
      <c r="I1322" s="156"/>
      <c r="J1322" s="156"/>
      <c r="K1322" s="165"/>
      <c r="L1322" s="165"/>
      <c r="M1322" s="1"/>
      <c r="N1322" s="164"/>
      <c r="O1322" s="1"/>
      <c r="P1322" s="153"/>
      <c r="Q1322" s="39"/>
      <c r="R1322" s="39"/>
      <c r="S1322" s="39"/>
      <c r="T1322" s="154"/>
      <c r="U1322" s="40"/>
    </row>
    <row r="1323" spans="1:21" ht="20" customHeight="1" x14ac:dyDescent="0.15">
      <c r="A1323" s="284" t="s">
        <v>7219</v>
      </c>
      <c r="B1323" s="157"/>
      <c r="C1323" s="157"/>
      <c r="D1323" s="157"/>
      <c r="E1323" s="157"/>
      <c r="F1323" s="157"/>
      <c r="G1323" s="3"/>
      <c r="H1323" s="156"/>
      <c r="I1323" s="156"/>
      <c r="J1323" s="156"/>
      <c r="K1323" s="165"/>
      <c r="L1323" s="165"/>
      <c r="M1323" s="1"/>
      <c r="N1323" s="164"/>
      <c r="O1323" s="1"/>
      <c r="P1323" s="153"/>
      <c r="Q1323" s="39"/>
      <c r="R1323" s="39"/>
      <c r="S1323" s="39"/>
      <c r="T1323" s="154"/>
      <c r="U1323" s="40"/>
    </row>
    <row r="1324" spans="1:21" ht="20" customHeight="1" x14ac:dyDescent="0.15">
      <c r="A1324" s="284" t="s">
        <v>7220</v>
      </c>
      <c r="B1324" s="157"/>
      <c r="C1324" s="157"/>
      <c r="D1324" s="157"/>
      <c r="E1324" s="157"/>
      <c r="F1324" s="157"/>
      <c r="G1324" s="3"/>
      <c r="H1324" s="156"/>
      <c r="I1324" s="156"/>
      <c r="J1324" s="156"/>
      <c r="K1324" s="165"/>
      <c r="L1324" s="165"/>
      <c r="M1324" s="1"/>
      <c r="N1324" s="164"/>
      <c r="O1324" s="1"/>
      <c r="P1324" s="153"/>
      <c r="Q1324" s="39"/>
      <c r="R1324" s="39"/>
      <c r="S1324" s="39"/>
      <c r="T1324" s="154"/>
      <c r="U1324" s="40"/>
    </row>
    <row r="1325" spans="1:21" ht="20" customHeight="1" x14ac:dyDescent="0.15">
      <c r="A1325" s="284" t="s">
        <v>7221</v>
      </c>
      <c r="B1325" s="157"/>
      <c r="C1325" s="157"/>
      <c r="D1325" s="157"/>
      <c r="E1325" s="157"/>
      <c r="F1325" s="157"/>
      <c r="G1325" s="3"/>
      <c r="H1325" s="156"/>
      <c r="I1325" s="156"/>
      <c r="J1325" s="156"/>
      <c r="K1325" s="165"/>
      <c r="L1325" s="165"/>
      <c r="M1325" s="1"/>
      <c r="N1325" s="164"/>
      <c r="O1325" s="1"/>
      <c r="P1325" s="153"/>
      <c r="Q1325" s="39"/>
      <c r="R1325" s="39"/>
      <c r="S1325" s="39"/>
      <c r="T1325" s="154"/>
      <c r="U1325" s="40"/>
    </row>
    <row r="1326" spans="1:21" ht="20" customHeight="1" x14ac:dyDescent="0.15">
      <c r="A1326" s="284" t="s">
        <v>7222</v>
      </c>
      <c r="B1326" s="157"/>
      <c r="C1326" s="157"/>
      <c r="D1326" s="157"/>
      <c r="E1326" s="157"/>
      <c r="F1326" s="157"/>
      <c r="G1326" s="3"/>
      <c r="H1326" s="156"/>
      <c r="I1326" s="156"/>
      <c r="J1326" s="156"/>
      <c r="K1326" s="165"/>
      <c r="L1326" s="165"/>
      <c r="M1326" s="1"/>
      <c r="N1326" s="164"/>
      <c r="O1326" s="1"/>
      <c r="P1326" s="153"/>
      <c r="Q1326" s="39"/>
      <c r="R1326" s="39"/>
      <c r="S1326" s="39"/>
      <c r="T1326" s="154"/>
      <c r="U1326" s="40"/>
    </row>
    <row r="1327" spans="1:21" ht="20" customHeight="1" x14ac:dyDescent="0.15">
      <c r="A1327" s="284" t="s">
        <v>7223</v>
      </c>
      <c r="B1327" s="157"/>
      <c r="C1327" s="157"/>
      <c r="D1327" s="157"/>
      <c r="E1327" s="157"/>
      <c r="F1327" s="157"/>
      <c r="G1327" s="3"/>
      <c r="H1327" s="156"/>
      <c r="I1327" s="156"/>
      <c r="J1327" s="156"/>
      <c r="K1327" s="165"/>
      <c r="L1327" s="165"/>
      <c r="M1327" s="1"/>
      <c r="N1327" s="164"/>
      <c r="O1327" s="1"/>
      <c r="P1327" s="153"/>
      <c r="Q1327" s="39"/>
      <c r="R1327" s="39"/>
      <c r="S1327" s="39"/>
      <c r="T1327" s="154"/>
      <c r="U1327" s="40"/>
    </row>
    <row r="1328" spans="1:21" ht="20" customHeight="1" x14ac:dyDescent="0.15">
      <c r="A1328" s="284" t="s">
        <v>7224</v>
      </c>
      <c r="B1328" s="157"/>
      <c r="C1328" s="157"/>
      <c r="D1328" s="157"/>
      <c r="E1328" s="157"/>
      <c r="F1328" s="157"/>
      <c r="G1328" s="3"/>
      <c r="H1328" s="156"/>
      <c r="I1328" s="156"/>
      <c r="J1328" s="156"/>
      <c r="K1328" s="165"/>
      <c r="L1328" s="165"/>
      <c r="M1328" s="1"/>
      <c r="N1328" s="164"/>
      <c r="O1328" s="1"/>
      <c r="P1328" s="153"/>
      <c r="Q1328" s="39"/>
      <c r="R1328" s="39"/>
      <c r="S1328" s="39"/>
      <c r="T1328" s="154"/>
      <c r="U1328" s="40"/>
    </row>
    <row r="1329" spans="1:21" ht="20" customHeight="1" x14ac:dyDescent="0.15">
      <c r="A1329" s="284" t="s">
        <v>7225</v>
      </c>
      <c r="B1329" s="157"/>
      <c r="C1329" s="157"/>
      <c r="D1329" s="157"/>
      <c r="E1329" s="157"/>
      <c r="F1329" s="157"/>
      <c r="G1329" s="3"/>
      <c r="H1329" s="156"/>
      <c r="I1329" s="156"/>
      <c r="J1329" s="156"/>
      <c r="K1329" s="165"/>
      <c r="L1329" s="165"/>
      <c r="M1329" s="1"/>
      <c r="N1329" s="164"/>
      <c r="O1329" s="1"/>
      <c r="P1329" s="153"/>
      <c r="Q1329" s="39"/>
      <c r="R1329" s="39"/>
      <c r="S1329" s="39"/>
      <c r="T1329" s="154"/>
      <c r="U1329" s="40"/>
    </row>
    <row r="1330" spans="1:21" ht="20" customHeight="1" x14ac:dyDescent="0.15">
      <c r="A1330" s="284" t="s">
        <v>7226</v>
      </c>
      <c r="B1330" s="157"/>
      <c r="C1330" s="157"/>
      <c r="D1330" s="157"/>
      <c r="E1330" s="157"/>
      <c r="F1330" s="157"/>
      <c r="G1330" s="3"/>
      <c r="H1330" s="156"/>
      <c r="I1330" s="156"/>
      <c r="J1330" s="156"/>
      <c r="K1330" s="165"/>
      <c r="L1330" s="165"/>
      <c r="M1330" s="1"/>
      <c r="N1330" s="164"/>
      <c r="O1330" s="1"/>
      <c r="P1330" s="153"/>
      <c r="Q1330" s="39"/>
      <c r="R1330" s="39"/>
      <c r="S1330" s="39"/>
      <c r="T1330" s="154"/>
      <c r="U1330" s="40"/>
    </row>
    <row r="1331" spans="1:21" ht="20" customHeight="1" x14ac:dyDescent="0.15">
      <c r="A1331" s="284" t="s">
        <v>7227</v>
      </c>
      <c r="B1331" s="157"/>
      <c r="C1331" s="157"/>
      <c r="D1331" s="157"/>
      <c r="E1331" s="157"/>
      <c r="F1331" s="157"/>
      <c r="G1331" s="3"/>
      <c r="H1331" s="156"/>
      <c r="I1331" s="156"/>
      <c r="J1331" s="156"/>
      <c r="K1331" s="165"/>
      <c r="L1331" s="165"/>
      <c r="M1331" s="1"/>
      <c r="N1331" s="164"/>
      <c r="O1331" s="1"/>
      <c r="P1331" s="153"/>
      <c r="Q1331" s="39"/>
      <c r="R1331" s="39"/>
      <c r="S1331" s="39"/>
      <c r="T1331" s="154"/>
      <c r="U1331" s="40"/>
    </row>
    <row r="1332" spans="1:21" ht="20" customHeight="1" x14ac:dyDescent="0.15">
      <c r="A1332" s="284" t="s">
        <v>7228</v>
      </c>
      <c r="B1332" s="157"/>
      <c r="C1332" s="157"/>
      <c r="D1332" s="157"/>
      <c r="E1332" s="157"/>
      <c r="F1332" s="157"/>
      <c r="G1332" s="3"/>
      <c r="H1332" s="156"/>
      <c r="I1332" s="156"/>
      <c r="J1332" s="156"/>
      <c r="K1332" s="165"/>
      <c r="L1332" s="165"/>
      <c r="M1332" s="1"/>
      <c r="N1332" s="164"/>
      <c r="O1332" s="1"/>
      <c r="P1332" s="153"/>
      <c r="Q1332" s="39"/>
      <c r="R1332" s="39"/>
      <c r="S1332" s="39"/>
      <c r="T1332" s="154"/>
      <c r="U1332" s="40"/>
    </row>
    <row r="1333" spans="1:21" ht="20" customHeight="1" x14ac:dyDescent="0.15">
      <c r="A1333" s="284" t="s">
        <v>7229</v>
      </c>
      <c r="B1333" s="157"/>
      <c r="C1333" s="157"/>
      <c r="D1333" s="157"/>
      <c r="E1333" s="157"/>
      <c r="F1333" s="157"/>
      <c r="G1333" s="3"/>
      <c r="H1333" s="156"/>
      <c r="I1333" s="156"/>
      <c r="J1333" s="156"/>
      <c r="K1333" s="165"/>
      <c r="L1333" s="165"/>
      <c r="M1333" s="1"/>
      <c r="N1333" s="164"/>
      <c r="O1333" s="1"/>
      <c r="P1333" s="153"/>
      <c r="Q1333" s="39"/>
      <c r="R1333" s="39"/>
      <c r="S1333" s="39"/>
      <c r="T1333" s="154"/>
      <c r="U1333" s="40"/>
    </row>
    <row r="1334" spans="1:21" ht="20" customHeight="1" x14ac:dyDescent="0.15">
      <c r="A1334" s="284" t="s">
        <v>7230</v>
      </c>
      <c r="B1334" s="157"/>
      <c r="C1334" s="157"/>
      <c r="D1334" s="157"/>
      <c r="E1334" s="157"/>
      <c r="F1334" s="157"/>
      <c r="G1334" s="3"/>
      <c r="H1334" s="156"/>
      <c r="I1334" s="156"/>
      <c r="J1334" s="156"/>
      <c r="K1334" s="165"/>
      <c r="L1334" s="165"/>
      <c r="M1334" s="1"/>
      <c r="N1334" s="164"/>
      <c r="O1334" s="1"/>
      <c r="P1334" s="153"/>
      <c r="Q1334" s="39"/>
      <c r="R1334" s="39"/>
      <c r="S1334" s="39"/>
      <c r="T1334" s="154"/>
      <c r="U1334" s="40"/>
    </row>
    <row r="1335" spans="1:21" ht="20" customHeight="1" x14ac:dyDescent="0.15">
      <c r="A1335" s="284" t="s">
        <v>7231</v>
      </c>
      <c r="B1335" s="157"/>
      <c r="C1335" s="157"/>
      <c r="D1335" s="157"/>
      <c r="E1335" s="157"/>
      <c r="F1335" s="157"/>
      <c r="G1335" s="3"/>
      <c r="H1335" s="156"/>
      <c r="I1335" s="156"/>
      <c r="J1335" s="156"/>
      <c r="K1335" s="165"/>
      <c r="L1335" s="165"/>
      <c r="M1335" s="1"/>
      <c r="N1335" s="164"/>
      <c r="O1335" s="1"/>
      <c r="P1335" s="153"/>
      <c r="Q1335" s="39"/>
      <c r="R1335" s="39"/>
      <c r="S1335" s="39"/>
      <c r="T1335" s="154"/>
      <c r="U1335" s="40"/>
    </row>
    <row r="1336" spans="1:21" ht="20" customHeight="1" x14ac:dyDescent="0.15">
      <c r="A1336" s="284" t="s">
        <v>7232</v>
      </c>
      <c r="B1336" s="157"/>
      <c r="C1336" s="157"/>
      <c r="D1336" s="157"/>
      <c r="E1336" s="157"/>
      <c r="F1336" s="157"/>
      <c r="G1336" s="3"/>
      <c r="H1336" s="156"/>
      <c r="I1336" s="156"/>
      <c r="J1336" s="156"/>
      <c r="K1336" s="165"/>
      <c r="L1336" s="165"/>
      <c r="M1336" s="1"/>
      <c r="N1336" s="164"/>
      <c r="O1336" s="1"/>
      <c r="P1336" s="153"/>
      <c r="Q1336" s="39"/>
      <c r="R1336" s="39"/>
      <c r="S1336" s="39"/>
      <c r="T1336" s="154"/>
      <c r="U1336" s="40"/>
    </row>
    <row r="1337" spans="1:21" ht="20" customHeight="1" x14ac:dyDescent="0.15">
      <c r="A1337" s="284" t="s">
        <v>7233</v>
      </c>
      <c r="B1337" s="157"/>
      <c r="C1337" s="157"/>
      <c r="D1337" s="157"/>
      <c r="E1337" s="157"/>
      <c r="F1337" s="157"/>
      <c r="G1337" s="3"/>
      <c r="H1337" s="156"/>
      <c r="I1337" s="156"/>
      <c r="J1337" s="156"/>
      <c r="K1337" s="165"/>
      <c r="L1337" s="165"/>
      <c r="M1337" s="1"/>
      <c r="N1337" s="164"/>
      <c r="O1337" s="1"/>
      <c r="P1337" s="153"/>
      <c r="Q1337" s="39"/>
      <c r="R1337" s="39"/>
      <c r="S1337" s="39"/>
      <c r="T1337" s="154"/>
      <c r="U1337" s="40"/>
    </row>
    <row r="1338" spans="1:21" ht="20" customHeight="1" x14ac:dyDescent="0.15">
      <c r="A1338" s="284" t="s">
        <v>7234</v>
      </c>
      <c r="B1338" s="157"/>
      <c r="C1338" s="157"/>
      <c r="D1338" s="157"/>
      <c r="E1338" s="157"/>
      <c r="F1338" s="157"/>
      <c r="G1338" s="3"/>
      <c r="H1338" s="156"/>
      <c r="I1338" s="156"/>
      <c r="J1338" s="156"/>
      <c r="K1338" s="165"/>
      <c r="L1338" s="165"/>
      <c r="M1338" s="1"/>
      <c r="N1338" s="164"/>
      <c r="O1338" s="1"/>
      <c r="P1338" s="153"/>
      <c r="Q1338" s="39"/>
      <c r="R1338" s="39"/>
      <c r="S1338" s="39"/>
      <c r="T1338" s="154"/>
      <c r="U1338" s="40"/>
    </row>
    <row r="1339" spans="1:21" ht="20" customHeight="1" x14ac:dyDescent="0.15">
      <c r="A1339" s="284" t="s">
        <v>7235</v>
      </c>
      <c r="B1339" s="157"/>
      <c r="C1339" s="157"/>
      <c r="D1339" s="157"/>
      <c r="E1339" s="157"/>
      <c r="F1339" s="157"/>
      <c r="G1339" s="3"/>
      <c r="H1339" s="156"/>
      <c r="I1339" s="156"/>
      <c r="J1339" s="156"/>
      <c r="K1339" s="165"/>
      <c r="L1339" s="165"/>
      <c r="M1339" s="1"/>
      <c r="N1339" s="164"/>
      <c r="O1339" s="1"/>
      <c r="P1339" s="153"/>
      <c r="Q1339" s="39"/>
      <c r="R1339" s="39"/>
      <c r="S1339" s="39"/>
      <c r="T1339" s="154"/>
      <c r="U1339" s="40"/>
    </row>
    <row r="1340" spans="1:21" ht="20" customHeight="1" x14ac:dyDescent="0.15">
      <c r="A1340" s="284" t="s">
        <v>7236</v>
      </c>
      <c r="B1340" s="157"/>
      <c r="C1340" s="157"/>
      <c r="D1340" s="157"/>
      <c r="E1340" s="157"/>
      <c r="F1340" s="157"/>
      <c r="G1340" s="3"/>
      <c r="H1340" s="156"/>
      <c r="I1340" s="156"/>
      <c r="J1340" s="156"/>
      <c r="K1340" s="165"/>
      <c r="L1340" s="165"/>
      <c r="M1340" s="1"/>
      <c r="N1340" s="164"/>
      <c r="O1340" s="1"/>
      <c r="P1340" s="153"/>
      <c r="Q1340" s="39"/>
      <c r="R1340" s="39"/>
      <c r="S1340" s="39"/>
      <c r="T1340" s="154"/>
      <c r="U1340" s="40"/>
    </row>
    <row r="1341" spans="1:21" ht="20" customHeight="1" x14ac:dyDescent="0.15">
      <c r="A1341" s="284" t="s">
        <v>7237</v>
      </c>
      <c r="B1341" s="157"/>
      <c r="C1341" s="157"/>
      <c r="D1341" s="157"/>
      <c r="E1341" s="157"/>
      <c r="F1341" s="157"/>
      <c r="G1341" s="3"/>
      <c r="H1341" s="156"/>
      <c r="I1341" s="156"/>
      <c r="J1341" s="156"/>
      <c r="K1341" s="165"/>
      <c r="L1341" s="165"/>
      <c r="M1341" s="1"/>
      <c r="N1341" s="164"/>
      <c r="O1341" s="1"/>
      <c r="P1341" s="153"/>
      <c r="Q1341" s="39"/>
      <c r="R1341" s="39"/>
      <c r="S1341" s="39"/>
      <c r="T1341" s="154"/>
      <c r="U1341" s="40"/>
    </row>
    <row r="1342" spans="1:21" ht="20" customHeight="1" x14ac:dyDescent="0.15">
      <c r="A1342" s="284" t="s">
        <v>7238</v>
      </c>
      <c r="B1342" s="157"/>
      <c r="C1342" s="157"/>
      <c r="D1342" s="157"/>
      <c r="E1342" s="157"/>
      <c r="F1342" s="157"/>
      <c r="G1342" s="3"/>
      <c r="H1342" s="156"/>
      <c r="I1342" s="156"/>
      <c r="J1342" s="156"/>
      <c r="K1342" s="165"/>
      <c r="L1342" s="165"/>
      <c r="M1342" s="1"/>
      <c r="N1342" s="164"/>
      <c r="O1342" s="1"/>
      <c r="P1342" s="153"/>
      <c r="Q1342" s="39"/>
      <c r="R1342" s="39"/>
      <c r="S1342" s="39"/>
      <c r="T1342" s="154"/>
      <c r="U1342" s="40"/>
    </row>
    <row r="1343" spans="1:21" ht="20" customHeight="1" x14ac:dyDescent="0.15">
      <c r="A1343" s="284" t="s">
        <v>7239</v>
      </c>
      <c r="B1343" s="157"/>
      <c r="C1343" s="157"/>
      <c r="D1343" s="157"/>
      <c r="E1343" s="157"/>
      <c r="F1343" s="157"/>
      <c r="G1343" s="3"/>
      <c r="H1343" s="156"/>
      <c r="I1343" s="156"/>
      <c r="J1343" s="156"/>
      <c r="K1343" s="165"/>
      <c r="L1343" s="165"/>
      <c r="M1343" s="1"/>
      <c r="N1343" s="164"/>
      <c r="O1343" s="1"/>
      <c r="P1343" s="153"/>
      <c r="Q1343" s="39"/>
      <c r="R1343" s="39"/>
      <c r="S1343" s="39"/>
      <c r="T1343" s="154"/>
      <c r="U1343" s="40"/>
    </row>
    <row r="1344" spans="1:21" ht="20" customHeight="1" x14ac:dyDescent="0.15">
      <c r="A1344" s="284" t="s">
        <v>7240</v>
      </c>
      <c r="B1344" s="157"/>
      <c r="C1344" s="157"/>
      <c r="D1344" s="157"/>
      <c r="E1344" s="157"/>
      <c r="F1344" s="157"/>
      <c r="G1344" s="3"/>
      <c r="H1344" s="156"/>
      <c r="I1344" s="156"/>
      <c r="J1344" s="156"/>
      <c r="K1344" s="165"/>
      <c r="L1344" s="165"/>
      <c r="M1344" s="1"/>
      <c r="N1344" s="164"/>
      <c r="O1344" s="1"/>
      <c r="P1344" s="153"/>
      <c r="Q1344" s="39"/>
      <c r="R1344" s="39"/>
      <c r="S1344" s="39"/>
      <c r="T1344" s="154"/>
      <c r="U1344" s="40"/>
    </row>
    <row r="1345" spans="1:21" ht="20" customHeight="1" x14ac:dyDescent="0.15">
      <c r="A1345" s="284" t="s">
        <v>7241</v>
      </c>
      <c r="B1345" s="157"/>
      <c r="C1345" s="157"/>
      <c r="D1345" s="157"/>
      <c r="E1345" s="157"/>
      <c r="F1345" s="157"/>
      <c r="G1345" s="3"/>
      <c r="H1345" s="156"/>
      <c r="I1345" s="156"/>
      <c r="J1345" s="156"/>
      <c r="K1345" s="165"/>
      <c r="L1345" s="165"/>
      <c r="M1345" s="1"/>
      <c r="N1345" s="164"/>
      <c r="O1345" s="1"/>
      <c r="P1345" s="153"/>
      <c r="Q1345" s="39"/>
      <c r="R1345" s="39"/>
      <c r="S1345" s="39"/>
      <c r="T1345" s="154"/>
      <c r="U1345" s="40"/>
    </row>
    <row r="1346" spans="1:21" ht="20" customHeight="1" x14ac:dyDescent="0.15">
      <c r="A1346" s="284" t="s">
        <v>7242</v>
      </c>
      <c r="B1346" s="157"/>
      <c r="C1346" s="157"/>
      <c r="D1346" s="157"/>
      <c r="E1346" s="157"/>
      <c r="F1346" s="157"/>
      <c r="G1346" s="3"/>
      <c r="H1346" s="156"/>
      <c r="I1346" s="156"/>
      <c r="J1346" s="156"/>
      <c r="K1346" s="165"/>
      <c r="L1346" s="165"/>
      <c r="M1346" s="1"/>
      <c r="N1346" s="164"/>
      <c r="O1346" s="1"/>
      <c r="P1346" s="153"/>
      <c r="Q1346" s="39"/>
      <c r="R1346" s="39"/>
      <c r="S1346" s="39"/>
      <c r="T1346" s="154"/>
      <c r="U1346" s="40"/>
    </row>
    <row r="1347" spans="1:21" ht="20" customHeight="1" x14ac:dyDescent="0.15">
      <c r="A1347" s="284" t="s">
        <v>7243</v>
      </c>
      <c r="B1347" s="157"/>
      <c r="C1347" s="157"/>
      <c r="D1347" s="157"/>
      <c r="E1347" s="157"/>
      <c r="F1347" s="157"/>
      <c r="G1347" s="3"/>
      <c r="H1347" s="156"/>
      <c r="I1347" s="156"/>
      <c r="J1347" s="156"/>
      <c r="K1347" s="165"/>
      <c r="L1347" s="165"/>
      <c r="M1347" s="1"/>
      <c r="N1347" s="164"/>
      <c r="O1347" s="1"/>
      <c r="P1347" s="153"/>
      <c r="Q1347" s="39"/>
      <c r="R1347" s="39"/>
      <c r="S1347" s="39"/>
      <c r="T1347" s="154"/>
      <c r="U1347" s="40"/>
    </row>
    <row r="1348" spans="1:21" ht="20" customHeight="1" x14ac:dyDescent="0.15">
      <c r="A1348" s="284" t="s">
        <v>7244</v>
      </c>
      <c r="B1348" s="157"/>
      <c r="C1348" s="157"/>
      <c r="D1348" s="157"/>
      <c r="E1348" s="157"/>
      <c r="F1348" s="157"/>
      <c r="G1348" s="3"/>
      <c r="H1348" s="156"/>
      <c r="I1348" s="156"/>
      <c r="J1348" s="156"/>
      <c r="K1348" s="165"/>
      <c r="L1348" s="165"/>
      <c r="M1348" s="1"/>
      <c r="N1348" s="164"/>
      <c r="O1348" s="1"/>
      <c r="P1348" s="153"/>
      <c r="Q1348" s="39"/>
      <c r="R1348" s="39"/>
      <c r="S1348" s="39"/>
      <c r="T1348" s="154"/>
      <c r="U1348" s="40"/>
    </row>
    <row r="1349" spans="1:21" ht="20" customHeight="1" x14ac:dyDescent="0.15">
      <c r="A1349" s="284" t="s">
        <v>7245</v>
      </c>
      <c r="B1349" s="157"/>
      <c r="C1349" s="157"/>
      <c r="D1349" s="157"/>
      <c r="E1349" s="157"/>
      <c r="F1349" s="157"/>
      <c r="G1349" s="3"/>
      <c r="H1349" s="156"/>
      <c r="I1349" s="156"/>
      <c r="J1349" s="156"/>
      <c r="K1349" s="165"/>
      <c r="L1349" s="165"/>
      <c r="M1349" s="1"/>
      <c r="N1349" s="164"/>
      <c r="O1349" s="1"/>
      <c r="P1349" s="153"/>
      <c r="Q1349" s="39"/>
      <c r="R1349" s="39"/>
      <c r="S1349" s="39"/>
      <c r="T1349" s="154"/>
      <c r="U1349" s="40"/>
    </row>
    <row r="1350" spans="1:21" ht="20" customHeight="1" x14ac:dyDescent="0.15">
      <c r="A1350" s="284" t="s">
        <v>7246</v>
      </c>
      <c r="B1350" s="157"/>
      <c r="C1350" s="157"/>
      <c r="D1350" s="157"/>
      <c r="E1350" s="157"/>
      <c r="F1350" s="157"/>
      <c r="G1350" s="3"/>
      <c r="H1350" s="156"/>
      <c r="I1350" s="156"/>
      <c r="J1350" s="156"/>
      <c r="K1350" s="165"/>
      <c r="L1350" s="165"/>
      <c r="M1350" s="1"/>
      <c r="N1350" s="164"/>
      <c r="O1350" s="1"/>
      <c r="P1350" s="153"/>
      <c r="Q1350" s="39"/>
      <c r="R1350" s="39"/>
      <c r="S1350" s="39"/>
      <c r="T1350" s="154"/>
      <c r="U1350" s="40"/>
    </row>
    <row r="1351" spans="1:21" ht="20" customHeight="1" x14ac:dyDescent="0.15">
      <c r="A1351" s="284" t="s">
        <v>7247</v>
      </c>
      <c r="B1351" s="157"/>
      <c r="C1351" s="157"/>
      <c r="D1351" s="157"/>
      <c r="E1351" s="157"/>
      <c r="F1351" s="157"/>
      <c r="G1351" s="3"/>
      <c r="H1351" s="156"/>
      <c r="I1351" s="156"/>
      <c r="J1351" s="156"/>
      <c r="K1351" s="165"/>
      <c r="L1351" s="165"/>
      <c r="M1351" s="1"/>
      <c r="N1351" s="164"/>
      <c r="O1351" s="1"/>
      <c r="P1351" s="153"/>
      <c r="Q1351" s="39"/>
      <c r="R1351" s="39"/>
      <c r="S1351" s="39"/>
      <c r="T1351" s="154"/>
      <c r="U1351" s="40"/>
    </row>
    <row r="1352" spans="1:21" ht="20" customHeight="1" x14ac:dyDescent="0.15">
      <c r="A1352" s="284" t="s">
        <v>7248</v>
      </c>
      <c r="B1352" s="157"/>
      <c r="C1352" s="157"/>
      <c r="D1352" s="157"/>
      <c r="E1352" s="157"/>
      <c r="F1352" s="157"/>
      <c r="G1352" s="3"/>
      <c r="H1352" s="156"/>
      <c r="I1352" s="156"/>
      <c r="J1352" s="156"/>
      <c r="K1352" s="165"/>
      <c r="L1352" s="165"/>
      <c r="M1352" s="1"/>
      <c r="N1352" s="164"/>
      <c r="O1352" s="1"/>
      <c r="P1352" s="153"/>
      <c r="Q1352" s="39"/>
      <c r="R1352" s="39"/>
      <c r="S1352" s="39"/>
      <c r="T1352" s="154"/>
      <c r="U1352" s="40"/>
    </row>
    <row r="1353" spans="1:21" ht="20" customHeight="1" x14ac:dyDescent="0.15">
      <c r="A1353" s="284" t="s">
        <v>7249</v>
      </c>
      <c r="B1353" s="157"/>
      <c r="C1353" s="157"/>
      <c r="D1353" s="157"/>
      <c r="E1353" s="157"/>
      <c r="F1353" s="157"/>
      <c r="G1353" s="3"/>
      <c r="H1353" s="156"/>
      <c r="I1353" s="156"/>
      <c r="J1353" s="156"/>
      <c r="K1353" s="165"/>
      <c r="L1353" s="165"/>
      <c r="M1353" s="1"/>
      <c r="N1353" s="164"/>
      <c r="O1353" s="1"/>
      <c r="P1353" s="153"/>
      <c r="Q1353" s="39"/>
      <c r="R1353" s="39"/>
      <c r="S1353" s="39"/>
      <c r="T1353" s="154"/>
      <c r="U1353" s="40"/>
    </row>
    <row r="1354" spans="1:21" ht="20" customHeight="1" x14ac:dyDescent="0.15">
      <c r="A1354" s="284" t="s">
        <v>7250</v>
      </c>
      <c r="B1354" s="157"/>
      <c r="C1354" s="157"/>
      <c r="D1354" s="157"/>
      <c r="E1354" s="157"/>
      <c r="F1354" s="157"/>
      <c r="G1354" s="3"/>
      <c r="H1354" s="156"/>
      <c r="I1354" s="156"/>
      <c r="J1354" s="156"/>
      <c r="K1354" s="165"/>
      <c r="L1354" s="165"/>
      <c r="M1354" s="1"/>
      <c r="N1354" s="164"/>
      <c r="O1354" s="1"/>
      <c r="P1354" s="153"/>
      <c r="Q1354" s="39"/>
      <c r="R1354" s="39"/>
      <c r="S1354" s="39"/>
      <c r="T1354" s="154"/>
      <c r="U1354" s="40"/>
    </row>
    <row r="1355" spans="1:21" ht="20" customHeight="1" x14ac:dyDescent="0.15">
      <c r="A1355" s="284" t="s">
        <v>7251</v>
      </c>
      <c r="B1355" s="157"/>
      <c r="C1355" s="157"/>
      <c r="D1355" s="157"/>
      <c r="E1355" s="157"/>
      <c r="F1355" s="157"/>
      <c r="G1355" s="3"/>
      <c r="H1355" s="156"/>
      <c r="I1355" s="156"/>
      <c r="J1355" s="156"/>
      <c r="K1355" s="165"/>
      <c r="L1355" s="165"/>
      <c r="M1355" s="1"/>
      <c r="N1355" s="164"/>
      <c r="O1355" s="1"/>
      <c r="P1355" s="153"/>
      <c r="Q1355" s="39"/>
      <c r="R1355" s="39"/>
      <c r="S1355" s="39"/>
      <c r="T1355" s="154"/>
      <c r="U1355" s="40"/>
    </row>
    <row r="1356" spans="1:21" ht="20" customHeight="1" x14ac:dyDescent="0.15">
      <c r="A1356" s="284" t="s">
        <v>7252</v>
      </c>
      <c r="B1356" s="157"/>
      <c r="C1356" s="157"/>
      <c r="D1356" s="157"/>
      <c r="E1356" s="157"/>
      <c r="F1356" s="157"/>
      <c r="G1356" s="3"/>
      <c r="H1356" s="156"/>
      <c r="I1356" s="156"/>
      <c r="J1356" s="156"/>
      <c r="K1356" s="165"/>
      <c r="L1356" s="165"/>
      <c r="M1356" s="1"/>
      <c r="N1356" s="164"/>
      <c r="O1356" s="1"/>
      <c r="P1356" s="153"/>
      <c r="Q1356" s="39"/>
      <c r="R1356" s="39"/>
      <c r="S1356" s="39"/>
      <c r="T1356" s="154"/>
      <c r="U1356" s="40"/>
    </row>
    <row r="1357" spans="1:21" ht="20" customHeight="1" x14ac:dyDescent="0.15">
      <c r="A1357" s="284" t="s">
        <v>7253</v>
      </c>
      <c r="B1357" s="157"/>
      <c r="C1357" s="157"/>
      <c r="D1357" s="157"/>
      <c r="E1357" s="157"/>
      <c r="F1357" s="157"/>
      <c r="G1357" s="3"/>
      <c r="H1357" s="156"/>
      <c r="I1357" s="156"/>
      <c r="J1357" s="156"/>
      <c r="K1357" s="165"/>
      <c r="L1357" s="165"/>
      <c r="M1357" s="1"/>
      <c r="N1357" s="164"/>
      <c r="O1357" s="1"/>
      <c r="P1357" s="153"/>
      <c r="Q1357" s="39"/>
      <c r="R1357" s="39"/>
      <c r="S1357" s="39"/>
      <c r="T1357" s="154"/>
      <c r="U1357" s="40"/>
    </row>
    <row r="1358" spans="1:21" ht="20" customHeight="1" x14ac:dyDescent="0.15">
      <c r="A1358" s="284" t="s">
        <v>7254</v>
      </c>
      <c r="B1358" s="157"/>
      <c r="C1358" s="157"/>
      <c r="D1358" s="157"/>
      <c r="E1358" s="157"/>
      <c r="F1358" s="157"/>
      <c r="G1358" s="3"/>
      <c r="H1358" s="156"/>
      <c r="I1358" s="156"/>
      <c r="J1358" s="156"/>
      <c r="K1358" s="165"/>
      <c r="L1358" s="165"/>
      <c r="M1358" s="1"/>
      <c r="N1358" s="164"/>
      <c r="O1358" s="1"/>
      <c r="P1358" s="153"/>
      <c r="Q1358" s="39"/>
      <c r="R1358" s="39"/>
      <c r="S1358" s="39"/>
      <c r="T1358" s="154"/>
      <c r="U1358" s="40"/>
    </row>
    <row r="1359" spans="1:21" ht="20" customHeight="1" x14ac:dyDescent="0.15">
      <c r="A1359" s="284" t="s">
        <v>7255</v>
      </c>
      <c r="B1359" s="157"/>
      <c r="C1359" s="157"/>
      <c r="D1359" s="157"/>
      <c r="E1359" s="157"/>
      <c r="F1359" s="157"/>
      <c r="G1359" s="3"/>
      <c r="H1359" s="156"/>
      <c r="I1359" s="156"/>
      <c r="J1359" s="156"/>
      <c r="K1359" s="165"/>
      <c r="L1359" s="165"/>
      <c r="M1359" s="1"/>
      <c r="N1359" s="164"/>
      <c r="O1359" s="1"/>
      <c r="P1359" s="153"/>
      <c r="Q1359" s="39"/>
      <c r="R1359" s="39"/>
      <c r="S1359" s="39"/>
      <c r="T1359" s="154"/>
      <c r="U1359" s="40"/>
    </row>
    <row r="1360" spans="1:21" ht="20" customHeight="1" x14ac:dyDescent="0.15">
      <c r="A1360" s="284" t="s">
        <v>7256</v>
      </c>
      <c r="B1360" s="157"/>
      <c r="C1360" s="157"/>
      <c r="D1360" s="157"/>
      <c r="E1360" s="157"/>
      <c r="F1360" s="157"/>
      <c r="G1360" s="3"/>
      <c r="H1360" s="156"/>
      <c r="I1360" s="156"/>
      <c r="J1360" s="156"/>
      <c r="K1360" s="165"/>
      <c r="L1360" s="165"/>
      <c r="M1360" s="1"/>
      <c r="N1360" s="164"/>
      <c r="O1360" s="1"/>
      <c r="P1360" s="153"/>
      <c r="Q1360" s="39"/>
      <c r="R1360" s="39"/>
      <c r="S1360" s="39"/>
      <c r="T1360" s="154"/>
      <c r="U1360" s="40"/>
    </row>
    <row r="1361" spans="1:21" ht="20" customHeight="1" x14ac:dyDescent="0.15">
      <c r="A1361" s="284" t="s">
        <v>7257</v>
      </c>
      <c r="B1361" s="157"/>
      <c r="C1361" s="157"/>
      <c r="D1361" s="157"/>
      <c r="E1361" s="157"/>
      <c r="F1361" s="157"/>
      <c r="G1361" s="3"/>
      <c r="H1361" s="156"/>
      <c r="I1361" s="156"/>
      <c r="J1361" s="156"/>
      <c r="K1361" s="165"/>
      <c r="L1361" s="165"/>
      <c r="M1361" s="1"/>
      <c r="N1361" s="164"/>
      <c r="O1361" s="1"/>
      <c r="P1361" s="153"/>
      <c r="Q1361" s="39"/>
      <c r="R1361" s="39"/>
      <c r="S1361" s="39"/>
      <c r="T1361" s="154"/>
      <c r="U1361" s="40"/>
    </row>
    <row r="1362" spans="1:21" ht="20" customHeight="1" x14ac:dyDescent="0.15">
      <c r="A1362" s="284" t="s">
        <v>7258</v>
      </c>
      <c r="B1362" s="157"/>
      <c r="C1362" s="157"/>
      <c r="D1362" s="157"/>
      <c r="E1362" s="157"/>
      <c r="F1362" s="157"/>
      <c r="G1362" s="3"/>
      <c r="H1362" s="156"/>
      <c r="I1362" s="156"/>
      <c r="J1362" s="156"/>
      <c r="K1362" s="165"/>
      <c r="L1362" s="165"/>
      <c r="M1362" s="1"/>
      <c r="N1362" s="164"/>
      <c r="O1362" s="1"/>
      <c r="P1362" s="153"/>
      <c r="Q1362" s="39"/>
      <c r="R1362" s="39"/>
      <c r="S1362" s="39"/>
      <c r="T1362" s="154"/>
      <c r="U1362" s="40"/>
    </row>
    <row r="1363" spans="1:21" ht="20" customHeight="1" x14ac:dyDescent="0.15">
      <c r="A1363" s="284" t="s">
        <v>7259</v>
      </c>
      <c r="B1363" s="157"/>
      <c r="C1363" s="157"/>
      <c r="D1363" s="157"/>
      <c r="E1363" s="157"/>
      <c r="F1363" s="157"/>
      <c r="G1363" s="3"/>
      <c r="H1363" s="156"/>
      <c r="I1363" s="156"/>
      <c r="J1363" s="156"/>
      <c r="K1363" s="165"/>
      <c r="L1363" s="165"/>
      <c r="M1363" s="1"/>
      <c r="N1363" s="164"/>
      <c r="O1363" s="1"/>
      <c r="P1363" s="153"/>
      <c r="Q1363" s="39"/>
      <c r="R1363" s="39"/>
      <c r="S1363" s="39"/>
      <c r="T1363" s="154"/>
      <c r="U1363" s="40"/>
    </row>
    <row r="1364" spans="1:21" ht="20" customHeight="1" x14ac:dyDescent="0.15">
      <c r="A1364" s="284" t="s">
        <v>7260</v>
      </c>
      <c r="B1364" s="157"/>
      <c r="C1364" s="157"/>
      <c r="D1364" s="157"/>
      <c r="E1364" s="157"/>
      <c r="F1364" s="157"/>
      <c r="G1364" s="3"/>
      <c r="H1364" s="156"/>
      <c r="I1364" s="156"/>
      <c r="J1364" s="156"/>
      <c r="K1364" s="165"/>
      <c r="L1364" s="165"/>
      <c r="M1364" s="1"/>
      <c r="N1364" s="164"/>
      <c r="O1364" s="1"/>
      <c r="P1364" s="153"/>
      <c r="Q1364" s="39"/>
      <c r="R1364" s="39"/>
      <c r="S1364" s="39"/>
      <c r="T1364" s="154"/>
      <c r="U1364" s="40"/>
    </row>
    <row r="1365" spans="1:21" ht="20" customHeight="1" x14ac:dyDescent="0.15">
      <c r="A1365" s="284" t="s">
        <v>7261</v>
      </c>
      <c r="B1365" s="157"/>
      <c r="C1365" s="157"/>
      <c r="D1365" s="157"/>
      <c r="E1365" s="157"/>
      <c r="F1365" s="157"/>
      <c r="G1365" s="3"/>
      <c r="H1365" s="156"/>
      <c r="I1365" s="156"/>
      <c r="J1365" s="156"/>
      <c r="K1365" s="165"/>
      <c r="L1365" s="165"/>
      <c r="M1365" s="1"/>
      <c r="N1365" s="164"/>
      <c r="O1365" s="1"/>
      <c r="P1365" s="153"/>
      <c r="Q1365" s="39"/>
      <c r="R1365" s="39"/>
      <c r="S1365" s="39"/>
      <c r="T1365" s="154"/>
      <c r="U1365" s="40"/>
    </row>
    <row r="1366" spans="1:21" ht="20" customHeight="1" x14ac:dyDescent="0.15">
      <c r="A1366" s="284" t="s">
        <v>7262</v>
      </c>
      <c r="B1366" s="157"/>
      <c r="C1366" s="157"/>
      <c r="D1366" s="157"/>
      <c r="E1366" s="157"/>
      <c r="F1366" s="157"/>
      <c r="G1366" s="3"/>
      <c r="H1366" s="156"/>
      <c r="I1366" s="156"/>
      <c r="J1366" s="156"/>
      <c r="K1366" s="165"/>
      <c r="L1366" s="165"/>
      <c r="M1366" s="1"/>
      <c r="N1366" s="164"/>
      <c r="O1366" s="1"/>
      <c r="P1366" s="153"/>
      <c r="Q1366" s="39"/>
      <c r="R1366" s="39"/>
      <c r="S1366" s="39"/>
      <c r="T1366" s="154"/>
      <c r="U1366" s="40"/>
    </row>
    <row r="1367" spans="1:21" ht="20" customHeight="1" x14ac:dyDescent="0.15">
      <c r="A1367" s="284" t="s">
        <v>7263</v>
      </c>
      <c r="B1367" s="157"/>
      <c r="C1367" s="157"/>
      <c r="D1367" s="157"/>
      <c r="E1367" s="157"/>
      <c r="F1367" s="157"/>
      <c r="G1367" s="3"/>
      <c r="H1367" s="156"/>
      <c r="I1367" s="156"/>
      <c r="J1367" s="156"/>
      <c r="K1367" s="165"/>
      <c r="L1367" s="165"/>
      <c r="M1367" s="1"/>
      <c r="N1367" s="164"/>
      <c r="O1367" s="1"/>
      <c r="P1367" s="153"/>
      <c r="Q1367" s="39"/>
      <c r="R1367" s="39"/>
      <c r="S1367" s="39"/>
      <c r="T1367" s="154"/>
      <c r="U1367" s="40"/>
    </row>
    <row r="1368" spans="1:21" ht="20" customHeight="1" x14ac:dyDescent="0.15">
      <c r="A1368" s="284" t="s">
        <v>7264</v>
      </c>
      <c r="B1368" s="157"/>
      <c r="C1368" s="157"/>
      <c r="D1368" s="157"/>
      <c r="E1368" s="157"/>
      <c r="F1368" s="157"/>
      <c r="G1368" s="3"/>
      <c r="H1368" s="156"/>
      <c r="I1368" s="156"/>
      <c r="J1368" s="156"/>
      <c r="K1368" s="165"/>
      <c r="L1368" s="165"/>
      <c r="M1368" s="1"/>
      <c r="N1368" s="164"/>
      <c r="O1368" s="1"/>
      <c r="P1368" s="153"/>
      <c r="Q1368" s="39"/>
      <c r="R1368" s="39"/>
      <c r="S1368" s="39"/>
      <c r="T1368" s="154"/>
      <c r="U1368" s="40"/>
    </row>
    <row r="1369" spans="1:21" ht="20" customHeight="1" x14ac:dyDescent="0.15">
      <c r="A1369" s="284" t="s">
        <v>7265</v>
      </c>
      <c r="B1369" s="157"/>
      <c r="C1369" s="157"/>
      <c r="D1369" s="157"/>
      <c r="E1369" s="157"/>
      <c r="F1369" s="157"/>
      <c r="G1369" s="3"/>
      <c r="H1369" s="156"/>
      <c r="I1369" s="156"/>
      <c r="J1369" s="156"/>
      <c r="K1369" s="165"/>
      <c r="L1369" s="165"/>
      <c r="M1369" s="1"/>
      <c r="N1369" s="164"/>
      <c r="O1369" s="1"/>
      <c r="P1369" s="153"/>
      <c r="Q1369" s="39"/>
      <c r="R1369" s="39"/>
      <c r="S1369" s="39"/>
      <c r="T1369" s="154"/>
      <c r="U1369" s="40"/>
    </row>
    <row r="1370" spans="1:21" ht="20" customHeight="1" x14ac:dyDescent="0.15">
      <c r="A1370" s="284" t="s">
        <v>7266</v>
      </c>
      <c r="B1370" s="157"/>
      <c r="C1370" s="157"/>
      <c r="D1370" s="157"/>
      <c r="E1370" s="157"/>
      <c r="F1370" s="157"/>
      <c r="G1370" s="3"/>
      <c r="H1370" s="156"/>
      <c r="I1370" s="156"/>
      <c r="J1370" s="156"/>
      <c r="K1370" s="165"/>
      <c r="L1370" s="165"/>
      <c r="M1370" s="1"/>
      <c r="N1370" s="164"/>
      <c r="O1370" s="1"/>
      <c r="P1370" s="153"/>
      <c r="Q1370" s="39"/>
      <c r="R1370" s="39"/>
      <c r="S1370" s="39"/>
      <c r="T1370" s="154"/>
      <c r="U1370" s="40"/>
    </row>
    <row r="1371" spans="1:21" ht="20" customHeight="1" x14ac:dyDescent="0.15">
      <c r="A1371" s="284" t="s">
        <v>7267</v>
      </c>
      <c r="B1371" s="157"/>
      <c r="C1371" s="157"/>
      <c r="D1371" s="157"/>
      <c r="E1371" s="157"/>
      <c r="F1371" s="157"/>
      <c r="G1371" s="3"/>
      <c r="H1371" s="156"/>
      <c r="I1371" s="156"/>
      <c r="J1371" s="156"/>
      <c r="K1371" s="165"/>
      <c r="L1371" s="165"/>
      <c r="M1371" s="1"/>
      <c r="N1371" s="164"/>
      <c r="O1371" s="1"/>
      <c r="P1371" s="153"/>
      <c r="Q1371" s="39"/>
      <c r="R1371" s="39"/>
      <c r="S1371" s="39"/>
      <c r="T1371" s="154"/>
      <c r="U1371" s="40"/>
    </row>
    <row r="1372" spans="1:21" ht="20" customHeight="1" x14ac:dyDescent="0.15">
      <c r="A1372" s="284" t="s">
        <v>7268</v>
      </c>
      <c r="B1372" s="157"/>
      <c r="C1372" s="157"/>
      <c r="D1372" s="157"/>
      <c r="E1372" s="157"/>
      <c r="F1372" s="157"/>
      <c r="G1372" s="3"/>
      <c r="H1372" s="156"/>
      <c r="I1372" s="156"/>
      <c r="J1372" s="156"/>
      <c r="K1372" s="165"/>
      <c r="L1372" s="165"/>
      <c r="M1372" s="1"/>
      <c r="N1372" s="164"/>
      <c r="O1372" s="1"/>
      <c r="P1372" s="153"/>
      <c r="Q1372" s="39"/>
      <c r="R1372" s="39"/>
      <c r="S1372" s="39"/>
      <c r="T1372" s="154"/>
      <c r="U1372" s="40"/>
    </row>
    <row r="1373" spans="1:21" ht="20" customHeight="1" x14ac:dyDescent="0.15">
      <c r="A1373" s="284" t="s">
        <v>7269</v>
      </c>
      <c r="B1373" s="157"/>
      <c r="C1373" s="157"/>
      <c r="D1373" s="157"/>
      <c r="E1373" s="157"/>
      <c r="F1373" s="157"/>
      <c r="G1373" s="3"/>
      <c r="H1373" s="156"/>
      <c r="I1373" s="156"/>
      <c r="J1373" s="156"/>
      <c r="K1373" s="165"/>
      <c r="L1373" s="165"/>
      <c r="M1373" s="1"/>
      <c r="N1373" s="164"/>
      <c r="O1373" s="1"/>
      <c r="P1373" s="153"/>
      <c r="Q1373" s="39"/>
      <c r="R1373" s="39"/>
      <c r="S1373" s="39"/>
      <c r="T1373" s="154"/>
      <c r="U1373" s="40"/>
    </row>
    <row r="1374" spans="1:21" ht="20" customHeight="1" x14ac:dyDescent="0.15">
      <c r="A1374" s="284" t="s">
        <v>7270</v>
      </c>
      <c r="B1374" s="157"/>
      <c r="C1374" s="157"/>
      <c r="D1374" s="157"/>
      <c r="E1374" s="157"/>
      <c r="F1374" s="157"/>
      <c r="G1374" s="3"/>
      <c r="H1374" s="156"/>
      <c r="I1374" s="156"/>
      <c r="J1374" s="156"/>
      <c r="K1374" s="165"/>
      <c r="L1374" s="165"/>
      <c r="M1374" s="1"/>
      <c r="N1374" s="164"/>
      <c r="O1374" s="1"/>
      <c r="P1374" s="153"/>
      <c r="Q1374" s="39"/>
      <c r="R1374" s="39"/>
      <c r="S1374" s="39"/>
      <c r="T1374" s="154"/>
      <c r="U1374" s="40"/>
    </row>
    <row r="1375" spans="1:21" ht="20" customHeight="1" x14ac:dyDescent="0.15">
      <c r="A1375" s="284" t="s">
        <v>7271</v>
      </c>
      <c r="B1375" s="157"/>
      <c r="C1375" s="157"/>
      <c r="D1375" s="157"/>
      <c r="E1375" s="157"/>
      <c r="F1375" s="157"/>
      <c r="G1375" s="3"/>
      <c r="H1375" s="156"/>
      <c r="I1375" s="156"/>
      <c r="J1375" s="156"/>
      <c r="K1375" s="165"/>
      <c r="L1375" s="165"/>
      <c r="M1375" s="1"/>
      <c r="N1375" s="164"/>
      <c r="O1375" s="1"/>
      <c r="P1375" s="153"/>
      <c r="Q1375" s="39"/>
      <c r="R1375" s="39"/>
      <c r="S1375" s="39"/>
      <c r="T1375" s="154"/>
      <c r="U1375" s="40"/>
    </row>
    <row r="1376" spans="1:21" ht="20" customHeight="1" x14ac:dyDescent="0.15">
      <c r="A1376" s="284" t="s">
        <v>7272</v>
      </c>
      <c r="B1376" s="157"/>
      <c r="C1376" s="157"/>
      <c r="D1376" s="157"/>
      <c r="E1376" s="157"/>
      <c r="F1376" s="157"/>
      <c r="G1376" s="3"/>
      <c r="H1376" s="156"/>
      <c r="I1376" s="156"/>
      <c r="J1376" s="156"/>
      <c r="K1376" s="165"/>
      <c r="L1376" s="165"/>
      <c r="M1376" s="1"/>
      <c r="N1376" s="164"/>
      <c r="O1376" s="1"/>
      <c r="P1376" s="153"/>
      <c r="Q1376" s="39"/>
      <c r="R1376" s="39"/>
      <c r="S1376" s="39"/>
      <c r="T1376" s="154"/>
      <c r="U1376" s="40"/>
    </row>
    <row r="1377" spans="1:21" ht="20" customHeight="1" x14ac:dyDescent="0.15">
      <c r="A1377" s="284" t="s">
        <v>7273</v>
      </c>
      <c r="B1377" s="157"/>
      <c r="C1377" s="157"/>
      <c r="D1377" s="157"/>
      <c r="E1377" s="157"/>
      <c r="F1377" s="157"/>
      <c r="G1377" s="3"/>
      <c r="H1377" s="156"/>
      <c r="I1377" s="156"/>
      <c r="J1377" s="156"/>
      <c r="K1377" s="165"/>
      <c r="L1377" s="165"/>
      <c r="M1377" s="1"/>
      <c r="N1377" s="164"/>
      <c r="O1377" s="1"/>
      <c r="P1377" s="153"/>
      <c r="Q1377" s="39"/>
      <c r="R1377" s="39"/>
      <c r="S1377" s="39"/>
      <c r="T1377" s="154"/>
      <c r="U1377" s="40"/>
    </row>
    <row r="1378" spans="1:21" ht="20" customHeight="1" x14ac:dyDescent="0.15">
      <c r="A1378" s="284" t="s">
        <v>7274</v>
      </c>
      <c r="B1378" s="157"/>
      <c r="C1378" s="157"/>
      <c r="D1378" s="157"/>
      <c r="E1378" s="157"/>
      <c r="F1378" s="157"/>
      <c r="G1378" s="3"/>
      <c r="H1378" s="156"/>
      <c r="I1378" s="156"/>
      <c r="J1378" s="156"/>
      <c r="K1378" s="165"/>
      <c r="L1378" s="165"/>
      <c r="M1378" s="1"/>
      <c r="N1378" s="164"/>
      <c r="O1378" s="1"/>
      <c r="P1378" s="153"/>
      <c r="Q1378" s="39"/>
      <c r="R1378" s="39"/>
      <c r="S1378" s="39"/>
      <c r="T1378" s="154"/>
      <c r="U1378" s="40"/>
    </row>
    <row r="1379" spans="1:21" ht="20" customHeight="1" x14ac:dyDescent="0.15">
      <c r="A1379" s="284" t="s">
        <v>7275</v>
      </c>
      <c r="B1379" s="157"/>
      <c r="C1379" s="157"/>
      <c r="D1379" s="157"/>
      <c r="E1379" s="157"/>
      <c r="F1379" s="157"/>
      <c r="G1379" s="3"/>
      <c r="H1379" s="156"/>
      <c r="I1379" s="156"/>
      <c r="J1379" s="156"/>
      <c r="K1379" s="165"/>
      <c r="L1379" s="165"/>
      <c r="M1379" s="1"/>
      <c r="N1379" s="164"/>
      <c r="O1379" s="1"/>
      <c r="P1379" s="153"/>
      <c r="Q1379" s="39"/>
      <c r="R1379" s="39"/>
      <c r="S1379" s="39"/>
      <c r="T1379" s="154"/>
      <c r="U1379" s="40"/>
    </row>
    <row r="1380" spans="1:21" ht="20" customHeight="1" x14ac:dyDescent="0.15">
      <c r="A1380" s="284" t="s">
        <v>7276</v>
      </c>
      <c r="B1380" s="157"/>
      <c r="C1380" s="157"/>
      <c r="D1380" s="157"/>
      <c r="E1380" s="157"/>
      <c r="F1380" s="157"/>
      <c r="G1380" s="3"/>
      <c r="H1380" s="156"/>
      <c r="I1380" s="156"/>
      <c r="J1380" s="156"/>
      <c r="K1380" s="165"/>
      <c r="L1380" s="165"/>
      <c r="M1380" s="1"/>
      <c r="N1380" s="164"/>
      <c r="O1380" s="1"/>
      <c r="P1380" s="153"/>
      <c r="Q1380" s="39"/>
      <c r="R1380" s="39"/>
      <c r="S1380" s="39"/>
      <c r="T1380" s="154"/>
      <c r="U1380" s="40"/>
    </row>
    <row r="1381" spans="1:21" ht="20" customHeight="1" x14ac:dyDescent="0.15">
      <c r="A1381" s="284" t="s">
        <v>7277</v>
      </c>
      <c r="B1381" s="157"/>
      <c r="C1381" s="157"/>
      <c r="D1381" s="157"/>
      <c r="E1381" s="157"/>
      <c r="F1381" s="157"/>
      <c r="G1381" s="3"/>
      <c r="H1381" s="156"/>
      <c r="I1381" s="156"/>
      <c r="J1381" s="156"/>
      <c r="K1381" s="165"/>
      <c r="L1381" s="165"/>
      <c r="M1381" s="1"/>
      <c r="N1381" s="164"/>
      <c r="O1381" s="1"/>
      <c r="P1381" s="153"/>
      <c r="Q1381" s="39"/>
      <c r="R1381" s="39"/>
      <c r="S1381" s="39"/>
      <c r="T1381" s="154"/>
      <c r="U1381" s="40"/>
    </row>
    <row r="1382" spans="1:21" ht="20" customHeight="1" x14ac:dyDescent="0.15">
      <c r="A1382" s="284" t="s">
        <v>7278</v>
      </c>
      <c r="B1382" s="157"/>
      <c r="C1382" s="157"/>
      <c r="D1382" s="157"/>
      <c r="E1382" s="157"/>
      <c r="F1382" s="157"/>
      <c r="G1382" s="3"/>
      <c r="H1382" s="156"/>
      <c r="I1382" s="156"/>
      <c r="J1382" s="156"/>
      <c r="K1382" s="165"/>
      <c r="L1382" s="165"/>
      <c r="M1382" s="1"/>
      <c r="N1382" s="164"/>
      <c r="O1382" s="1"/>
      <c r="P1382" s="153"/>
      <c r="Q1382" s="39"/>
      <c r="R1382" s="39"/>
      <c r="S1382" s="39"/>
      <c r="T1382" s="154"/>
      <c r="U1382" s="40"/>
    </row>
    <row r="1383" spans="1:21" ht="20" customHeight="1" x14ac:dyDescent="0.15">
      <c r="A1383" s="284" t="s">
        <v>7279</v>
      </c>
      <c r="B1383" s="157"/>
      <c r="C1383" s="157"/>
      <c r="D1383" s="157"/>
      <c r="E1383" s="157"/>
      <c r="F1383" s="157"/>
      <c r="G1383" s="3"/>
      <c r="H1383" s="156"/>
      <c r="I1383" s="156"/>
      <c r="J1383" s="156"/>
      <c r="K1383" s="165"/>
      <c r="L1383" s="165"/>
      <c r="M1383" s="1"/>
      <c r="N1383" s="164"/>
      <c r="O1383" s="1"/>
      <c r="P1383" s="153"/>
      <c r="Q1383" s="39"/>
      <c r="R1383" s="39"/>
      <c r="S1383" s="39"/>
      <c r="T1383" s="154"/>
      <c r="U1383" s="40"/>
    </row>
    <row r="1384" spans="1:21" ht="20" customHeight="1" x14ac:dyDescent="0.15">
      <c r="A1384" s="284" t="s">
        <v>7280</v>
      </c>
      <c r="B1384" s="157"/>
      <c r="C1384" s="157"/>
      <c r="D1384" s="157"/>
      <c r="E1384" s="157"/>
      <c r="F1384" s="157"/>
      <c r="G1384" s="3"/>
      <c r="H1384" s="156"/>
      <c r="I1384" s="156"/>
      <c r="J1384" s="156"/>
      <c r="K1384" s="165"/>
      <c r="L1384" s="165"/>
      <c r="M1384" s="1"/>
      <c r="N1384" s="164"/>
      <c r="O1384" s="1"/>
      <c r="P1384" s="153"/>
      <c r="Q1384" s="39"/>
      <c r="R1384" s="39"/>
      <c r="S1384" s="39"/>
      <c r="T1384" s="154"/>
      <c r="U1384" s="40"/>
    </row>
    <row r="1385" spans="1:21" ht="20" customHeight="1" x14ac:dyDescent="0.15">
      <c r="A1385" s="284" t="s">
        <v>7281</v>
      </c>
      <c r="B1385" s="157"/>
      <c r="C1385" s="157"/>
      <c r="D1385" s="157"/>
      <c r="E1385" s="157"/>
      <c r="F1385" s="157"/>
      <c r="G1385" s="3"/>
      <c r="H1385" s="156"/>
      <c r="I1385" s="156"/>
      <c r="J1385" s="156"/>
      <c r="K1385" s="165"/>
      <c r="L1385" s="165"/>
      <c r="M1385" s="1"/>
      <c r="N1385" s="164"/>
      <c r="O1385" s="1"/>
      <c r="P1385" s="153"/>
      <c r="Q1385" s="39"/>
      <c r="R1385" s="39"/>
      <c r="S1385" s="39"/>
      <c r="T1385" s="154"/>
      <c r="U1385" s="40"/>
    </row>
    <row r="1386" spans="1:21" ht="20" customHeight="1" x14ac:dyDescent="0.15">
      <c r="A1386" s="284" t="s">
        <v>7282</v>
      </c>
      <c r="B1386" s="157"/>
      <c r="C1386" s="157"/>
      <c r="D1386" s="157"/>
      <c r="E1386" s="157"/>
      <c r="F1386" s="157"/>
      <c r="G1386" s="3"/>
      <c r="H1386" s="156"/>
      <c r="I1386" s="156"/>
      <c r="J1386" s="156"/>
      <c r="K1386" s="165"/>
      <c r="L1386" s="165"/>
      <c r="M1386" s="1"/>
      <c r="N1386" s="164"/>
      <c r="O1386" s="1"/>
      <c r="P1386" s="153"/>
      <c r="Q1386" s="39"/>
      <c r="R1386" s="39"/>
      <c r="S1386" s="39"/>
      <c r="T1386" s="154"/>
      <c r="U1386" s="40"/>
    </row>
    <row r="1387" spans="1:21" ht="20" customHeight="1" x14ac:dyDescent="0.15">
      <c r="A1387" s="284" t="s">
        <v>7283</v>
      </c>
      <c r="B1387" s="157"/>
      <c r="C1387" s="157"/>
      <c r="D1387" s="157"/>
      <c r="E1387" s="157"/>
      <c r="F1387" s="157"/>
      <c r="G1387" s="3"/>
      <c r="H1387" s="156"/>
      <c r="I1387" s="156"/>
      <c r="J1387" s="156"/>
      <c r="K1387" s="165"/>
      <c r="L1387" s="165"/>
      <c r="M1387" s="1"/>
      <c r="N1387" s="164"/>
      <c r="O1387" s="1"/>
      <c r="P1387" s="153"/>
      <c r="Q1387" s="39"/>
      <c r="R1387" s="39"/>
      <c r="S1387" s="39"/>
      <c r="T1387" s="154"/>
      <c r="U1387" s="40"/>
    </row>
    <row r="1388" spans="1:21" ht="20" customHeight="1" x14ac:dyDescent="0.15">
      <c r="A1388" s="284" t="s">
        <v>7284</v>
      </c>
      <c r="B1388" s="157"/>
      <c r="C1388" s="157"/>
      <c r="D1388" s="157"/>
      <c r="E1388" s="157"/>
      <c r="F1388" s="157"/>
      <c r="G1388" s="3"/>
      <c r="H1388" s="156"/>
      <c r="I1388" s="156"/>
      <c r="J1388" s="156"/>
      <c r="K1388" s="165"/>
      <c r="L1388" s="165"/>
      <c r="M1388" s="1"/>
      <c r="N1388" s="164"/>
      <c r="O1388" s="1"/>
      <c r="P1388" s="153"/>
      <c r="Q1388" s="39"/>
      <c r="R1388" s="39"/>
      <c r="S1388" s="39"/>
      <c r="T1388" s="154"/>
      <c r="U1388" s="40"/>
    </row>
    <row r="1389" spans="1:21" ht="20" customHeight="1" x14ac:dyDescent="0.15">
      <c r="A1389" s="284" t="s">
        <v>7285</v>
      </c>
      <c r="B1389" s="157"/>
      <c r="C1389" s="157"/>
      <c r="D1389" s="157"/>
      <c r="E1389" s="157"/>
      <c r="F1389" s="157"/>
      <c r="G1389" s="3"/>
      <c r="H1389" s="156"/>
      <c r="I1389" s="156"/>
      <c r="J1389" s="156"/>
      <c r="K1389" s="165"/>
      <c r="L1389" s="165"/>
      <c r="M1389" s="1"/>
      <c r="N1389" s="164"/>
      <c r="O1389" s="1"/>
      <c r="P1389" s="153"/>
      <c r="Q1389" s="39"/>
      <c r="R1389" s="39"/>
      <c r="S1389" s="39"/>
      <c r="T1389" s="154"/>
      <c r="U1389" s="40"/>
    </row>
    <row r="1390" spans="1:21" ht="20" customHeight="1" x14ac:dyDescent="0.15">
      <c r="A1390" s="284" t="s">
        <v>7286</v>
      </c>
      <c r="B1390" s="157"/>
      <c r="C1390" s="157"/>
      <c r="D1390" s="157"/>
      <c r="E1390" s="157"/>
      <c r="F1390" s="157"/>
      <c r="G1390" s="3"/>
      <c r="H1390" s="156"/>
      <c r="I1390" s="156"/>
      <c r="J1390" s="156"/>
      <c r="K1390" s="165"/>
      <c r="L1390" s="165"/>
      <c r="M1390" s="1"/>
      <c r="N1390" s="164"/>
      <c r="O1390" s="1"/>
      <c r="P1390" s="153"/>
      <c r="Q1390" s="39"/>
      <c r="R1390" s="39"/>
      <c r="S1390" s="39"/>
      <c r="T1390" s="154"/>
      <c r="U1390" s="40"/>
    </row>
    <row r="1391" spans="1:21" ht="20" customHeight="1" x14ac:dyDescent="0.15">
      <c r="A1391" s="284" t="s">
        <v>7287</v>
      </c>
      <c r="B1391" s="157"/>
      <c r="C1391" s="157"/>
      <c r="D1391" s="157"/>
      <c r="E1391" s="157"/>
      <c r="F1391" s="157"/>
      <c r="G1391" s="3"/>
      <c r="H1391" s="156"/>
      <c r="I1391" s="156"/>
      <c r="J1391" s="156"/>
      <c r="K1391" s="165"/>
      <c r="L1391" s="165"/>
      <c r="M1391" s="1"/>
      <c r="N1391" s="164"/>
      <c r="O1391" s="1"/>
      <c r="P1391" s="153"/>
      <c r="Q1391" s="39"/>
      <c r="R1391" s="39"/>
      <c r="S1391" s="39"/>
      <c r="T1391" s="154"/>
      <c r="U1391" s="40"/>
    </row>
    <row r="1392" spans="1:21" ht="20" customHeight="1" x14ac:dyDescent="0.15">
      <c r="A1392" s="284" t="s">
        <v>7288</v>
      </c>
      <c r="B1392" s="157"/>
      <c r="C1392" s="157"/>
      <c r="D1392" s="157"/>
      <c r="E1392" s="157"/>
      <c r="F1392" s="157"/>
      <c r="G1392" s="3"/>
      <c r="H1392" s="156"/>
      <c r="I1392" s="156"/>
      <c r="J1392" s="156"/>
      <c r="K1392" s="165"/>
      <c r="L1392" s="165"/>
      <c r="M1392" s="1"/>
      <c r="N1392" s="164"/>
      <c r="O1392" s="1"/>
      <c r="P1392" s="153"/>
      <c r="Q1392" s="39"/>
      <c r="R1392" s="39"/>
      <c r="S1392" s="39"/>
      <c r="T1392" s="154"/>
      <c r="U1392" s="40"/>
    </row>
    <row r="1393" spans="1:21" ht="20" customHeight="1" x14ac:dyDescent="0.15">
      <c r="A1393" s="284" t="s">
        <v>7289</v>
      </c>
      <c r="B1393" s="157"/>
      <c r="C1393" s="157"/>
      <c r="D1393" s="157"/>
      <c r="E1393" s="157"/>
      <c r="F1393" s="157"/>
      <c r="G1393" s="3"/>
      <c r="H1393" s="156"/>
      <c r="I1393" s="156"/>
      <c r="J1393" s="156"/>
      <c r="K1393" s="165"/>
      <c r="L1393" s="165"/>
      <c r="M1393" s="1"/>
      <c r="N1393" s="164"/>
      <c r="O1393" s="1"/>
      <c r="P1393" s="153"/>
      <c r="Q1393" s="39"/>
      <c r="R1393" s="39"/>
      <c r="S1393" s="39"/>
      <c r="T1393" s="154"/>
      <c r="U1393" s="40"/>
    </row>
    <row r="1394" spans="1:21" ht="20" customHeight="1" x14ac:dyDescent="0.15">
      <c r="A1394" s="284" t="s">
        <v>7290</v>
      </c>
      <c r="B1394" s="157"/>
      <c r="C1394" s="157"/>
      <c r="D1394" s="157"/>
      <c r="E1394" s="157"/>
      <c r="F1394" s="157"/>
      <c r="G1394" s="3"/>
      <c r="H1394" s="156"/>
      <c r="I1394" s="156"/>
      <c r="J1394" s="156"/>
      <c r="K1394" s="165"/>
      <c r="L1394" s="165"/>
      <c r="M1394" s="1"/>
      <c r="N1394" s="164"/>
      <c r="O1394" s="1"/>
      <c r="P1394" s="153"/>
      <c r="Q1394" s="39"/>
      <c r="R1394" s="39"/>
      <c r="S1394" s="39"/>
      <c r="T1394" s="154"/>
      <c r="U1394" s="40"/>
    </row>
    <row r="1395" spans="1:21" ht="20" customHeight="1" x14ac:dyDescent="0.15">
      <c r="A1395" s="284" t="s">
        <v>7291</v>
      </c>
      <c r="B1395" s="157"/>
      <c r="C1395" s="157"/>
      <c r="D1395" s="157"/>
      <c r="E1395" s="157"/>
      <c r="F1395" s="157"/>
      <c r="G1395" s="3"/>
      <c r="H1395" s="156"/>
      <c r="I1395" s="156"/>
      <c r="J1395" s="156"/>
      <c r="K1395" s="165"/>
      <c r="L1395" s="165"/>
      <c r="M1395" s="1"/>
      <c r="N1395" s="164"/>
      <c r="O1395" s="1"/>
      <c r="P1395" s="153"/>
      <c r="Q1395" s="39"/>
      <c r="R1395" s="39"/>
      <c r="S1395" s="39"/>
      <c r="T1395" s="154"/>
      <c r="U1395" s="40"/>
    </row>
    <row r="1396" spans="1:21" ht="20" customHeight="1" x14ac:dyDescent="0.15">
      <c r="A1396" s="284" t="s">
        <v>7292</v>
      </c>
      <c r="B1396" s="157"/>
      <c r="C1396" s="157"/>
      <c r="D1396" s="157"/>
      <c r="E1396" s="157"/>
      <c r="F1396" s="157"/>
      <c r="G1396" s="3"/>
      <c r="H1396" s="156"/>
      <c r="I1396" s="156"/>
      <c r="J1396" s="156"/>
      <c r="K1396" s="165"/>
      <c r="L1396" s="165"/>
      <c r="M1396" s="1"/>
      <c r="N1396" s="164"/>
      <c r="O1396" s="1"/>
      <c r="P1396" s="153"/>
      <c r="Q1396" s="39"/>
      <c r="R1396" s="39"/>
      <c r="S1396" s="39"/>
      <c r="T1396" s="154"/>
      <c r="U1396" s="40"/>
    </row>
    <row r="1397" spans="1:21" ht="20" customHeight="1" x14ac:dyDescent="0.15">
      <c r="A1397" s="284" t="s">
        <v>7293</v>
      </c>
      <c r="B1397" s="157"/>
      <c r="C1397" s="157"/>
      <c r="D1397" s="157"/>
      <c r="E1397" s="157"/>
      <c r="F1397" s="157"/>
      <c r="G1397" s="3"/>
      <c r="H1397" s="156"/>
      <c r="I1397" s="156"/>
      <c r="J1397" s="156"/>
      <c r="K1397" s="165"/>
      <c r="L1397" s="165"/>
      <c r="M1397" s="1"/>
      <c r="N1397" s="164"/>
      <c r="O1397" s="1"/>
      <c r="P1397" s="153"/>
      <c r="Q1397" s="39"/>
      <c r="R1397" s="39"/>
      <c r="S1397" s="39"/>
      <c r="T1397" s="154"/>
      <c r="U1397" s="40"/>
    </row>
    <row r="1398" spans="1:21" ht="20" customHeight="1" x14ac:dyDescent="0.15">
      <c r="A1398" s="284" t="s">
        <v>7294</v>
      </c>
      <c r="B1398" s="157"/>
      <c r="C1398" s="157"/>
      <c r="D1398" s="157"/>
      <c r="E1398" s="157"/>
      <c r="F1398" s="157"/>
      <c r="G1398" s="3"/>
      <c r="H1398" s="156"/>
      <c r="I1398" s="156"/>
      <c r="J1398" s="156"/>
      <c r="K1398" s="165"/>
      <c r="L1398" s="165"/>
      <c r="M1398" s="1"/>
      <c r="N1398" s="164"/>
      <c r="O1398" s="1"/>
      <c r="P1398" s="153"/>
      <c r="Q1398" s="39"/>
      <c r="R1398" s="39"/>
      <c r="S1398" s="39"/>
      <c r="T1398" s="154"/>
      <c r="U1398" s="40"/>
    </row>
    <row r="1399" spans="1:21" ht="20" customHeight="1" x14ac:dyDescent="0.15">
      <c r="A1399" s="284" t="s">
        <v>7295</v>
      </c>
      <c r="B1399" s="157"/>
      <c r="C1399" s="157"/>
      <c r="D1399" s="157"/>
      <c r="E1399" s="157"/>
      <c r="F1399" s="157"/>
      <c r="G1399" s="3"/>
      <c r="H1399" s="156"/>
      <c r="I1399" s="156"/>
      <c r="J1399" s="156"/>
      <c r="K1399" s="165"/>
      <c r="L1399" s="165"/>
      <c r="M1399" s="1"/>
      <c r="N1399" s="164"/>
      <c r="O1399" s="1"/>
      <c r="P1399" s="153"/>
      <c r="Q1399" s="39"/>
      <c r="R1399" s="39"/>
      <c r="S1399" s="39"/>
      <c r="T1399" s="154"/>
      <c r="U1399" s="40"/>
    </row>
    <row r="1400" spans="1:21" ht="20" customHeight="1" x14ac:dyDescent="0.15">
      <c r="A1400" s="284" t="s">
        <v>7296</v>
      </c>
      <c r="B1400" s="157"/>
      <c r="C1400" s="157"/>
      <c r="D1400" s="157"/>
      <c r="E1400" s="157"/>
      <c r="F1400" s="157"/>
      <c r="G1400" s="3"/>
      <c r="H1400" s="156"/>
      <c r="I1400" s="156"/>
      <c r="J1400" s="156"/>
      <c r="K1400" s="165"/>
      <c r="L1400" s="165"/>
      <c r="M1400" s="1"/>
      <c r="N1400" s="164"/>
      <c r="O1400" s="1"/>
      <c r="P1400" s="153"/>
      <c r="Q1400" s="39"/>
      <c r="R1400" s="39"/>
      <c r="S1400" s="39"/>
      <c r="T1400" s="154"/>
      <c r="U1400" s="40"/>
    </row>
    <row r="1401" spans="1:21" ht="20" customHeight="1" x14ac:dyDescent="0.15">
      <c r="A1401" s="284" t="s">
        <v>7297</v>
      </c>
      <c r="B1401" s="157"/>
      <c r="C1401" s="157"/>
      <c r="D1401" s="157"/>
      <c r="E1401" s="157"/>
      <c r="F1401" s="157"/>
      <c r="G1401" s="3"/>
      <c r="H1401" s="156"/>
      <c r="I1401" s="156"/>
      <c r="J1401" s="156"/>
      <c r="K1401" s="165"/>
      <c r="L1401" s="165"/>
      <c r="M1401" s="1"/>
      <c r="N1401" s="164"/>
      <c r="O1401" s="1"/>
      <c r="P1401" s="153"/>
      <c r="Q1401" s="39"/>
      <c r="R1401" s="39"/>
      <c r="S1401" s="39"/>
      <c r="T1401" s="154"/>
      <c r="U1401" s="40"/>
    </row>
    <row r="1402" spans="1:21" ht="20" customHeight="1" x14ac:dyDescent="0.15">
      <c r="A1402" s="284" t="s">
        <v>7298</v>
      </c>
      <c r="B1402" s="157"/>
      <c r="C1402" s="157"/>
      <c r="D1402" s="157"/>
      <c r="E1402" s="157"/>
      <c r="F1402" s="157"/>
      <c r="G1402" s="3"/>
      <c r="H1402" s="156"/>
      <c r="I1402" s="156"/>
      <c r="J1402" s="156"/>
      <c r="K1402" s="165"/>
      <c r="L1402" s="165"/>
      <c r="M1402" s="1"/>
      <c r="N1402" s="164"/>
      <c r="O1402" s="1"/>
      <c r="P1402" s="153"/>
      <c r="Q1402" s="39"/>
      <c r="R1402" s="39"/>
      <c r="S1402" s="39"/>
      <c r="T1402" s="154"/>
      <c r="U1402" s="40"/>
    </row>
    <row r="1403" spans="1:21" ht="20" customHeight="1" x14ac:dyDescent="0.15">
      <c r="A1403" s="284" t="s">
        <v>7299</v>
      </c>
      <c r="B1403" s="157"/>
      <c r="C1403" s="157"/>
      <c r="D1403" s="157"/>
      <c r="E1403" s="157"/>
      <c r="F1403" s="157"/>
      <c r="G1403" s="3"/>
      <c r="H1403" s="156"/>
      <c r="I1403" s="156"/>
      <c r="J1403" s="156"/>
      <c r="K1403" s="165"/>
      <c r="L1403" s="165"/>
      <c r="M1403" s="1"/>
      <c r="N1403" s="164"/>
      <c r="O1403" s="1"/>
      <c r="P1403" s="153"/>
      <c r="Q1403" s="39"/>
      <c r="R1403" s="39"/>
      <c r="S1403" s="39"/>
      <c r="T1403" s="154"/>
      <c r="U1403" s="40"/>
    </row>
    <row r="1404" spans="1:21" ht="20" customHeight="1" x14ac:dyDescent="0.15">
      <c r="A1404" s="284" t="s">
        <v>7300</v>
      </c>
      <c r="B1404" s="157"/>
      <c r="C1404" s="157"/>
      <c r="D1404" s="157"/>
      <c r="E1404" s="157"/>
      <c r="F1404" s="157"/>
      <c r="G1404" s="3"/>
      <c r="H1404" s="156"/>
      <c r="I1404" s="156"/>
      <c r="J1404" s="156"/>
      <c r="K1404" s="165"/>
      <c r="L1404" s="165"/>
      <c r="M1404" s="1"/>
      <c r="N1404" s="164"/>
      <c r="O1404" s="1"/>
      <c r="P1404" s="153"/>
      <c r="Q1404" s="39"/>
      <c r="R1404" s="39"/>
      <c r="S1404" s="39"/>
      <c r="T1404" s="154"/>
      <c r="U1404" s="40"/>
    </row>
    <row r="1405" spans="1:21" ht="20" customHeight="1" x14ac:dyDescent="0.15">
      <c r="A1405" s="284" t="s">
        <v>7301</v>
      </c>
      <c r="B1405" s="157"/>
      <c r="C1405" s="157"/>
      <c r="D1405" s="157"/>
      <c r="E1405" s="157"/>
      <c r="F1405" s="157"/>
      <c r="G1405" s="3"/>
      <c r="H1405" s="156"/>
      <c r="I1405" s="156"/>
      <c r="J1405" s="156"/>
      <c r="K1405" s="165"/>
      <c r="L1405" s="165"/>
      <c r="M1405" s="1"/>
      <c r="N1405" s="164"/>
      <c r="O1405" s="1"/>
      <c r="P1405" s="153"/>
      <c r="Q1405" s="39"/>
      <c r="R1405" s="39"/>
      <c r="S1405" s="39"/>
      <c r="T1405" s="154"/>
      <c r="U1405" s="40"/>
    </row>
    <row r="1406" spans="1:21" ht="20" customHeight="1" x14ac:dyDescent="0.15">
      <c r="A1406" s="284" t="s">
        <v>7302</v>
      </c>
      <c r="B1406" s="157"/>
      <c r="C1406" s="157"/>
      <c r="D1406" s="157"/>
      <c r="E1406" s="157"/>
      <c r="F1406" s="157"/>
      <c r="G1406" s="3"/>
      <c r="H1406" s="156"/>
      <c r="I1406" s="156"/>
      <c r="J1406" s="156"/>
      <c r="K1406" s="165"/>
      <c r="L1406" s="165"/>
      <c r="M1406" s="1"/>
      <c r="N1406" s="164"/>
      <c r="O1406" s="1"/>
      <c r="P1406" s="153"/>
      <c r="Q1406" s="39"/>
      <c r="R1406" s="39"/>
      <c r="S1406" s="39"/>
      <c r="T1406" s="154"/>
      <c r="U1406" s="40"/>
    </row>
    <row r="1407" spans="1:21" ht="20" customHeight="1" x14ac:dyDescent="0.15">
      <c r="A1407" s="284" t="s">
        <v>7303</v>
      </c>
      <c r="B1407" s="157"/>
      <c r="C1407" s="157"/>
      <c r="D1407" s="157"/>
      <c r="E1407" s="157"/>
      <c r="F1407" s="157"/>
      <c r="G1407" s="3"/>
      <c r="H1407" s="156"/>
      <c r="I1407" s="156"/>
      <c r="J1407" s="156"/>
      <c r="K1407" s="165"/>
      <c r="L1407" s="165"/>
      <c r="M1407" s="1"/>
      <c r="N1407" s="164"/>
      <c r="O1407" s="1"/>
      <c r="P1407" s="153"/>
      <c r="Q1407" s="39"/>
      <c r="R1407" s="39"/>
      <c r="S1407" s="39"/>
      <c r="T1407" s="154"/>
      <c r="U1407" s="40"/>
    </row>
    <row r="1408" spans="1:21" ht="20" customHeight="1" x14ac:dyDescent="0.15">
      <c r="A1408" s="284" t="s">
        <v>7304</v>
      </c>
      <c r="B1408" s="157"/>
      <c r="C1408" s="157"/>
      <c r="D1408" s="157"/>
      <c r="E1408" s="157"/>
      <c r="F1408" s="157"/>
      <c r="G1408" s="3"/>
      <c r="H1408" s="156"/>
      <c r="I1408" s="156"/>
      <c r="J1408" s="156"/>
      <c r="K1408" s="165"/>
      <c r="L1408" s="165"/>
      <c r="M1408" s="1"/>
      <c r="N1408" s="164"/>
      <c r="O1408" s="1"/>
      <c r="P1408" s="153"/>
      <c r="Q1408" s="39"/>
      <c r="R1408" s="39"/>
      <c r="S1408" s="39"/>
      <c r="T1408" s="154"/>
      <c r="U1408" s="40"/>
    </row>
    <row r="1409" spans="1:21" ht="20" customHeight="1" x14ac:dyDescent="0.15">
      <c r="A1409" s="284" t="s">
        <v>7305</v>
      </c>
      <c r="B1409" s="157"/>
      <c r="C1409" s="157"/>
      <c r="D1409" s="157"/>
      <c r="E1409" s="157"/>
      <c r="F1409" s="157"/>
      <c r="G1409" s="3"/>
      <c r="H1409" s="156"/>
      <c r="I1409" s="156"/>
      <c r="J1409" s="156"/>
      <c r="K1409" s="165"/>
      <c r="L1409" s="165"/>
      <c r="M1409" s="1"/>
      <c r="N1409" s="164"/>
      <c r="O1409" s="1"/>
      <c r="P1409" s="153"/>
      <c r="Q1409" s="39"/>
      <c r="R1409" s="39"/>
      <c r="S1409" s="39"/>
      <c r="T1409" s="154"/>
      <c r="U1409" s="40"/>
    </row>
    <row r="1410" spans="1:21" ht="20" customHeight="1" x14ac:dyDescent="0.15">
      <c r="A1410" s="284" t="s">
        <v>7306</v>
      </c>
      <c r="B1410" s="157"/>
      <c r="C1410" s="157"/>
      <c r="D1410" s="157"/>
      <c r="E1410" s="157"/>
      <c r="F1410" s="157"/>
      <c r="G1410" s="3"/>
      <c r="H1410" s="156"/>
      <c r="I1410" s="156"/>
      <c r="J1410" s="156"/>
      <c r="K1410" s="165"/>
      <c r="L1410" s="165"/>
      <c r="M1410" s="1"/>
      <c r="N1410" s="164"/>
      <c r="O1410" s="1"/>
      <c r="P1410" s="153"/>
      <c r="Q1410" s="39"/>
      <c r="R1410" s="39"/>
      <c r="S1410" s="39"/>
      <c r="T1410" s="154"/>
      <c r="U1410" s="40"/>
    </row>
    <row r="1411" spans="1:21" ht="20" customHeight="1" x14ac:dyDescent="0.15">
      <c r="A1411" s="284" t="s">
        <v>7307</v>
      </c>
      <c r="B1411" s="157"/>
      <c r="C1411" s="157"/>
      <c r="D1411" s="157"/>
      <c r="E1411" s="157"/>
      <c r="F1411" s="157"/>
      <c r="G1411" s="3"/>
      <c r="H1411" s="156"/>
      <c r="I1411" s="156"/>
      <c r="J1411" s="156"/>
      <c r="K1411" s="165"/>
      <c r="L1411" s="165"/>
      <c r="M1411" s="1"/>
      <c r="N1411" s="164"/>
      <c r="O1411" s="1"/>
      <c r="P1411" s="153"/>
      <c r="Q1411" s="39"/>
      <c r="R1411" s="39"/>
      <c r="S1411" s="39"/>
      <c r="T1411" s="154"/>
      <c r="U1411" s="40"/>
    </row>
    <row r="1412" spans="1:21" ht="20" customHeight="1" x14ac:dyDescent="0.15">
      <c r="A1412" s="284" t="s">
        <v>7308</v>
      </c>
      <c r="B1412" s="157"/>
      <c r="C1412" s="157"/>
      <c r="D1412" s="157"/>
      <c r="E1412" s="157"/>
      <c r="F1412" s="157"/>
      <c r="G1412" s="3"/>
      <c r="H1412" s="156"/>
      <c r="I1412" s="156"/>
      <c r="J1412" s="156"/>
      <c r="K1412" s="165"/>
      <c r="L1412" s="165"/>
      <c r="M1412" s="1"/>
      <c r="N1412" s="164"/>
      <c r="O1412" s="1"/>
      <c r="P1412" s="153"/>
      <c r="Q1412" s="39"/>
      <c r="R1412" s="39"/>
      <c r="S1412" s="39"/>
      <c r="T1412" s="154"/>
      <c r="U1412" s="40"/>
    </row>
    <row r="1413" spans="1:21" ht="20" customHeight="1" x14ac:dyDescent="0.15">
      <c r="A1413" s="284" t="s">
        <v>7309</v>
      </c>
      <c r="B1413" s="157"/>
      <c r="C1413" s="157"/>
      <c r="D1413" s="157"/>
      <c r="E1413" s="157"/>
      <c r="F1413" s="157"/>
      <c r="G1413" s="3"/>
      <c r="H1413" s="156"/>
      <c r="I1413" s="156"/>
      <c r="J1413" s="156"/>
      <c r="K1413" s="165"/>
      <c r="L1413" s="165"/>
      <c r="M1413" s="1"/>
      <c r="N1413" s="164"/>
      <c r="O1413" s="1"/>
      <c r="P1413" s="153"/>
      <c r="Q1413" s="39"/>
      <c r="R1413" s="39"/>
      <c r="S1413" s="39"/>
      <c r="T1413" s="154"/>
      <c r="U1413" s="40"/>
    </row>
    <row r="1414" spans="1:21" ht="20" customHeight="1" x14ac:dyDescent="0.15">
      <c r="A1414" s="284" t="s">
        <v>7310</v>
      </c>
      <c r="B1414" s="157"/>
      <c r="C1414" s="157"/>
      <c r="D1414" s="157"/>
      <c r="E1414" s="157"/>
      <c r="F1414" s="157"/>
      <c r="G1414" s="3"/>
      <c r="H1414" s="156"/>
      <c r="I1414" s="156"/>
      <c r="J1414" s="156"/>
      <c r="K1414" s="165"/>
      <c r="L1414" s="165"/>
      <c r="M1414" s="1"/>
      <c r="N1414" s="164"/>
      <c r="O1414" s="1"/>
      <c r="P1414" s="153"/>
      <c r="Q1414" s="39"/>
      <c r="R1414" s="39"/>
      <c r="S1414" s="39"/>
      <c r="T1414" s="154"/>
      <c r="U1414" s="40"/>
    </row>
    <row r="1415" spans="1:21" ht="20" customHeight="1" x14ac:dyDescent="0.15">
      <c r="A1415" s="284" t="s">
        <v>7311</v>
      </c>
      <c r="B1415" s="157"/>
      <c r="C1415" s="157"/>
      <c r="D1415" s="157"/>
      <c r="E1415" s="157"/>
      <c r="F1415" s="157"/>
      <c r="G1415" s="3"/>
      <c r="H1415" s="156"/>
      <c r="I1415" s="156"/>
      <c r="J1415" s="156"/>
      <c r="K1415" s="165"/>
      <c r="L1415" s="165"/>
      <c r="M1415" s="1"/>
      <c r="N1415" s="164"/>
      <c r="O1415" s="1"/>
      <c r="P1415" s="153"/>
      <c r="Q1415" s="39"/>
      <c r="R1415" s="39"/>
      <c r="S1415" s="39"/>
      <c r="T1415" s="154"/>
      <c r="U1415" s="40"/>
    </row>
    <row r="1416" spans="1:21" ht="20" customHeight="1" x14ac:dyDescent="0.15">
      <c r="A1416" s="284" t="s">
        <v>7312</v>
      </c>
      <c r="B1416" s="157"/>
      <c r="C1416" s="157"/>
      <c r="D1416" s="157"/>
      <c r="E1416" s="157"/>
      <c r="F1416" s="157"/>
      <c r="G1416" s="3"/>
      <c r="H1416" s="156"/>
      <c r="I1416" s="156"/>
      <c r="J1416" s="156"/>
      <c r="K1416" s="165"/>
      <c r="L1416" s="165"/>
      <c r="M1416" s="1"/>
      <c r="N1416" s="164"/>
      <c r="O1416" s="1"/>
      <c r="P1416" s="153"/>
      <c r="Q1416" s="39"/>
      <c r="R1416" s="39"/>
      <c r="S1416" s="39"/>
      <c r="T1416" s="154"/>
      <c r="U1416" s="40"/>
    </row>
    <row r="1417" spans="1:21" ht="20" customHeight="1" x14ac:dyDescent="0.15">
      <c r="A1417" s="284" t="s">
        <v>7313</v>
      </c>
      <c r="B1417" s="157"/>
      <c r="C1417" s="157"/>
      <c r="D1417" s="157"/>
      <c r="E1417" s="157"/>
      <c r="F1417" s="157"/>
      <c r="G1417" s="3"/>
      <c r="H1417" s="156"/>
      <c r="I1417" s="156"/>
      <c r="J1417" s="156"/>
      <c r="K1417" s="165"/>
      <c r="L1417" s="165"/>
      <c r="M1417" s="1"/>
      <c r="N1417" s="164"/>
      <c r="O1417" s="1"/>
      <c r="P1417" s="153"/>
      <c r="Q1417" s="39"/>
      <c r="R1417" s="39"/>
      <c r="S1417" s="39"/>
      <c r="T1417" s="154"/>
      <c r="U1417" s="40"/>
    </row>
    <row r="1418" spans="1:21" ht="20" customHeight="1" x14ac:dyDescent="0.15">
      <c r="A1418" s="284" t="s">
        <v>7314</v>
      </c>
      <c r="B1418" s="157"/>
      <c r="C1418" s="157"/>
      <c r="D1418" s="157"/>
      <c r="E1418" s="157"/>
      <c r="F1418" s="157"/>
      <c r="G1418" s="3"/>
      <c r="H1418" s="156"/>
      <c r="I1418" s="156"/>
      <c r="J1418" s="156"/>
      <c r="K1418" s="165"/>
      <c r="L1418" s="165"/>
      <c r="M1418" s="1"/>
      <c r="N1418" s="164"/>
      <c r="O1418" s="1"/>
      <c r="P1418" s="153"/>
      <c r="Q1418" s="39"/>
      <c r="R1418" s="39"/>
      <c r="S1418" s="39"/>
      <c r="T1418" s="154"/>
      <c r="U1418" s="40"/>
    </row>
    <row r="1419" spans="1:21" ht="20" customHeight="1" x14ac:dyDescent="0.15">
      <c r="A1419" s="284" t="s">
        <v>7315</v>
      </c>
      <c r="B1419" s="157"/>
      <c r="C1419" s="157"/>
      <c r="D1419" s="157"/>
      <c r="E1419" s="157"/>
      <c r="F1419" s="157"/>
      <c r="G1419" s="3"/>
      <c r="H1419" s="156"/>
      <c r="I1419" s="156"/>
      <c r="J1419" s="156"/>
      <c r="K1419" s="165"/>
      <c r="L1419" s="165"/>
      <c r="M1419" s="1"/>
      <c r="N1419" s="164"/>
      <c r="O1419" s="1"/>
      <c r="P1419" s="153"/>
      <c r="Q1419" s="39"/>
      <c r="R1419" s="39"/>
      <c r="S1419" s="39"/>
      <c r="T1419" s="154"/>
      <c r="U1419" s="40"/>
    </row>
    <row r="1420" spans="1:21" ht="20" customHeight="1" x14ac:dyDescent="0.15">
      <c r="A1420" s="284" t="s">
        <v>7316</v>
      </c>
      <c r="B1420" s="157"/>
      <c r="C1420" s="157"/>
      <c r="D1420" s="157"/>
      <c r="E1420" s="157"/>
      <c r="F1420" s="157"/>
      <c r="G1420" s="3"/>
      <c r="H1420" s="156"/>
      <c r="I1420" s="156"/>
      <c r="J1420" s="156"/>
      <c r="K1420" s="165"/>
      <c r="L1420" s="165"/>
      <c r="M1420" s="1"/>
      <c r="N1420" s="164"/>
      <c r="O1420" s="1"/>
      <c r="P1420" s="153"/>
      <c r="Q1420" s="39"/>
      <c r="R1420" s="39"/>
      <c r="S1420" s="39"/>
      <c r="T1420" s="154"/>
      <c r="U1420" s="40"/>
    </row>
    <row r="1421" spans="1:21" ht="20" customHeight="1" x14ac:dyDescent="0.15">
      <c r="A1421" s="284" t="s">
        <v>7317</v>
      </c>
      <c r="B1421" s="157"/>
      <c r="C1421" s="157"/>
      <c r="D1421" s="157"/>
      <c r="E1421" s="157"/>
      <c r="F1421" s="157"/>
      <c r="G1421" s="3"/>
      <c r="H1421" s="156"/>
      <c r="I1421" s="156"/>
      <c r="J1421" s="156"/>
      <c r="K1421" s="165"/>
      <c r="L1421" s="165"/>
      <c r="M1421" s="1"/>
      <c r="N1421" s="164"/>
      <c r="O1421" s="1"/>
      <c r="P1421" s="153"/>
      <c r="Q1421" s="39"/>
      <c r="R1421" s="39"/>
      <c r="S1421" s="39"/>
      <c r="T1421" s="154"/>
      <c r="U1421" s="40"/>
    </row>
    <row r="1422" spans="1:21" ht="20" customHeight="1" x14ac:dyDescent="0.15">
      <c r="A1422" s="284" t="s">
        <v>7318</v>
      </c>
      <c r="B1422" s="157"/>
      <c r="C1422" s="157"/>
      <c r="D1422" s="157"/>
      <c r="E1422" s="157"/>
      <c r="F1422" s="157"/>
      <c r="G1422" s="3"/>
      <c r="H1422" s="156"/>
      <c r="I1422" s="156"/>
      <c r="J1422" s="156"/>
      <c r="K1422" s="165"/>
      <c r="L1422" s="165"/>
      <c r="M1422" s="1"/>
      <c r="N1422" s="164"/>
      <c r="O1422" s="1"/>
      <c r="P1422" s="153"/>
      <c r="Q1422" s="39"/>
      <c r="R1422" s="39"/>
      <c r="S1422" s="39"/>
      <c r="T1422" s="154"/>
      <c r="U1422" s="40"/>
    </row>
    <row r="1423" spans="1:21" ht="20" customHeight="1" x14ac:dyDescent="0.15">
      <c r="A1423" s="284" t="s">
        <v>7319</v>
      </c>
      <c r="B1423" s="157"/>
      <c r="C1423" s="157"/>
      <c r="D1423" s="157"/>
      <c r="E1423" s="157"/>
      <c r="F1423" s="157"/>
      <c r="G1423" s="3"/>
      <c r="H1423" s="156"/>
      <c r="I1423" s="156"/>
      <c r="J1423" s="156"/>
      <c r="K1423" s="165"/>
      <c r="L1423" s="165"/>
      <c r="M1423" s="1"/>
      <c r="N1423" s="164"/>
      <c r="O1423" s="1"/>
      <c r="P1423" s="153"/>
      <c r="Q1423" s="39"/>
      <c r="R1423" s="39"/>
      <c r="S1423" s="39"/>
      <c r="T1423" s="154"/>
      <c r="U1423" s="40"/>
    </row>
    <row r="1424" spans="1:21" ht="20" customHeight="1" x14ac:dyDescent="0.15">
      <c r="A1424" s="284" t="s">
        <v>7320</v>
      </c>
      <c r="B1424" s="157"/>
      <c r="C1424" s="157"/>
      <c r="D1424" s="157"/>
      <c r="E1424" s="157"/>
      <c r="F1424" s="157"/>
      <c r="G1424" s="3"/>
      <c r="H1424" s="156"/>
      <c r="I1424" s="156"/>
      <c r="J1424" s="156"/>
      <c r="K1424" s="165"/>
      <c r="L1424" s="165"/>
      <c r="M1424" s="1"/>
      <c r="N1424" s="164"/>
      <c r="O1424" s="1"/>
      <c r="P1424" s="153"/>
      <c r="Q1424" s="39"/>
      <c r="R1424" s="39"/>
      <c r="S1424" s="39"/>
      <c r="T1424" s="154"/>
      <c r="U1424" s="40"/>
    </row>
    <row r="1425" spans="1:21" ht="20" customHeight="1" x14ac:dyDescent="0.15">
      <c r="A1425" s="284" t="s">
        <v>7321</v>
      </c>
      <c r="B1425" s="157"/>
      <c r="C1425" s="157"/>
      <c r="D1425" s="157"/>
      <c r="E1425" s="157"/>
      <c r="F1425" s="157"/>
      <c r="G1425" s="3"/>
      <c r="H1425" s="156"/>
      <c r="I1425" s="156"/>
      <c r="J1425" s="156"/>
      <c r="K1425" s="165"/>
      <c r="L1425" s="165"/>
      <c r="M1425" s="1"/>
      <c r="N1425" s="164"/>
      <c r="O1425" s="1"/>
      <c r="P1425" s="153"/>
      <c r="Q1425" s="39"/>
      <c r="R1425" s="39"/>
      <c r="S1425" s="39"/>
      <c r="T1425" s="154"/>
      <c r="U1425" s="40"/>
    </row>
    <row r="1426" spans="1:21" ht="20" customHeight="1" x14ac:dyDescent="0.15">
      <c r="A1426" s="284" t="s">
        <v>7322</v>
      </c>
      <c r="B1426" s="157"/>
      <c r="C1426" s="157"/>
      <c r="D1426" s="157"/>
      <c r="E1426" s="157"/>
      <c r="F1426" s="157"/>
      <c r="G1426" s="3"/>
      <c r="H1426" s="156"/>
      <c r="I1426" s="156"/>
      <c r="J1426" s="156"/>
      <c r="K1426" s="165"/>
      <c r="L1426" s="165"/>
      <c r="M1426" s="1"/>
      <c r="N1426" s="164"/>
      <c r="O1426" s="1"/>
      <c r="P1426" s="153"/>
      <c r="Q1426" s="39"/>
      <c r="R1426" s="39"/>
      <c r="S1426" s="39"/>
      <c r="T1426" s="154"/>
      <c r="U1426" s="40"/>
    </row>
    <row r="1427" spans="1:21" ht="20" customHeight="1" x14ac:dyDescent="0.15">
      <c r="A1427" s="284" t="s">
        <v>7323</v>
      </c>
      <c r="B1427" s="157"/>
      <c r="C1427" s="157"/>
      <c r="D1427" s="157"/>
      <c r="E1427" s="157"/>
      <c r="F1427" s="157"/>
      <c r="G1427" s="3"/>
      <c r="H1427" s="156"/>
      <c r="I1427" s="156"/>
      <c r="J1427" s="156"/>
      <c r="K1427" s="165"/>
      <c r="L1427" s="165"/>
      <c r="M1427" s="1"/>
      <c r="N1427" s="164"/>
      <c r="O1427" s="1"/>
      <c r="P1427" s="153"/>
      <c r="Q1427" s="39"/>
      <c r="R1427" s="39"/>
      <c r="S1427" s="39"/>
      <c r="T1427" s="154"/>
      <c r="U1427" s="40"/>
    </row>
    <row r="1428" spans="1:21" ht="20" customHeight="1" x14ac:dyDescent="0.15">
      <c r="A1428" s="284" t="s">
        <v>7324</v>
      </c>
      <c r="B1428" s="157"/>
      <c r="C1428" s="157"/>
      <c r="D1428" s="157"/>
      <c r="E1428" s="157"/>
      <c r="F1428" s="157"/>
      <c r="G1428" s="3"/>
      <c r="H1428" s="156"/>
      <c r="I1428" s="156"/>
      <c r="J1428" s="156"/>
      <c r="K1428" s="165"/>
      <c r="L1428" s="165"/>
      <c r="M1428" s="1"/>
      <c r="N1428" s="164"/>
      <c r="O1428" s="1"/>
      <c r="P1428" s="153"/>
      <c r="Q1428" s="39"/>
      <c r="R1428" s="39"/>
      <c r="S1428" s="39"/>
      <c r="T1428" s="154"/>
      <c r="U1428" s="40"/>
    </row>
    <row r="1429" spans="1:21" ht="20" customHeight="1" x14ac:dyDescent="0.15">
      <c r="A1429" s="284" t="s">
        <v>7325</v>
      </c>
      <c r="B1429" s="157"/>
      <c r="C1429" s="157"/>
      <c r="D1429" s="157"/>
      <c r="E1429" s="157"/>
      <c r="F1429" s="157"/>
      <c r="G1429" s="3"/>
      <c r="H1429" s="156"/>
      <c r="I1429" s="156"/>
      <c r="J1429" s="156"/>
      <c r="K1429" s="165"/>
      <c r="L1429" s="165"/>
      <c r="M1429" s="1"/>
      <c r="N1429" s="164"/>
      <c r="O1429" s="1"/>
      <c r="P1429" s="153"/>
      <c r="Q1429" s="39"/>
      <c r="R1429" s="39"/>
      <c r="S1429" s="39"/>
      <c r="T1429" s="154"/>
      <c r="U1429" s="40"/>
    </row>
    <row r="1430" spans="1:21" ht="20" customHeight="1" x14ac:dyDescent="0.15">
      <c r="A1430" s="284" t="s">
        <v>7326</v>
      </c>
      <c r="B1430" s="157"/>
      <c r="C1430" s="157"/>
      <c r="D1430" s="157"/>
      <c r="E1430" s="157"/>
      <c r="F1430" s="157"/>
      <c r="G1430" s="3"/>
      <c r="H1430" s="156"/>
      <c r="I1430" s="156"/>
      <c r="J1430" s="156"/>
      <c r="K1430" s="165"/>
      <c r="L1430" s="165"/>
      <c r="M1430" s="1"/>
      <c r="N1430" s="164"/>
      <c r="O1430" s="1"/>
      <c r="P1430" s="153"/>
      <c r="Q1430" s="39"/>
      <c r="R1430" s="39"/>
      <c r="S1430" s="39"/>
      <c r="T1430" s="154"/>
      <c r="U1430" s="40"/>
    </row>
    <row r="1431" spans="1:21" ht="20" customHeight="1" x14ac:dyDescent="0.15">
      <c r="A1431" s="284" t="s">
        <v>7327</v>
      </c>
      <c r="B1431" s="157"/>
      <c r="C1431" s="157"/>
      <c r="D1431" s="157"/>
      <c r="E1431" s="157"/>
      <c r="F1431" s="157"/>
      <c r="G1431" s="3"/>
      <c r="H1431" s="156"/>
      <c r="I1431" s="156"/>
      <c r="J1431" s="156"/>
      <c r="K1431" s="165"/>
      <c r="L1431" s="165"/>
      <c r="M1431" s="1"/>
      <c r="N1431" s="164"/>
      <c r="O1431" s="1"/>
      <c r="P1431" s="153"/>
      <c r="Q1431" s="39"/>
      <c r="R1431" s="39"/>
      <c r="S1431" s="39"/>
      <c r="T1431" s="154"/>
      <c r="U1431" s="40"/>
    </row>
    <row r="1432" spans="1:21" ht="20" customHeight="1" x14ac:dyDescent="0.15">
      <c r="A1432" s="284" t="s">
        <v>7328</v>
      </c>
      <c r="B1432" s="157"/>
      <c r="C1432" s="157"/>
      <c r="D1432" s="157"/>
      <c r="E1432" s="157"/>
      <c r="F1432" s="157"/>
      <c r="G1432" s="3"/>
      <c r="H1432" s="156"/>
      <c r="I1432" s="156"/>
      <c r="J1432" s="156"/>
      <c r="K1432" s="165"/>
      <c r="L1432" s="165"/>
      <c r="M1432" s="1"/>
      <c r="N1432" s="164"/>
      <c r="O1432" s="1"/>
      <c r="P1432" s="153"/>
      <c r="Q1432" s="39"/>
      <c r="R1432" s="39"/>
      <c r="S1432" s="39"/>
      <c r="T1432" s="154"/>
      <c r="U1432" s="40"/>
    </row>
    <row r="1433" spans="1:21" ht="20" customHeight="1" x14ac:dyDescent="0.15">
      <c r="A1433" s="284" t="s">
        <v>7329</v>
      </c>
      <c r="B1433" s="157"/>
      <c r="C1433" s="157"/>
      <c r="D1433" s="157"/>
      <c r="E1433" s="157"/>
      <c r="F1433" s="157"/>
      <c r="G1433" s="3"/>
      <c r="H1433" s="156"/>
      <c r="I1433" s="156"/>
      <c r="J1433" s="156"/>
      <c r="K1433" s="165"/>
      <c r="L1433" s="165"/>
      <c r="M1433" s="1"/>
      <c r="N1433" s="164"/>
      <c r="O1433" s="1"/>
      <c r="P1433" s="153"/>
      <c r="Q1433" s="39"/>
      <c r="R1433" s="39"/>
      <c r="S1433" s="39"/>
      <c r="T1433" s="154"/>
      <c r="U1433" s="40"/>
    </row>
    <row r="1434" spans="1:21" ht="20" customHeight="1" x14ac:dyDescent="0.15">
      <c r="A1434" s="284" t="s">
        <v>7330</v>
      </c>
      <c r="B1434" s="157"/>
      <c r="C1434" s="157"/>
      <c r="D1434" s="157"/>
      <c r="E1434" s="157"/>
      <c r="F1434" s="157"/>
      <c r="G1434" s="3"/>
      <c r="H1434" s="156"/>
      <c r="I1434" s="156"/>
      <c r="J1434" s="156"/>
      <c r="K1434" s="165"/>
      <c r="L1434" s="165"/>
      <c r="M1434" s="1"/>
      <c r="N1434" s="164"/>
      <c r="O1434" s="1"/>
      <c r="P1434" s="153"/>
      <c r="Q1434" s="39"/>
      <c r="R1434" s="39"/>
      <c r="S1434" s="39"/>
      <c r="T1434" s="154"/>
      <c r="U1434" s="40"/>
    </row>
    <row r="1435" spans="1:21" ht="20" customHeight="1" x14ac:dyDescent="0.15">
      <c r="A1435" s="284" t="s">
        <v>7331</v>
      </c>
      <c r="B1435" s="157"/>
      <c r="C1435" s="157"/>
      <c r="D1435" s="157"/>
      <c r="E1435" s="157"/>
      <c r="F1435" s="157"/>
      <c r="G1435" s="3"/>
      <c r="H1435" s="156"/>
      <c r="I1435" s="156"/>
      <c r="J1435" s="156"/>
      <c r="K1435" s="165"/>
      <c r="L1435" s="165"/>
      <c r="M1435" s="1"/>
      <c r="N1435" s="164"/>
      <c r="O1435" s="1"/>
      <c r="P1435" s="153"/>
      <c r="Q1435" s="39"/>
      <c r="R1435" s="39"/>
      <c r="S1435" s="39"/>
      <c r="T1435" s="154"/>
      <c r="U1435" s="40"/>
    </row>
    <row r="1436" spans="1:21" ht="20" customHeight="1" x14ac:dyDescent="0.15">
      <c r="A1436" s="284" t="s">
        <v>7332</v>
      </c>
      <c r="B1436" s="157"/>
      <c r="C1436" s="157"/>
      <c r="D1436" s="157"/>
      <c r="E1436" s="157"/>
      <c r="F1436" s="157"/>
      <c r="G1436" s="3"/>
      <c r="H1436" s="156"/>
      <c r="I1436" s="156"/>
      <c r="J1436" s="156"/>
      <c r="K1436" s="165"/>
      <c r="L1436" s="165"/>
      <c r="M1436" s="1"/>
      <c r="N1436" s="164"/>
      <c r="O1436" s="1"/>
      <c r="P1436" s="153"/>
      <c r="Q1436" s="39"/>
      <c r="R1436" s="39"/>
      <c r="S1436" s="39"/>
      <c r="T1436" s="154"/>
      <c r="U1436" s="40"/>
    </row>
    <row r="1437" spans="1:21" ht="20" customHeight="1" x14ac:dyDescent="0.15">
      <c r="A1437" s="284" t="s">
        <v>7333</v>
      </c>
      <c r="B1437" s="157"/>
      <c r="C1437" s="157"/>
      <c r="D1437" s="157"/>
      <c r="E1437" s="157"/>
      <c r="F1437" s="157"/>
      <c r="G1437" s="3"/>
      <c r="H1437" s="156"/>
      <c r="I1437" s="156"/>
      <c r="J1437" s="156"/>
      <c r="K1437" s="165"/>
      <c r="L1437" s="165"/>
      <c r="M1437" s="1"/>
      <c r="N1437" s="164"/>
      <c r="O1437" s="1"/>
      <c r="P1437" s="153"/>
      <c r="Q1437" s="39"/>
      <c r="R1437" s="39"/>
      <c r="S1437" s="39"/>
      <c r="T1437" s="154"/>
      <c r="U1437" s="40"/>
    </row>
    <row r="1438" spans="1:21" ht="20" customHeight="1" x14ac:dyDescent="0.15">
      <c r="A1438" s="284" t="s">
        <v>7334</v>
      </c>
      <c r="B1438" s="157"/>
      <c r="C1438" s="157"/>
      <c r="D1438" s="157"/>
      <c r="E1438" s="157"/>
      <c r="F1438" s="157"/>
      <c r="G1438" s="3"/>
      <c r="H1438" s="156"/>
      <c r="I1438" s="156"/>
      <c r="J1438" s="156"/>
      <c r="K1438" s="165"/>
      <c r="L1438" s="165"/>
      <c r="M1438" s="1"/>
      <c r="N1438" s="164"/>
      <c r="O1438" s="1"/>
      <c r="P1438" s="153"/>
      <c r="Q1438" s="39"/>
      <c r="R1438" s="39"/>
      <c r="S1438" s="39"/>
      <c r="T1438" s="154"/>
      <c r="U1438" s="40"/>
    </row>
    <row r="1439" spans="1:21" ht="20" customHeight="1" x14ac:dyDescent="0.15">
      <c r="A1439" s="284" t="s">
        <v>7335</v>
      </c>
      <c r="B1439" s="157"/>
      <c r="C1439" s="157"/>
      <c r="D1439" s="157"/>
      <c r="E1439" s="157"/>
      <c r="F1439" s="157"/>
      <c r="G1439" s="3"/>
      <c r="H1439" s="156"/>
      <c r="I1439" s="156"/>
      <c r="J1439" s="156"/>
      <c r="K1439" s="165"/>
      <c r="L1439" s="165"/>
      <c r="M1439" s="1"/>
      <c r="N1439" s="164"/>
      <c r="O1439" s="1"/>
      <c r="P1439" s="153"/>
      <c r="Q1439" s="39"/>
      <c r="R1439" s="39"/>
      <c r="S1439" s="39"/>
      <c r="T1439" s="154"/>
      <c r="U1439" s="40"/>
    </row>
    <row r="1440" spans="1:21" ht="20" customHeight="1" x14ac:dyDescent="0.15">
      <c r="A1440" s="284" t="s">
        <v>7336</v>
      </c>
      <c r="B1440" s="157"/>
      <c r="C1440" s="157"/>
      <c r="D1440" s="157"/>
      <c r="E1440" s="157"/>
      <c r="F1440" s="157"/>
      <c r="G1440" s="3"/>
      <c r="H1440" s="156"/>
      <c r="I1440" s="156"/>
      <c r="J1440" s="156"/>
      <c r="K1440" s="165"/>
      <c r="L1440" s="165"/>
      <c r="M1440" s="1"/>
      <c r="N1440" s="164"/>
      <c r="O1440" s="1"/>
      <c r="P1440" s="153"/>
      <c r="Q1440" s="39"/>
      <c r="R1440" s="39"/>
      <c r="S1440" s="39"/>
      <c r="T1440" s="154"/>
      <c r="U1440" s="40"/>
    </row>
    <row r="1441" spans="1:21" ht="20" customHeight="1" x14ac:dyDescent="0.15">
      <c r="A1441" s="284" t="s">
        <v>7337</v>
      </c>
      <c r="B1441" s="157"/>
      <c r="C1441" s="157"/>
      <c r="D1441" s="157"/>
      <c r="E1441" s="157"/>
      <c r="F1441" s="157"/>
      <c r="G1441" s="3"/>
      <c r="H1441" s="156"/>
      <c r="I1441" s="156"/>
      <c r="J1441" s="156"/>
      <c r="K1441" s="165"/>
      <c r="L1441" s="165"/>
      <c r="M1441" s="1"/>
      <c r="N1441" s="164"/>
      <c r="O1441" s="1"/>
      <c r="P1441" s="153"/>
      <c r="Q1441" s="39"/>
      <c r="R1441" s="39"/>
      <c r="S1441" s="39"/>
      <c r="T1441" s="154"/>
      <c r="U1441" s="40"/>
    </row>
    <row r="1442" spans="1:21" ht="20" customHeight="1" x14ac:dyDescent="0.15">
      <c r="A1442" s="284" t="s">
        <v>7338</v>
      </c>
      <c r="B1442" s="157"/>
      <c r="C1442" s="157"/>
      <c r="D1442" s="157"/>
      <c r="E1442" s="157"/>
      <c r="F1442" s="157"/>
      <c r="G1442" s="3"/>
      <c r="H1442" s="156"/>
      <c r="I1442" s="156"/>
      <c r="J1442" s="156"/>
      <c r="K1442" s="165"/>
      <c r="L1442" s="165"/>
      <c r="M1442" s="1"/>
      <c r="N1442" s="164"/>
      <c r="O1442" s="1"/>
      <c r="P1442" s="153"/>
      <c r="Q1442" s="39"/>
      <c r="R1442" s="39"/>
      <c r="S1442" s="39"/>
      <c r="T1442" s="154"/>
      <c r="U1442" s="40"/>
    </row>
    <row r="1443" spans="1:21" ht="20" customHeight="1" x14ac:dyDescent="0.15">
      <c r="A1443" s="284" t="s">
        <v>7339</v>
      </c>
      <c r="B1443" s="157"/>
      <c r="C1443" s="157"/>
      <c r="D1443" s="157"/>
      <c r="E1443" s="157"/>
      <c r="F1443" s="157"/>
      <c r="G1443" s="3"/>
      <c r="H1443" s="156"/>
      <c r="I1443" s="156"/>
      <c r="J1443" s="156"/>
      <c r="K1443" s="165"/>
      <c r="L1443" s="165"/>
      <c r="M1443" s="1"/>
      <c r="N1443" s="164"/>
      <c r="O1443" s="1"/>
      <c r="P1443" s="153"/>
      <c r="Q1443" s="39"/>
      <c r="R1443" s="39"/>
      <c r="S1443" s="39"/>
      <c r="T1443" s="154"/>
      <c r="U1443" s="40"/>
    </row>
    <row r="1444" spans="1:21" ht="20" customHeight="1" x14ac:dyDescent="0.15">
      <c r="A1444" s="284" t="s">
        <v>7340</v>
      </c>
      <c r="B1444" s="157"/>
      <c r="C1444" s="157"/>
      <c r="D1444" s="157"/>
      <c r="E1444" s="157"/>
      <c r="F1444" s="157"/>
      <c r="G1444" s="3"/>
      <c r="H1444" s="156"/>
      <c r="I1444" s="156"/>
      <c r="J1444" s="156"/>
      <c r="K1444" s="165"/>
      <c r="L1444" s="165"/>
      <c r="M1444" s="1"/>
      <c r="N1444" s="164"/>
      <c r="O1444" s="1"/>
      <c r="P1444" s="153"/>
      <c r="Q1444" s="39"/>
      <c r="R1444" s="39"/>
      <c r="S1444" s="39"/>
      <c r="T1444" s="154"/>
      <c r="U1444" s="40"/>
    </row>
    <row r="1445" spans="1:21" ht="20" customHeight="1" x14ac:dyDescent="0.15">
      <c r="A1445" s="284" t="s">
        <v>7341</v>
      </c>
      <c r="B1445" s="157"/>
      <c r="C1445" s="157"/>
      <c r="D1445" s="157"/>
      <c r="E1445" s="157"/>
      <c r="F1445" s="157"/>
      <c r="G1445" s="3"/>
      <c r="H1445" s="156"/>
      <c r="I1445" s="156"/>
      <c r="J1445" s="156"/>
      <c r="K1445" s="165"/>
      <c r="L1445" s="165"/>
      <c r="M1445" s="1"/>
      <c r="N1445" s="164"/>
      <c r="O1445" s="1"/>
      <c r="P1445" s="153"/>
      <c r="Q1445" s="39"/>
      <c r="R1445" s="39"/>
      <c r="S1445" s="39"/>
      <c r="T1445" s="154"/>
      <c r="U1445" s="40"/>
    </row>
    <row r="1446" spans="1:21" ht="20" customHeight="1" x14ac:dyDescent="0.15">
      <c r="A1446" s="284" t="s">
        <v>7342</v>
      </c>
      <c r="B1446" s="157"/>
      <c r="C1446" s="157"/>
      <c r="D1446" s="157"/>
      <c r="E1446" s="157"/>
      <c r="F1446" s="157"/>
      <c r="G1446" s="3"/>
      <c r="H1446" s="156"/>
      <c r="I1446" s="156"/>
      <c r="J1446" s="156"/>
      <c r="K1446" s="165"/>
      <c r="L1446" s="165"/>
      <c r="M1446" s="1"/>
      <c r="N1446" s="164"/>
      <c r="O1446" s="1"/>
      <c r="P1446" s="153"/>
      <c r="Q1446" s="39"/>
      <c r="R1446" s="39"/>
      <c r="S1446" s="39"/>
      <c r="T1446" s="154"/>
      <c r="U1446" s="40"/>
    </row>
    <row r="1447" spans="1:21" ht="20" customHeight="1" x14ac:dyDescent="0.15">
      <c r="A1447" s="284" t="s">
        <v>7343</v>
      </c>
      <c r="B1447" s="157"/>
      <c r="C1447" s="157"/>
      <c r="D1447" s="157"/>
      <c r="E1447" s="157"/>
      <c r="F1447" s="157"/>
      <c r="G1447" s="3"/>
      <c r="H1447" s="156"/>
      <c r="I1447" s="156"/>
      <c r="J1447" s="156"/>
      <c r="K1447" s="165"/>
      <c r="L1447" s="165"/>
      <c r="M1447" s="1"/>
      <c r="N1447" s="164"/>
      <c r="O1447" s="1"/>
      <c r="P1447" s="153"/>
      <c r="Q1447" s="39"/>
      <c r="R1447" s="39"/>
      <c r="S1447" s="39"/>
      <c r="T1447" s="154"/>
      <c r="U1447" s="40"/>
    </row>
    <row r="1448" spans="1:21" ht="20" customHeight="1" x14ac:dyDescent="0.15">
      <c r="A1448" s="284" t="s">
        <v>7344</v>
      </c>
      <c r="B1448" s="157"/>
      <c r="C1448" s="157"/>
      <c r="D1448" s="157"/>
      <c r="E1448" s="157"/>
      <c r="F1448" s="157"/>
      <c r="G1448" s="3"/>
      <c r="H1448" s="156"/>
      <c r="I1448" s="156"/>
      <c r="J1448" s="156"/>
      <c r="K1448" s="165"/>
      <c r="L1448" s="165"/>
      <c r="M1448" s="1"/>
      <c r="N1448" s="164"/>
      <c r="O1448" s="1"/>
      <c r="P1448" s="153"/>
      <c r="Q1448" s="39"/>
      <c r="R1448" s="39"/>
      <c r="S1448" s="39"/>
      <c r="T1448" s="154"/>
      <c r="U1448" s="40"/>
    </row>
    <row r="1449" spans="1:21" ht="20" customHeight="1" x14ac:dyDescent="0.15">
      <c r="A1449" s="284" t="s">
        <v>7345</v>
      </c>
      <c r="B1449" s="157"/>
      <c r="C1449" s="157"/>
      <c r="D1449" s="157"/>
      <c r="E1449" s="157"/>
      <c r="F1449" s="157"/>
      <c r="G1449" s="3"/>
      <c r="H1449" s="156"/>
      <c r="I1449" s="156"/>
      <c r="J1449" s="156"/>
      <c r="K1449" s="165"/>
      <c r="L1449" s="165"/>
      <c r="M1449" s="1"/>
      <c r="N1449" s="164"/>
      <c r="O1449" s="1"/>
      <c r="P1449" s="153"/>
      <c r="Q1449" s="39"/>
      <c r="R1449" s="39"/>
      <c r="S1449" s="39"/>
      <c r="T1449" s="154"/>
      <c r="U1449" s="40"/>
    </row>
    <row r="1450" spans="1:21" ht="20" customHeight="1" x14ac:dyDescent="0.15">
      <c r="A1450" s="284" t="s">
        <v>7346</v>
      </c>
      <c r="B1450" s="157"/>
      <c r="C1450" s="157"/>
      <c r="D1450" s="157"/>
      <c r="E1450" s="157"/>
      <c r="F1450" s="157"/>
      <c r="G1450" s="3"/>
      <c r="H1450" s="156"/>
      <c r="I1450" s="156"/>
      <c r="J1450" s="156"/>
      <c r="K1450" s="165"/>
      <c r="L1450" s="165"/>
      <c r="M1450" s="1"/>
      <c r="N1450" s="164"/>
      <c r="O1450" s="1"/>
      <c r="P1450" s="153"/>
      <c r="Q1450" s="39"/>
      <c r="R1450" s="39"/>
      <c r="S1450" s="39"/>
      <c r="T1450" s="154"/>
      <c r="U1450" s="40"/>
    </row>
    <row r="1451" spans="1:21" ht="20" customHeight="1" x14ac:dyDescent="0.15">
      <c r="A1451" s="284" t="s">
        <v>7347</v>
      </c>
      <c r="B1451" s="157"/>
      <c r="C1451" s="157"/>
      <c r="D1451" s="157"/>
      <c r="E1451" s="157"/>
      <c r="F1451" s="157"/>
      <c r="G1451" s="3"/>
      <c r="H1451" s="156"/>
      <c r="I1451" s="156"/>
      <c r="J1451" s="156"/>
      <c r="K1451" s="165"/>
      <c r="L1451" s="165"/>
      <c r="M1451" s="1"/>
      <c r="N1451" s="164"/>
      <c r="O1451" s="1"/>
      <c r="P1451" s="153"/>
      <c r="Q1451" s="39"/>
      <c r="R1451" s="39"/>
      <c r="S1451" s="39"/>
      <c r="T1451" s="154"/>
      <c r="U1451" s="40"/>
    </row>
    <row r="1452" spans="1:21" ht="20" customHeight="1" x14ac:dyDescent="0.15">
      <c r="A1452" s="284" t="s">
        <v>7348</v>
      </c>
      <c r="B1452" s="157"/>
      <c r="C1452" s="157"/>
      <c r="D1452" s="157"/>
      <c r="E1452" s="157"/>
      <c r="F1452" s="157"/>
      <c r="G1452" s="3"/>
      <c r="H1452" s="156"/>
      <c r="I1452" s="156"/>
      <c r="J1452" s="156"/>
      <c r="K1452" s="165"/>
      <c r="L1452" s="165"/>
      <c r="M1452" s="1"/>
      <c r="N1452" s="164"/>
      <c r="O1452" s="1"/>
      <c r="P1452" s="153"/>
      <c r="Q1452" s="39"/>
      <c r="R1452" s="39"/>
      <c r="S1452" s="39"/>
      <c r="T1452" s="154"/>
      <c r="U1452" s="40"/>
    </row>
    <row r="1453" spans="1:21" ht="20" customHeight="1" x14ac:dyDescent="0.15">
      <c r="A1453" s="284" t="s">
        <v>7349</v>
      </c>
      <c r="B1453" s="157"/>
      <c r="C1453" s="157"/>
      <c r="D1453" s="157"/>
      <c r="E1453" s="157"/>
      <c r="F1453" s="157"/>
      <c r="G1453" s="3"/>
      <c r="H1453" s="156"/>
      <c r="I1453" s="156"/>
      <c r="J1453" s="156"/>
      <c r="K1453" s="165"/>
      <c r="L1453" s="165"/>
      <c r="M1453" s="1"/>
      <c r="N1453" s="164"/>
      <c r="O1453" s="1"/>
      <c r="P1453" s="153"/>
      <c r="Q1453" s="39"/>
      <c r="R1453" s="39"/>
      <c r="S1453" s="39"/>
      <c r="T1453" s="154"/>
      <c r="U1453" s="40"/>
    </row>
    <row r="1454" spans="1:21" ht="20" customHeight="1" x14ac:dyDescent="0.15">
      <c r="A1454" s="284" t="s">
        <v>7350</v>
      </c>
      <c r="B1454" s="157"/>
      <c r="C1454" s="157"/>
      <c r="D1454" s="157"/>
      <c r="E1454" s="157"/>
      <c r="F1454" s="157"/>
      <c r="G1454" s="3"/>
      <c r="H1454" s="156"/>
      <c r="I1454" s="156"/>
      <c r="J1454" s="156"/>
      <c r="K1454" s="165"/>
      <c r="L1454" s="165"/>
      <c r="M1454" s="1"/>
      <c r="N1454" s="164"/>
      <c r="O1454" s="1"/>
      <c r="P1454" s="153"/>
      <c r="Q1454" s="39"/>
      <c r="R1454" s="39"/>
      <c r="S1454" s="39"/>
      <c r="T1454" s="154"/>
      <c r="U1454" s="40"/>
    </row>
    <row r="1455" spans="1:21" ht="20" customHeight="1" x14ac:dyDescent="0.15">
      <c r="A1455" s="284" t="s">
        <v>7351</v>
      </c>
      <c r="B1455" s="157"/>
      <c r="C1455" s="157"/>
      <c r="D1455" s="157"/>
      <c r="E1455" s="157"/>
      <c r="F1455" s="157"/>
      <c r="G1455" s="3"/>
      <c r="H1455" s="156"/>
      <c r="I1455" s="156"/>
      <c r="J1455" s="156"/>
      <c r="K1455" s="165"/>
      <c r="L1455" s="165"/>
      <c r="M1455" s="1"/>
      <c r="N1455" s="164"/>
      <c r="O1455" s="1"/>
      <c r="P1455" s="153"/>
      <c r="Q1455" s="39"/>
      <c r="R1455" s="39"/>
      <c r="S1455" s="39"/>
      <c r="T1455" s="154"/>
      <c r="U1455" s="40"/>
    </row>
    <row r="1456" spans="1:21" ht="20" customHeight="1" x14ac:dyDescent="0.15">
      <c r="A1456" s="284" t="s">
        <v>7352</v>
      </c>
      <c r="B1456" s="157"/>
      <c r="C1456" s="157"/>
      <c r="D1456" s="157"/>
      <c r="E1456" s="157"/>
      <c r="F1456" s="157"/>
      <c r="G1456" s="3"/>
      <c r="H1456" s="156"/>
      <c r="I1456" s="156"/>
      <c r="J1456" s="156"/>
      <c r="K1456" s="165"/>
      <c r="L1456" s="165"/>
      <c r="M1456" s="1"/>
      <c r="N1456" s="164"/>
      <c r="O1456" s="1"/>
      <c r="P1456" s="153"/>
      <c r="Q1456" s="39"/>
      <c r="R1456" s="39"/>
      <c r="S1456" s="39"/>
      <c r="T1456" s="154"/>
      <c r="U1456" s="40"/>
    </row>
    <row r="1457" spans="1:21" ht="20" customHeight="1" x14ac:dyDescent="0.15">
      <c r="A1457" s="284" t="s">
        <v>7353</v>
      </c>
      <c r="B1457" s="157"/>
      <c r="C1457" s="157"/>
      <c r="D1457" s="157"/>
      <c r="E1457" s="157"/>
      <c r="F1457" s="157"/>
      <c r="G1457" s="3"/>
      <c r="H1457" s="156"/>
      <c r="I1457" s="156"/>
      <c r="J1457" s="156"/>
      <c r="K1457" s="165"/>
      <c r="L1457" s="165"/>
      <c r="M1457" s="1"/>
      <c r="N1457" s="164"/>
      <c r="O1457" s="1"/>
      <c r="P1457" s="153"/>
      <c r="Q1457" s="39"/>
      <c r="R1457" s="39"/>
      <c r="S1457" s="39"/>
      <c r="T1457" s="154"/>
      <c r="U1457" s="40"/>
    </row>
    <row r="1458" spans="1:21" ht="20" customHeight="1" x14ac:dyDescent="0.15">
      <c r="A1458" s="284" t="s">
        <v>7354</v>
      </c>
      <c r="B1458" s="157"/>
      <c r="C1458" s="157"/>
      <c r="D1458" s="157"/>
      <c r="E1458" s="157"/>
      <c r="F1458" s="157"/>
      <c r="G1458" s="3"/>
      <c r="H1458" s="156"/>
      <c r="I1458" s="156"/>
      <c r="J1458" s="156"/>
      <c r="K1458" s="165"/>
      <c r="L1458" s="165"/>
      <c r="M1458" s="1"/>
      <c r="N1458" s="164"/>
      <c r="O1458" s="1"/>
      <c r="P1458" s="153"/>
      <c r="Q1458" s="39"/>
      <c r="R1458" s="39"/>
      <c r="S1458" s="39"/>
      <c r="T1458" s="154"/>
      <c r="U1458" s="40"/>
    </row>
    <row r="1459" spans="1:21" ht="20" customHeight="1" x14ac:dyDescent="0.15">
      <c r="A1459" s="284" t="s">
        <v>7355</v>
      </c>
      <c r="B1459" s="157"/>
      <c r="C1459" s="157"/>
      <c r="D1459" s="157"/>
      <c r="E1459" s="157"/>
      <c r="F1459" s="157"/>
      <c r="G1459" s="3"/>
      <c r="H1459" s="156"/>
      <c r="I1459" s="156"/>
      <c r="J1459" s="156"/>
      <c r="K1459" s="165"/>
      <c r="L1459" s="165"/>
      <c r="M1459" s="1"/>
      <c r="N1459" s="164"/>
      <c r="O1459" s="1"/>
      <c r="P1459" s="153"/>
      <c r="Q1459" s="39"/>
      <c r="R1459" s="39"/>
      <c r="S1459" s="39"/>
      <c r="T1459" s="154"/>
      <c r="U1459" s="40"/>
    </row>
    <row r="1460" spans="1:21" ht="20" customHeight="1" x14ac:dyDescent="0.15">
      <c r="A1460" s="284" t="s">
        <v>7356</v>
      </c>
      <c r="B1460" s="157"/>
      <c r="C1460" s="157"/>
      <c r="D1460" s="157"/>
      <c r="E1460" s="157"/>
      <c r="F1460" s="157"/>
      <c r="G1460" s="3"/>
      <c r="H1460" s="156"/>
      <c r="I1460" s="156"/>
      <c r="J1460" s="156"/>
      <c r="K1460" s="165"/>
      <c r="L1460" s="165"/>
      <c r="M1460" s="1"/>
      <c r="N1460" s="164"/>
      <c r="O1460" s="1"/>
      <c r="P1460" s="153"/>
      <c r="Q1460" s="39"/>
      <c r="R1460" s="39"/>
      <c r="S1460" s="39"/>
      <c r="T1460" s="154"/>
      <c r="U1460" s="40"/>
    </row>
    <row r="1461" spans="1:21" ht="20" customHeight="1" x14ac:dyDescent="0.15">
      <c r="A1461" s="284" t="s">
        <v>7357</v>
      </c>
      <c r="B1461" s="157"/>
      <c r="C1461" s="157"/>
      <c r="D1461" s="157"/>
      <c r="E1461" s="157"/>
      <c r="F1461" s="157"/>
      <c r="G1461" s="3"/>
      <c r="H1461" s="156"/>
      <c r="I1461" s="156"/>
      <c r="J1461" s="156"/>
      <c r="K1461" s="165"/>
      <c r="L1461" s="165"/>
      <c r="M1461" s="1"/>
      <c r="N1461" s="164"/>
      <c r="O1461" s="1"/>
      <c r="P1461" s="153"/>
      <c r="Q1461" s="39"/>
      <c r="R1461" s="39"/>
      <c r="S1461" s="39"/>
      <c r="T1461" s="154"/>
      <c r="U1461" s="40"/>
    </row>
    <row r="1462" spans="1:21" ht="20" customHeight="1" x14ac:dyDescent="0.15">
      <c r="A1462" s="284" t="s">
        <v>7358</v>
      </c>
      <c r="B1462" s="157"/>
      <c r="C1462" s="157"/>
      <c r="D1462" s="157"/>
      <c r="E1462" s="157"/>
      <c r="F1462" s="157"/>
      <c r="G1462" s="3"/>
      <c r="H1462" s="156"/>
      <c r="I1462" s="156"/>
      <c r="J1462" s="156"/>
      <c r="K1462" s="165"/>
      <c r="L1462" s="165"/>
      <c r="M1462" s="1"/>
      <c r="N1462" s="164"/>
      <c r="O1462" s="1"/>
      <c r="P1462" s="153"/>
      <c r="Q1462" s="39"/>
      <c r="R1462" s="39"/>
      <c r="S1462" s="39"/>
      <c r="T1462" s="154"/>
      <c r="U1462" s="40"/>
    </row>
    <row r="1463" spans="1:21" ht="20" customHeight="1" x14ac:dyDescent="0.15">
      <c r="A1463" s="284" t="s">
        <v>7359</v>
      </c>
      <c r="B1463" s="157"/>
      <c r="C1463" s="157"/>
      <c r="D1463" s="157"/>
      <c r="E1463" s="157"/>
      <c r="F1463" s="157"/>
      <c r="G1463" s="3"/>
      <c r="H1463" s="156"/>
      <c r="I1463" s="156"/>
      <c r="J1463" s="156"/>
      <c r="K1463" s="165"/>
      <c r="L1463" s="165"/>
      <c r="M1463" s="1"/>
      <c r="N1463" s="164"/>
      <c r="O1463" s="1"/>
      <c r="P1463" s="153"/>
      <c r="Q1463" s="39"/>
      <c r="R1463" s="39"/>
      <c r="S1463" s="39"/>
      <c r="T1463" s="154"/>
      <c r="U1463" s="40"/>
    </row>
    <row r="1464" spans="1:21" ht="20" customHeight="1" x14ac:dyDescent="0.15">
      <c r="A1464" s="284" t="s">
        <v>7360</v>
      </c>
      <c r="B1464" s="157"/>
      <c r="C1464" s="157"/>
      <c r="D1464" s="157"/>
      <c r="E1464" s="157"/>
      <c r="F1464" s="157"/>
      <c r="G1464" s="3"/>
      <c r="H1464" s="156"/>
      <c r="I1464" s="156"/>
      <c r="J1464" s="156"/>
      <c r="K1464" s="165"/>
      <c r="L1464" s="165"/>
      <c r="M1464" s="1"/>
      <c r="N1464" s="164"/>
      <c r="O1464" s="1"/>
      <c r="P1464" s="153"/>
      <c r="Q1464" s="39"/>
      <c r="R1464" s="39"/>
      <c r="S1464" s="39"/>
      <c r="T1464" s="154"/>
      <c r="U1464" s="40"/>
    </row>
    <row r="1465" spans="1:21" ht="20" customHeight="1" x14ac:dyDescent="0.15">
      <c r="A1465" s="284" t="s">
        <v>7361</v>
      </c>
      <c r="B1465" s="157"/>
      <c r="C1465" s="157"/>
      <c r="D1465" s="157"/>
      <c r="E1465" s="157"/>
      <c r="F1465" s="157"/>
      <c r="G1465" s="3"/>
      <c r="H1465" s="156"/>
      <c r="I1465" s="156"/>
      <c r="J1465" s="156"/>
      <c r="K1465" s="165"/>
      <c r="L1465" s="165"/>
      <c r="M1465" s="1"/>
      <c r="N1465" s="164"/>
      <c r="O1465" s="1"/>
      <c r="P1465" s="153"/>
      <c r="Q1465" s="39"/>
      <c r="R1465" s="39"/>
      <c r="S1465" s="39"/>
      <c r="T1465" s="154"/>
      <c r="U1465" s="40"/>
    </row>
    <row r="1466" spans="1:21" ht="20" customHeight="1" x14ac:dyDescent="0.15">
      <c r="A1466" s="284" t="s">
        <v>7362</v>
      </c>
      <c r="B1466" s="157"/>
      <c r="C1466" s="157"/>
      <c r="D1466" s="157"/>
      <c r="E1466" s="157"/>
      <c r="F1466" s="157"/>
      <c r="G1466" s="3"/>
      <c r="H1466" s="156"/>
      <c r="I1466" s="156"/>
      <c r="J1466" s="156"/>
      <c r="K1466" s="165"/>
      <c r="L1466" s="165"/>
      <c r="M1466" s="1"/>
      <c r="N1466" s="164"/>
      <c r="O1466" s="1"/>
      <c r="P1466" s="153"/>
      <c r="Q1466" s="39"/>
      <c r="R1466" s="39"/>
      <c r="S1466" s="39"/>
      <c r="T1466" s="154"/>
      <c r="U1466" s="40"/>
    </row>
    <row r="1467" spans="1:21" ht="20" customHeight="1" x14ac:dyDescent="0.15">
      <c r="A1467" s="284" t="s">
        <v>7363</v>
      </c>
      <c r="B1467" s="157"/>
      <c r="C1467" s="157"/>
      <c r="D1467" s="157"/>
      <c r="E1467" s="157"/>
      <c r="F1467" s="157"/>
      <c r="G1467" s="3"/>
      <c r="H1467" s="156"/>
      <c r="I1467" s="156"/>
      <c r="J1467" s="156"/>
      <c r="K1467" s="165"/>
      <c r="L1467" s="165"/>
      <c r="M1467" s="1"/>
      <c r="N1467" s="164"/>
      <c r="O1467" s="1"/>
      <c r="P1467" s="153"/>
      <c r="Q1467" s="39"/>
      <c r="R1467" s="39"/>
      <c r="S1467" s="39"/>
      <c r="T1467" s="154"/>
      <c r="U1467" s="40"/>
    </row>
    <row r="1468" spans="1:21" ht="20" customHeight="1" x14ac:dyDescent="0.15">
      <c r="A1468" s="284" t="s">
        <v>7364</v>
      </c>
      <c r="B1468" s="157"/>
      <c r="C1468" s="157"/>
      <c r="D1468" s="157"/>
      <c r="E1468" s="157"/>
      <c r="F1468" s="157"/>
      <c r="G1468" s="3"/>
      <c r="H1468" s="156"/>
      <c r="I1468" s="156"/>
      <c r="J1468" s="156"/>
      <c r="K1468" s="165"/>
      <c r="L1468" s="165"/>
      <c r="M1468" s="1"/>
      <c r="N1468" s="164"/>
      <c r="O1468" s="1"/>
      <c r="P1468" s="153"/>
      <c r="Q1468" s="39"/>
      <c r="R1468" s="39"/>
      <c r="S1468" s="39"/>
      <c r="T1468" s="154"/>
      <c r="U1468" s="40"/>
    </row>
    <row r="1469" spans="1:21" ht="20" customHeight="1" x14ac:dyDescent="0.15">
      <c r="A1469" s="284" t="s">
        <v>7365</v>
      </c>
      <c r="B1469" s="157"/>
      <c r="C1469" s="157"/>
      <c r="D1469" s="157"/>
      <c r="E1469" s="157"/>
      <c r="F1469" s="157"/>
      <c r="G1469" s="3"/>
      <c r="H1469" s="156"/>
      <c r="I1469" s="156"/>
      <c r="J1469" s="156"/>
      <c r="K1469" s="165"/>
      <c r="L1469" s="165"/>
      <c r="M1469" s="1"/>
      <c r="N1469" s="164"/>
      <c r="O1469" s="1"/>
      <c r="P1469" s="153"/>
      <c r="Q1469" s="39"/>
      <c r="R1469" s="39"/>
      <c r="S1469" s="39"/>
      <c r="T1469" s="154"/>
      <c r="U1469" s="40"/>
    </row>
    <row r="1470" spans="1:21" ht="20" customHeight="1" x14ac:dyDescent="0.15">
      <c r="A1470" s="284" t="s">
        <v>7366</v>
      </c>
      <c r="B1470" s="157"/>
      <c r="C1470" s="157"/>
      <c r="D1470" s="157"/>
      <c r="E1470" s="157"/>
      <c r="F1470" s="157"/>
      <c r="G1470" s="3"/>
      <c r="H1470" s="156"/>
      <c r="I1470" s="156"/>
      <c r="J1470" s="156"/>
      <c r="K1470" s="165"/>
      <c r="L1470" s="165"/>
      <c r="M1470" s="1"/>
      <c r="N1470" s="164"/>
      <c r="O1470" s="1"/>
      <c r="P1470" s="153"/>
      <c r="Q1470" s="39"/>
      <c r="R1470" s="39"/>
      <c r="S1470" s="39"/>
      <c r="T1470" s="154"/>
      <c r="U1470" s="40"/>
    </row>
    <row r="1471" spans="1:21" ht="20" customHeight="1" x14ac:dyDescent="0.15">
      <c r="A1471" s="284" t="s">
        <v>7367</v>
      </c>
      <c r="B1471" s="157"/>
      <c r="C1471" s="157"/>
      <c r="D1471" s="157"/>
      <c r="E1471" s="157"/>
      <c r="F1471" s="157"/>
      <c r="G1471" s="3"/>
      <c r="H1471" s="156"/>
      <c r="I1471" s="156"/>
      <c r="J1471" s="156"/>
      <c r="K1471" s="165"/>
      <c r="L1471" s="165"/>
      <c r="M1471" s="1"/>
      <c r="N1471" s="164"/>
      <c r="O1471" s="1"/>
      <c r="P1471" s="153"/>
      <c r="Q1471" s="39"/>
      <c r="R1471" s="39"/>
      <c r="S1471" s="39"/>
      <c r="T1471" s="154"/>
      <c r="U1471" s="40"/>
    </row>
    <row r="1472" spans="1:21" ht="20" customHeight="1" x14ac:dyDescent="0.15">
      <c r="A1472" s="284" t="s">
        <v>7368</v>
      </c>
      <c r="B1472" s="157"/>
      <c r="C1472" s="157"/>
      <c r="D1472" s="157"/>
      <c r="E1472" s="157"/>
      <c r="F1472" s="157"/>
      <c r="G1472" s="3"/>
      <c r="H1472" s="156"/>
      <c r="I1472" s="156"/>
      <c r="J1472" s="156"/>
      <c r="K1472" s="165"/>
      <c r="L1472" s="165"/>
      <c r="M1472" s="1"/>
      <c r="N1472" s="164"/>
      <c r="O1472" s="1"/>
      <c r="P1472" s="153"/>
      <c r="Q1472" s="39"/>
      <c r="R1472" s="39"/>
      <c r="S1472" s="39"/>
      <c r="T1472" s="154"/>
      <c r="U1472" s="40"/>
    </row>
    <row r="1473" spans="1:21" ht="20" customHeight="1" x14ac:dyDescent="0.15">
      <c r="A1473" s="284" t="s">
        <v>7369</v>
      </c>
      <c r="B1473" s="157"/>
      <c r="C1473" s="157"/>
      <c r="D1473" s="157"/>
      <c r="E1473" s="157"/>
      <c r="F1473" s="157"/>
      <c r="G1473" s="3"/>
      <c r="H1473" s="156"/>
      <c r="I1473" s="156"/>
      <c r="J1473" s="156"/>
      <c r="K1473" s="165"/>
      <c r="L1473" s="165"/>
      <c r="M1473" s="1"/>
      <c r="N1473" s="164"/>
      <c r="O1473" s="1"/>
      <c r="P1473" s="153"/>
      <c r="Q1473" s="39"/>
      <c r="R1473" s="39"/>
      <c r="S1473" s="39"/>
      <c r="T1473" s="154"/>
      <c r="U1473" s="40"/>
    </row>
    <row r="1474" spans="1:21" ht="20" customHeight="1" x14ac:dyDescent="0.15">
      <c r="A1474" s="284" t="s">
        <v>7370</v>
      </c>
      <c r="B1474" s="157"/>
      <c r="C1474" s="157"/>
      <c r="D1474" s="157"/>
      <c r="E1474" s="157"/>
      <c r="F1474" s="157"/>
      <c r="G1474" s="3"/>
      <c r="H1474" s="156"/>
      <c r="I1474" s="156"/>
      <c r="J1474" s="156"/>
      <c r="K1474" s="165"/>
      <c r="L1474" s="165"/>
      <c r="M1474" s="1"/>
      <c r="N1474" s="164"/>
      <c r="O1474" s="1"/>
      <c r="P1474" s="153"/>
      <c r="Q1474" s="39"/>
      <c r="R1474" s="39"/>
      <c r="S1474" s="39"/>
      <c r="T1474" s="154"/>
      <c r="U1474" s="40"/>
    </row>
    <row r="1475" spans="1:21" ht="20" customHeight="1" x14ac:dyDescent="0.15">
      <c r="A1475" s="284" t="s">
        <v>7371</v>
      </c>
      <c r="B1475" s="157"/>
      <c r="C1475" s="157"/>
      <c r="D1475" s="157"/>
      <c r="E1475" s="157"/>
      <c r="F1475" s="157"/>
      <c r="G1475" s="3"/>
      <c r="H1475" s="156"/>
      <c r="I1475" s="156"/>
      <c r="J1475" s="156"/>
      <c r="K1475" s="165"/>
      <c r="L1475" s="165"/>
      <c r="M1475" s="1"/>
      <c r="N1475" s="164"/>
      <c r="O1475" s="1"/>
      <c r="P1475" s="153"/>
      <c r="Q1475" s="39"/>
      <c r="R1475" s="39"/>
      <c r="S1475" s="39"/>
      <c r="T1475" s="154"/>
      <c r="U1475" s="40"/>
    </row>
    <row r="1476" spans="1:21" ht="20" customHeight="1" x14ac:dyDescent="0.15">
      <c r="A1476" s="284" t="s">
        <v>7372</v>
      </c>
      <c r="B1476" s="157"/>
      <c r="C1476" s="157"/>
      <c r="D1476" s="157"/>
      <c r="E1476" s="157"/>
      <c r="F1476" s="157"/>
      <c r="G1476" s="3"/>
      <c r="H1476" s="156"/>
      <c r="I1476" s="156"/>
      <c r="J1476" s="156"/>
      <c r="K1476" s="165"/>
      <c r="L1476" s="165"/>
      <c r="M1476" s="1"/>
      <c r="N1476" s="164"/>
      <c r="O1476" s="1"/>
      <c r="P1476" s="153"/>
      <c r="Q1476" s="39"/>
      <c r="R1476" s="39"/>
      <c r="S1476" s="39"/>
      <c r="T1476" s="154"/>
      <c r="U1476" s="40"/>
    </row>
    <row r="1477" spans="1:21" ht="20" customHeight="1" x14ac:dyDescent="0.15">
      <c r="A1477" s="284" t="s">
        <v>7373</v>
      </c>
      <c r="B1477" s="157"/>
      <c r="C1477" s="157"/>
      <c r="D1477" s="157"/>
      <c r="E1477" s="157"/>
      <c r="F1477" s="157"/>
      <c r="G1477" s="3"/>
      <c r="H1477" s="156"/>
      <c r="I1477" s="156"/>
      <c r="J1477" s="156"/>
      <c r="K1477" s="165"/>
      <c r="L1477" s="165"/>
      <c r="M1477" s="1"/>
      <c r="N1477" s="164"/>
      <c r="O1477" s="1"/>
      <c r="P1477" s="153"/>
      <c r="Q1477" s="39"/>
      <c r="R1477" s="39"/>
      <c r="S1477" s="39"/>
      <c r="T1477" s="154"/>
      <c r="U1477" s="40"/>
    </row>
    <row r="1478" spans="1:21" ht="20" customHeight="1" x14ac:dyDescent="0.15">
      <c r="A1478" s="284" t="s">
        <v>7374</v>
      </c>
      <c r="B1478" s="157"/>
      <c r="C1478" s="157"/>
      <c r="D1478" s="157"/>
      <c r="E1478" s="157"/>
      <c r="F1478" s="157"/>
      <c r="G1478" s="3"/>
      <c r="H1478" s="156"/>
      <c r="I1478" s="156"/>
      <c r="J1478" s="156"/>
      <c r="K1478" s="165"/>
      <c r="L1478" s="165"/>
      <c r="M1478" s="1"/>
      <c r="N1478" s="164"/>
      <c r="O1478" s="1"/>
      <c r="P1478" s="153"/>
      <c r="Q1478" s="39"/>
      <c r="R1478" s="39"/>
      <c r="S1478" s="39"/>
      <c r="T1478" s="154"/>
      <c r="U1478" s="40"/>
    </row>
    <row r="1479" spans="1:21" ht="20" customHeight="1" x14ac:dyDescent="0.15">
      <c r="A1479" s="284" t="s">
        <v>7375</v>
      </c>
      <c r="B1479" s="157"/>
      <c r="C1479" s="157"/>
      <c r="D1479" s="157"/>
      <c r="E1479" s="157"/>
      <c r="F1479" s="157"/>
      <c r="G1479" s="3"/>
      <c r="H1479" s="156"/>
      <c r="I1479" s="156"/>
      <c r="J1479" s="156"/>
      <c r="K1479" s="165"/>
      <c r="L1479" s="165"/>
      <c r="M1479" s="1"/>
      <c r="N1479" s="164"/>
      <c r="O1479" s="1"/>
      <c r="P1479" s="153"/>
      <c r="Q1479" s="39"/>
      <c r="R1479" s="39"/>
      <c r="S1479" s="39"/>
      <c r="T1479" s="154"/>
      <c r="U1479" s="40"/>
    </row>
    <row r="1480" spans="1:21" ht="20" customHeight="1" x14ac:dyDescent="0.15">
      <c r="A1480" s="284" t="s">
        <v>7376</v>
      </c>
      <c r="B1480" s="157"/>
      <c r="C1480" s="157"/>
      <c r="D1480" s="157"/>
      <c r="E1480" s="157"/>
      <c r="F1480" s="157"/>
      <c r="G1480" s="3"/>
      <c r="H1480" s="156"/>
      <c r="I1480" s="156"/>
      <c r="J1480" s="156"/>
      <c r="K1480" s="165"/>
      <c r="L1480" s="165"/>
      <c r="M1480" s="1"/>
      <c r="N1480" s="164"/>
      <c r="O1480" s="1"/>
      <c r="P1480" s="153"/>
      <c r="Q1480" s="39"/>
      <c r="R1480" s="39"/>
      <c r="S1480" s="39"/>
      <c r="T1480" s="154"/>
      <c r="U1480" s="40"/>
    </row>
    <row r="1481" spans="1:21" ht="20" customHeight="1" x14ac:dyDescent="0.15">
      <c r="A1481" s="284" t="s">
        <v>7377</v>
      </c>
      <c r="B1481" s="157"/>
      <c r="C1481" s="157"/>
      <c r="D1481" s="157"/>
      <c r="E1481" s="157"/>
      <c r="F1481" s="157"/>
      <c r="G1481" s="3"/>
      <c r="H1481" s="156"/>
      <c r="I1481" s="156"/>
      <c r="J1481" s="156"/>
      <c r="K1481" s="165"/>
      <c r="L1481" s="165"/>
      <c r="M1481" s="1"/>
      <c r="N1481" s="164"/>
      <c r="O1481" s="1"/>
      <c r="P1481" s="153"/>
      <c r="Q1481" s="39"/>
      <c r="R1481" s="39"/>
      <c r="S1481" s="39"/>
      <c r="T1481" s="154"/>
      <c r="U1481" s="40"/>
    </row>
    <row r="1482" spans="1:21" ht="20" customHeight="1" x14ac:dyDescent="0.15">
      <c r="A1482" s="284" t="s">
        <v>7378</v>
      </c>
      <c r="B1482" s="157"/>
      <c r="C1482" s="157"/>
      <c r="D1482" s="157"/>
      <c r="E1482" s="157"/>
      <c r="F1482" s="157"/>
      <c r="G1482" s="3"/>
      <c r="H1482" s="156"/>
      <c r="I1482" s="156"/>
      <c r="J1482" s="156"/>
      <c r="K1482" s="165"/>
      <c r="L1482" s="165"/>
      <c r="M1482" s="1"/>
      <c r="N1482" s="164"/>
      <c r="O1482" s="1"/>
      <c r="P1482" s="153"/>
      <c r="Q1482" s="39"/>
      <c r="R1482" s="39"/>
      <c r="S1482" s="39"/>
      <c r="T1482" s="154"/>
      <c r="U1482" s="40"/>
    </row>
    <row r="1483" spans="1:21" ht="20" customHeight="1" x14ac:dyDescent="0.15">
      <c r="A1483" s="284" t="s">
        <v>7379</v>
      </c>
      <c r="B1483" s="157"/>
      <c r="C1483" s="157"/>
      <c r="D1483" s="157"/>
      <c r="E1483" s="157"/>
      <c r="F1483" s="157"/>
      <c r="G1483" s="3"/>
      <c r="H1483" s="156"/>
      <c r="I1483" s="156"/>
      <c r="J1483" s="156"/>
      <c r="K1483" s="165"/>
      <c r="L1483" s="165"/>
      <c r="M1483" s="1"/>
      <c r="N1483" s="164"/>
      <c r="O1483" s="1"/>
      <c r="P1483" s="153"/>
      <c r="Q1483" s="39"/>
      <c r="R1483" s="39"/>
      <c r="S1483" s="39"/>
      <c r="T1483" s="154"/>
      <c r="U1483" s="40"/>
    </row>
    <row r="1484" spans="1:21" ht="20" customHeight="1" x14ac:dyDescent="0.15">
      <c r="A1484" s="284" t="s">
        <v>7380</v>
      </c>
      <c r="B1484" s="157"/>
      <c r="C1484" s="157"/>
      <c r="D1484" s="157"/>
      <c r="E1484" s="157"/>
      <c r="F1484" s="157"/>
      <c r="G1484" s="3"/>
      <c r="H1484" s="156"/>
      <c r="I1484" s="156"/>
      <c r="J1484" s="156"/>
      <c r="K1484" s="165"/>
      <c r="L1484" s="165"/>
      <c r="M1484" s="1"/>
      <c r="N1484" s="164"/>
      <c r="O1484" s="1"/>
      <c r="P1484" s="153"/>
      <c r="Q1484" s="39"/>
      <c r="R1484" s="39"/>
      <c r="S1484" s="39"/>
      <c r="T1484" s="154"/>
      <c r="U1484" s="40"/>
    </row>
    <row r="1485" spans="1:21" ht="20" customHeight="1" x14ac:dyDescent="0.15">
      <c r="A1485" s="284" t="s">
        <v>7381</v>
      </c>
      <c r="B1485" s="157"/>
      <c r="C1485" s="157"/>
      <c r="D1485" s="157"/>
      <c r="E1485" s="157"/>
      <c r="F1485" s="157"/>
      <c r="G1485" s="3"/>
      <c r="H1485" s="156"/>
      <c r="I1485" s="156"/>
      <c r="J1485" s="156"/>
      <c r="K1485" s="165"/>
      <c r="L1485" s="165"/>
      <c r="M1485" s="1"/>
      <c r="N1485" s="164"/>
      <c r="O1485" s="1"/>
      <c r="P1485" s="153"/>
      <c r="Q1485" s="39"/>
      <c r="R1485" s="39"/>
      <c r="S1485" s="39"/>
      <c r="T1485" s="154"/>
      <c r="U1485" s="40"/>
    </row>
    <row r="1486" spans="1:21" ht="20" customHeight="1" x14ac:dyDescent="0.15">
      <c r="A1486" s="284" t="s">
        <v>7382</v>
      </c>
      <c r="B1486" s="157"/>
      <c r="C1486" s="157"/>
      <c r="D1486" s="157"/>
      <c r="E1486" s="157"/>
      <c r="F1486" s="157"/>
      <c r="G1486" s="3"/>
      <c r="H1486" s="156"/>
      <c r="I1486" s="156"/>
      <c r="J1486" s="156"/>
      <c r="K1486" s="165"/>
      <c r="L1486" s="165"/>
      <c r="M1486" s="1"/>
      <c r="N1486" s="164"/>
      <c r="O1486" s="1"/>
      <c r="P1486" s="153"/>
      <c r="Q1486" s="39"/>
      <c r="R1486" s="39"/>
      <c r="S1486" s="39"/>
      <c r="T1486" s="154"/>
      <c r="U1486" s="40"/>
    </row>
    <row r="1487" spans="1:21" ht="20" customHeight="1" x14ac:dyDescent="0.15">
      <c r="A1487" s="284" t="s">
        <v>7383</v>
      </c>
      <c r="B1487" s="157"/>
      <c r="C1487" s="157"/>
      <c r="D1487" s="157"/>
      <c r="E1487" s="157"/>
      <c r="F1487" s="157"/>
      <c r="G1487" s="3"/>
      <c r="H1487" s="156"/>
      <c r="I1487" s="156"/>
      <c r="J1487" s="156"/>
      <c r="K1487" s="165"/>
      <c r="L1487" s="165"/>
      <c r="M1487" s="1"/>
      <c r="N1487" s="164"/>
      <c r="O1487" s="1"/>
      <c r="P1487" s="153"/>
      <c r="Q1487" s="39"/>
      <c r="R1487" s="39"/>
      <c r="S1487" s="39"/>
      <c r="T1487" s="154"/>
      <c r="U1487" s="40"/>
    </row>
    <row r="1488" spans="1:21" ht="20" customHeight="1" x14ac:dyDescent="0.15">
      <c r="A1488" s="284" t="s">
        <v>7384</v>
      </c>
      <c r="B1488" s="157"/>
      <c r="C1488" s="157"/>
      <c r="D1488" s="157"/>
      <c r="E1488" s="157"/>
      <c r="F1488" s="157"/>
      <c r="G1488" s="3"/>
      <c r="H1488" s="156"/>
      <c r="I1488" s="156"/>
      <c r="J1488" s="156"/>
      <c r="K1488" s="165"/>
      <c r="L1488" s="165"/>
      <c r="M1488" s="1"/>
      <c r="N1488" s="164"/>
      <c r="O1488" s="1"/>
      <c r="P1488" s="153"/>
      <c r="Q1488" s="39"/>
      <c r="R1488" s="39"/>
      <c r="S1488" s="39"/>
      <c r="T1488" s="154"/>
      <c r="U1488" s="40"/>
    </row>
    <row r="1489" spans="1:21" ht="20" customHeight="1" x14ac:dyDescent="0.15">
      <c r="A1489" s="284" t="s">
        <v>7385</v>
      </c>
      <c r="B1489" s="157"/>
      <c r="C1489" s="157"/>
      <c r="D1489" s="157"/>
      <c r="E1489" s="157"/>
      <c r="F1489" s="157"/>
      <c r="G1489" s="3"/>
      <c r="H1489" s="156"/>
      <c r="I1489" s="156"/>
      <c r="J1489" s="156"/>
      <c r="K1489" s="165"/>
      <c r="L1489" s="165"/>
      <c r="M1489" s="1"/>
      <c r="N1489" s="164"/>
      <c r="O1489" s="1"/>
      <c r="P1489" s="153"/>
      <c r="Q1489" s="39"/>
      <c r="R1489" s="39"/>
      <c r="S1489" s="39"/>
      <c r="T1489" s="154"/>
      <c r="U1489" s="40"/>
    </row>
    <row r="1490" spans="1:21" ht="20" customHeight="1" x14ac:dyDescent="0.15">
      <c r="A1490" s="284" t="s">
        <v>7386</v>
      </c>
      <c r="B1490" s="157"/>
      <c r="C1490" s="157"/>
      <c r="D1490" s="157"/>
      <c r="E1490" s="157"/>
      <c r="F1490" s="157"/>
      <c r="G1490" s="3"/>
      <c r="H1490" s="156"/>
      <c r="I1490" s="156"/>
      <c r="J1490" s="156"/>
      <c r="K1490" s="165"/>
      <c r="L1490" s="165"/>
      <c r="M1490" s="1"/>
      <c r="N1490" s="164"/>
      <c r="O1490" s="1"/>
      <c r="P1490" s="153"/>
      <c r="Q1490" s="39"/>
      <c r="R1490" s="39"/>
      <c r="S1490" s="39"/>
      <c r="T1490" s="154"/>
      <c r="U1490" s="40"/>
    </row>
    <row r="1491" spans="1:21" ht="20" customHeight="1" x14ac:dyDescent="0.15">
      <c r="A1491" s="284" t="s">
        <v>7387</v>
      </c>
      <c r="B1491" s="157"/>
      <c r="C1491" s="157"/>
      <c r="D1491" s="157"/>
      <c r="E1491" s="157"/>
      <c r="F1491" s="157"/>
      <c r="G1491" s="3"/>
      <c r="H1491" s="156"/>
      <c r="I1491" s="156"/>
      <c r="J1491" s="156"/>
      <c r="K1491" s="165"/>
      <c r="L1491" s="165"/>
      <c r="M1491" s="1"/>
      <c r="N1491" s="164"/>
      <c r="O1491" s="1"/>
      <c r="P1491" s="153"/>
      <c r="Q1491" s="39"/>
      <c r="R1491" s="39"/>
      <c r="S1491" s="39"/>
      <c r="T1491" s="154"/>
      <c r="U1491" s="40"/>
    </row>
    <row r="1492" spans="1:21" ht="20" customHeight="1" x14ac:dyDescent="0.15">
      <c r="A1492" s="284" t="s">
        <v>7388</v>
      </c>
      <c r="B1492" s="157"/>
      <c r="C1492" s="157"/>
      <c r="D1492" s="157"/>
      <c r="E1492" s="157"/>
      <c r="F1492" s="157"/>
      <c r="G1492" s="3"/>
      <c r="H1492" s="156"/>
      <c r="I1492" s="156"/>
      <c r="J1492" s="156"/>
      <c r="K1492" s="165"/>
      <c r="L1492" s="165"/>
      <c r="M1492" s="1"/>
      <c r="N1492" s="164"/>
      <c r="O1492" s="1"/>
      <c r="P1492" s="153"/>
      <c r="Q1492" s="39"/>
      <c r="R1492" s="39"/>
      <c r="S1492" s="39"/>
      <c r="T1492" s="154"/>
      <c r="U1492" s="40"/>
    </row>
    <row r="1493" spans="1:21" ht="20" customHeight="1" x14ac:dyDescent="0.15">
      <c r="A1493" s="284" t="s">
        <v>7389</v>
      </c>
      <c r="B1493" s="157"/>
      <c r="C1493" s="157"/>
      <c r="D1493" s="157"/>
      <c r="E1493" s="157"/>
      <c r="F1493" s="157"/>
      <c r="G1493" s="3"/>
      <c r="H1493" s="156"/>
      <c r="I1493" s="156"/>
      <c r="J1493" s="156"/>
      <c r="K1493" s="165"/>
      <c r="L1493" s="165"/>
      <c r="M1493" s="1"/>
      <c r="N1493" s="164"/>
      <c r="O1493" s="1"/>
      <c r="P1493" s="153"/>
      <c r="Q1493" s="39"/>
      <c r="R1493" s="39"/>
      <c r="S1493" s="39"/>
      <c r="T1493" s="154"/>
      <c r="U1493" s="40"/>
    </row>
    <row r="1494" spans="1:21" ht="20" customHeight="1" x14ac:dyDescent="0.15">
      <c r="A1494" s="284" t="s">
        <v>7390</v>
      </c>
      <c r="B1494" s="157"/>
      <c r="C1494" s="157"/>
      <c r="D1494" s="157"/>
      <c r="E1494" s="157"/>
      <c r="F1494" s="157"/>
      <c r="G1494" s="3"/>
      <c r="H1494" s="156"/>
      <c r="I1494" s="156"/>
      <c r="J1494" s="156"/>
      <c r="K1494" s="165"/>
      <c r="L1494" s="165"/>
      <c r="M1494" s="1"/>
      <c r="N1494" s="164"/>
      <c r="O1494" s="1"/>
      <c r="P1494" s="153"/>
      <c r="Q1494" s="39"/>
      <c r="R1494" s="39"/>
      <c r="S1494" s="39"/>
      <c r="T1494" s="154"/>
      <c r="U1494" s="40"/>
    </row>
    <row r="1495" spans="1:21" ht="20" customHeight="1" x14ac:dyDescent="0.15">
      <c r="A1495" s="284" t="s">
        <v>7391</v>
      </c>
      <c r="B1495" s="157"/>
      <c r="C1495" s="157"/>
      <c r="D1495" s="157"/>
      <c r="E1495" s="157"/>
      <c r="F1495" s="157"/>
      <c r="G1495" s="3"/>
      <c r="H1495" s="156"/>
      <c r="I1495" s="156"/>
      <c r="J1495" s="156"/>
      <c r="K1495" s="165"/>
      <c r="L1495" s="165"/>
      <c r="M1495" s="1"/>
      <c r="N1495" s="164"/>
      <c r="O1495" s="1"/>
      <c r="P1495" s="153"/>
      <c r="Q1495" s="39"/>
      <c r="R1495" s="39"/>
      <c r="S1495" s="39"/>
      <c r="T1495" s="154"/>
      <c r="U1495" s="40"/>
    </row>
    <row r="1496" spans="1:21" ht="20" customHeight="1" x14ac:dyDescent="0.15">
      <c r="A1496" s="284" t="s">
        <v>7392</v>
      </c>
      <c r="B1496" s="157"/>
      <c r="C1496" s="157"/>
      <c r="D1496" s="157"/>
      <c r="E1496" s="157"/>
      <c r="F1496" s="157"/>
      <c r="G1496" s="3"/>
      <c r="H1496" s="156"/>
      <c r="I1496" s="156"/>
      <c r="J1496" s="156"/>
      <c r="K1496" s="165"/>
      <c r="L1496" s="165"/>
      <c r="M1496" s="1"/>
      <c r="N1496" s="164"/>
      <c r="O1496" s="1"/>
      <c r="P1496" s="153"/>
      <c r="Q1496" s="39"/>
      <c r="R1496" s="39"/>
      <c r="S1496" s="39"/>
      <c r="T1496" s="154"/>
      <c r="U1496" s="40"/>
    </row>
    <row r="1497" spans="1:21" ht="20" customHeight="1" x14ac:dyDescent="0.15">
      <c r="A1497" s="284" t="s">
        <v>7393</v>
      </c>
      <c r="B1497" s="157"/>
      <c r="C1497" s="157"/>
      <c r="D1497" s="157"/>
      <c r="E1497" s="157"/>
      <c r="F1497" s="157"/>
      <c r="G1497" s="3"/>
      <c r="H1497" s="156"/>
      <c r="I1497" s="156"/>
      <c r="J1497" s="156"/>
      <c r="K1497" s="165"/>
      <c r="L1497" s="165"/>
      <c r="M1497" s="1"/>
      <c r="N1497" s="164"/>
      <c r="O1497" s="1"/>
      <c r="P1497" s="153"/>
      <c r="Q1497" s="39"/>
      <c r="R1497" s="39"/>
      <c r="S1497" s="39"/>
      <c r="T1497" s="154"/>
      <c r="U1497" s="40"/>
    </row>
    <row r="1498" spans="1:21" ht="20" customHeight="1" x14ac:dyDescent="0.15">
      <c r="A1498" s="284" t="s">
        <v>7394</v>
      </c>
      <c r="B1498" s="157"/>
      <c r="C1498" s="157"/>
      <c r="D1498" s="157"/>
      <c r="E1498" s="157"/>
      <c r="F1498" s="157"/>
      <c r="G1498" s="3"/>
      <c r="H1498" s="156"/>
      <c r="I1498" s="156"/>
      <c r="J1498" s="156"/>
      <c r="K1498" s="165"/>
      <c r="L1498" s="165"/>
      <c r="M1498" s="1"/>
      <c r="N1498" s="164"/>
      <c r="O1498" s="1"/>
      <c r="P1498" s="153"/>
      <c r="Q1498" s="39"/>
      <c r="R1498" s="39"/>
      <c r="S1498" s="39"/>
      <c r="T1498" s="154"/>
      <c r="U1498" s="40"/>
    </row>
    <row r="1499" spans="1:21" ht="20" customHeight="1" x14ac:dyDescent="0.15">
      <c r="A1499" s="284" t="s">
        <v>7395</v>
      </c>
      <c r="B1499" s="157"/>
      <c r="C1499" s="157"/>
      <c r="D1499" s="157"/>
      <c r="E1499" s="157"/>
      <c r="F1499" s="157"/>
      <c r="G1499" s="3"/>
      <c r="H1499" s="156"/>
      <c r="I1499" s="156"/>
      <c r="J1499" s="156"/>
      <c r="K1499" s="165"/>
      <c r="L1499" s="165"/>
      <c r="M1499" s="1"/>
      <c r="N1499" s="164"/>
      <c r="O1499" s="1"/>
      <c r="P1499" s="153"/>
      <c r="Q1499" s="39"/>
      <c r="R1499" s="39"/>
      <c r="S1499" s="39"/>
      <c r="T1499" s="154"/>
      <c r="U1499" s="40"/>
    </row>
    <row r="1500" spans="1:21" ht="20" customHeight="1" x14ac:dyDescent="0.15">
      <c r="A1500" s="284" t="s">
        <v>7396</v>
      </c>
      <c r="B1500" s="157"/>
      <c r="C1500" s="157"/>
      <c r="D1500" s="157"/>
      <c r="E1500" s="157"/>
      <c r="F1500" s="157"/>
      <c r="G1500" s="3"/>
      <c r="H1500" s="156"/>
      <c r="I1500" s="156"/>
      <c r="J1500" s="156"/>
      <c r="K1500" s="165"/>
      <c r="L1500" s="165"/>
      <c r="M1500" s="1"/>
      <c r="N1500" s="164"/>
      <c r="O1500" s="1"/>
      <c r="P1500" s="153"/>
      <c r="Q1500" s="39"/>
      <c r="R1500" s="39"/>
      <c r="S1500" s="39"/>
      <c r="T1500" s="154"/>
      <c r="U1500" s="40"/>
    </row>
    <row r="1501" spans="1:21" ht="20" customHeight="1" x14ac:dyDescent="0.15">
      <c r="A1501" s="284" t="s">
        <v>7397</v>
      </c>
      <c r="B1501" s="157"/>
      <c r="C1501" s="157"/>
      <c r="D1501" s="157"/>
      <c r="E1501" s="157"/>
      <c r="F1501" s="157"/>
      <c r="G1501" s="3"/>
      <c r="H1501" s="156"/>
      <c r="I1501" s="156"/>
      <c r="J1501" s="156"/>
      <c r="K1501" s="165"/>
      <c r="L1501" s="165"/>
      <c r="M1501" s="1"/>
      <c r="N1501" s="164"/>
      <c r="O1501" s="1"/>
      <c r="P1501" s="153"/>
      <c r="Q1501" s="39"/>
      <c r="R1501" s="39"/>
      <c r="S1501" s="39"/>
      <c r="T1501" s="154"/>
      <c r="U1501" s="40"/>
    </row>
    <row r="1502" spans="1:21" ht="20" customHeight="1" x14ac:dyDescent="0.15">
      <c r="A1502" s="284" t="s">
        <v>7398</v>
      </c>
      <c r="B1502" s="157"/>
      <c r="C1502" s="157"/>
      <c r="D1502" s="157"/>
      <c r="E1502" s="157"/>
      <c r="F1502" s="157"/>
      <c r="G1502" s="3"/>
      <c r="H1502" s="156"/>
      <c r="I1502" s="156"/>
      <c r="J1502" s="156"/>
      <c r="K1502" s="165"/>
      <c r="L1502" s="165"/>
      <c r="M1502" s="1"/>
      <c r="N1502" s="164"/>
      <c r="O1502" s="1"/>
      <c r="P1502" s="153"/>
      <c r="Q1502" s="39"/>
      <c r="R1502" s="39"/>
      <c r="S1502" s="39"/>
      <c r="T1502" s="154"/>
      <c r="U1502" s="40"/>
    </row>
    <row r="1503" spans="1:21" ht="20" customHeight="1" x14ac:dyDescent="0.15">
      <c r="A1503" s="284" t="s">
        <v>7399</v>
      </c>
      <c r="B1503" s="157"/>
      <c r="C1503" s="157"/>
      <c r="D1503" s="157"/>
      <c r="E1503" s="157"/>
      <c r="F1503" s="157"/>
      <c r="G1503" s="3"/>
      <c r="H1503" s="156"/>
      <c r="I1503" s="156"/>
      <c r="J1503" s="156"/>
      <c r="K1503" s="165"/>
      <c r="L1503" s="165"/>
      <c r="M1503" s="1"/>
      <c r="N1503" s="164"/>
      <c r="O1503" s="1"/>
      <c r="P1503" s="153"/>
      <c r="Q1503" s="39"/>
      <c r="R1503" s="39"/>
      <c r="S1503" s="39"/>
      <c r="T1503" s="154"/>
      <c r="U1503" s="40"/>
    </row>
    <row r="1504" spans="1:21" ht="20" customHeight="1" x14ac:dyDescent="0.15">
      <c r="A1504" s="284" t="s">
        <v>7400</v>
      </c>
      <c r="B1504" s="157"/>
      <c r="C1504" s="157"/>
      <c r="D1504" s="157"/>
      <c r="E1504" s="157"/>
      <c r="F1504" s="157"/>
      <c r="G1504" s="3"/>
      <c r="H1504" s="156"/>
      <c r="I1504" s="156"/>
      <c r="J1504" s="156"/>
      <c r="K1504" s="165"/>
      <c r="L1504" s="165"/>
      <c r="M1504" s="1"/>
      <c r="N1504" s="164"/>
      <c r="O1504" s="1"/>
      <c r="P1504" s="153"/>
      <c r="Q1504" s="39"/>
      <c r="R1504" s="39"/>
      <c r="S1504" s="39"/>
      <c r="T1504" s="154"/>
      <c r="U1504" s="40"/>
    </row>
    <row r="1505" spans="1:21" ht="20" customHeight="1" x14ac:dyDescent="0.15">
      <c r="A1505" s="284" t="s">
        <v>7401</v>
      </c>
      <c r="B1505" s="157"/>
      <c r="C1505" s="157"/>
      <c r="D1505" s="157"/>
      <c r="E1505" s="157"/>
      <c r="F1505" s="157"/>
      <c r="G1505" s="3"/>
      <c r="H1505" s="156"/>
      <c r="I1505" s="156"/>
      <c r="J1505" s="156"/>
      <c r="K1505" s="165"/>
      <c r="L1505" s="165"/>
      <c r="M1505" s="1"/>
      <c r="N1505" s="164"/>
      <c r="O1505" s="1"/>
      <c r="P1505" s="153"/>
      <c r="Q1505" s="39"/>
      <c r="R1505" s="39"/>
      <c r="S1505" s="39"/>
      <c r="T1505" s="154"/>
      <c r="U1505" s="40"/>
    </row>
    <row r="1506" spans="1:21" ht="20" customHeight="1" x14ac:dyDescent="0.15">
      <c r="A1506" s="284" t="s">
        <v>7402</v>
      </c>
      <c r="B1506" s="157"/>
      <c r="C1506" s="157"/>
      <c r="D1506" s="157"/>
      <c r="E1506" s="157"/>
      <c r="F1506" s="157"/>
      <c r="G1506" s="3"/>
      <c r="H1506" s="156"/>
      <c r="I1506" s="156"/>
      <c r="J1506" s="156"/>
      <c r="K1506" s="165"/>
      <c r="L1506" s="165"/>
      <c r="M1506" s="1"/>
      <c r="N1506" s="164"/>
      <c r="O1506" s="1"/>
      <c r="P1506" s="153"/>
      <c r="Q1506" s="39"/>
      <c r="R1506" s="39"/>
      <c r="S1506" s="39"/>
      <c r="T1506" s="154"/>
      <c r="U1506" s="40"/>
    </row>
    <row r="1507" spans="1:21" ht="20" customHeight="1" x14ac:dyDescent="0.15">
      <c r="A1507" s="284" t="s">
        <v>7403</v>
      </c>
      <c r="B1507" s="157"/>
      <c r="C1507" s="157"/>
      <c r="D1507" s="157"/>
      <c r="E1507" s="157"/>
      <c r="F1507" s="157"/>
      <c r="G1507" s="3"/>
      <c r="H1507" s="156"/>
      <c r="I1507" s="156"/>
      <c r="J1507" s="156"/>
      <c r="K1507" s="165"/>
      <c r="L1507" s="165"/>
      <c r="M1507" s="1"/>
      <c r="N1507" s="164"/>
      <c r="O1507" s="1"/>
      <c r="P1507" s="153"/>
      <c r="Q1507" s="39"/>
      <c r="R1507" s="39"/>
      <c r="S1507" s="39"/>
      <c r="T1507" s="154"/>
      <c r="U1507" s="40"/>
    </row>
    <row r="1508" spans="1:21" ht="20" customHeight="1" x14ac:dyDescent="0.15">
      <c r="A1508" s="284" t="s">
        <v>7404</v>
      </c>
      <c r="B1508" s="157"/>
      <c r="C1508" s="157"/>
      <c r="D1508" s="157"/>
      <c r="E1508" s="157"/>
      <c r="F1508" s="157"/>
      <c r="G1508" s="3"/>
      <c r="H1508" s="156"/>
      <c r="I1508" s="156"/>
      <c r="J1508" s="156"/>
      <c r="K1508" s="165"/>
      <c r="L1508" s="165"/>
      <c r="M1508" s="1"/>
      <c r="N1508" s="164"/>
      <c r="O1508" s="1"/>
      <c r="P1508" s="153"/>
      <c r="Q1508" s="39"/>
      <c r="R1508" s="39"/>
      <c r="S1508" s="39"/>
      <c r="T1508" s="154"/>
      <c r="U1508" s="40"/>
    </row>
    <row r="1509" spans="1:21" ht="20" customHeight="1" x14ac:dyDescent="0.15">
      <c r="A1509" s="284" t="s">
        <v>7405</v>
      </c>
      <c r="B1509" s="157"/>
      <c r="C1509" s="157"/>
      <c r="D1509" s="157"/>
      <c r="E1509" s="157"/>
      <c r="F1509" s="157"/>
      <c r="G1509" s="3"/>
      <c r="H1509" s="156"/>
      <c r="I1509" s="156"/>
      <c r="J1509" s="156"/>
      <c r="K1509" s="165"/>
      <c r="L1509" s="165"/>
      <c r="M1509" s="1"/>
      <c r="N1509" s="164"/>
      <c r="O1509" s="1"/>
      <c r="P1509" s="153"/>
      <c r="Q1509" s="39"/>
      <c r="R1509" s="39"/>
      <c r="S1509" s="39"/>
      <c r="T1509" s="154"/>
      <c r="U1509" s="40"/>
    </row>
    <row r="1510" spans="1:21" ht="20" customHeight="1" x14ac:dyDescent="0.15">
      <c r="A1510" s="284" t="s">
        <v>7406</v>
      </c>
      <c r="B1510" s="157"/>
      <c r="C1510" s="157"/>
      <c r="D1510" s="157"/>
      <c r="E1510" s="157"/>
      <c r="F1510" s="157"/>
      <c r="G1510" s="3"/>
      <c r="H1510" s="156"/>
      <c r="I1510" s="156"/>
      <c r="J1510" s="156"/>
      <c r="K1510" s="165"/>
      <c r="L1510" s="165"/>
      <c r="M1510" s="1"/>
      <c r="N1510" s="164"/>
      <c r="O1510" s="1"/>
      <c r="P1510" s="153"/>
      <c r="Q1510" s="39"/>
      <c r="R1510" s="39"/>
      <c r="S1510" s="39"/>
      <c r="T1510" s="154"/>
      <c r="U1510" s="40"/>
    </row>
    <row r="1511" spans="1:21" ht="20" customHeight="1" x14ac:dyDescent="0.15">
      <c r="A1511" s="284" t="s">
        <v>7407</v>
      </c>
      <c r="B1511" s="157"/>
      <c r="C1511" s="157"/>
      <c r="D1511" s="157"/>
      <c r="E1511" s="157"/>
      <c r="F1511" s="157"/>
      <c r="G1511" s="3"/>
      <c r="H1511" s="156"/>
      <c r="I1511" s="156"/>
      <c r="J1511" s="156"/>
      <c r="K1511" s="165"/>
      <c r="L1511" s="165"/>
      <c r="M1511" s="1"/>
      <c r="N1511" s="164"/>
      <c r="O1511" s="1"/>
      <c r="P1511" s="153"/>
      <c r="Q1511" s="39"/>
      <c r="R1511" s="39"/>
      <c r="S1511" s="39"/>
      <c r="T1511" s="154"/>
      <c r="U1511" s="40"/>
    </row>
    <row r="1512" spans="1:21" ht="20" customHeight="1" x14ac:dyDescent="0.15">
      <c r="A1512" s="284" t="s">
        <v>7408</v>
      </c>
      <c r="B1512" s="157"/>
      <c r="C1512" s="157"/>
      <c r="D1512" s="157"/>
      <c r="E1512" s="157"/>
      <c r="F1512" s="157"/>
      <c r="G1512" s="3"/>
      <c r="H1512" s="156"/>
      <c r="I1512" s="156"/>
      <c r="J1512" s="156"/>
      <c r="K1512" s="165"/>
      <c r="L1512" s="165"/>
      <c r="M1512" s="1"/>
      <c r="N1512" s="164"/>
      <c r="O1512" s="1"/>
      <c r="P1512" s="153"/>
      <c r="Q1512" s="39"/>
      <c r="R1512" s="39"/>
      <c r="S1512" s="39"/>
      <c r="T1512" s="154"/>
      <c r="U1512" s="40"/>
    </row>
    <row r="1513" spans="1:21" ht="20" customHeight="1" x14ac:dyDescent="0.15">
      <c r="A1513" s="284" t="s">
        <v>7409</v>
      </c>
      <c r="B1513" s="157"/>
      <c r="C1513" s="157"/>
      <c r="D1513" s="157"/>
      <c r="E1513" s="157"/>
      <c r="F1513" s="157"/>
      <c r="G1513" s="3"/>
      <c r="H1513" s="156"/>
      <c r="I1513" s="156"/>
      <c r="J1513" s="156"/>
      <c r="K1513" s="165"/>
      <c r="L1513" s="165"/>
      <c r="M1513" s="1"/>
      <c r="N1513" s="164"/>
      <c r="O1513" s="1"/>
      <c r="P1513" s="153"/>
      <c r="Q1513" s="39"/>
      <c r="R1513" s="39"/>
      <c r="S1513" s="39"/>
      <c r="T1513" s="154"/>
      <c r="U1513" s="40"/>
    </row>
    <row r="1514" spans="1:21" ht="20" customHeight="1" x14ac:dyDescent="0.15">
      <c r="A1514" s="284" t="s">
        <v>7410</v>
      </c>
      <c r="B1514" s="157"/>
      <c r="C1514" s="157"/>
      <c r="D1514" s="157"/>
      <c r="E1514" s="157"/>
      <c r="F1514" s="157"/>
      <c r="G1514" s="3"/>
      <c r="H1514" s="156"/>
      <c r="I1514" s="156"/>
      <c r="J1514" s="156"/>
      <c r="K1514" s="165"/>
      <c r="L1514" s="165"/>
      <c r="M1514" s="1"/>
      <c r="N1514" s="164"/>
      <c r="O1514" s="1"/>
      <c r="P1514" s="153"/>
      <c r="Q1514" s="39"/>
      <c r="R1514" s="39"/>
      <c r="S1514" s="39"/>
      <c r="T1514" s="154"/>
      <c r="U1514" s="40"/>
    </row>
    <row r="1515" spans="1:21" ht="20" customHeight="1" x14ac:dyDescent="0.15">
      <c r="A1515" s="284" t="s">
        <v>7411</v>
      </c>
      <c r="B1515" s="157"/>
      <c r="C1515" s="157"/>
      <c r="D1515" s="157"/>
      <c r="E1515" s="157"/>
      <c r="F1515" s="157"/>
      <c r="G1515" s="3"/>
      <c r="H1515" s="156"/>
      <c r="I1515" s="156"/>
      <c r="J1515" s="156"/>
      <c r="K1515" s="165"/>
      <c r="L1515" s="165"/>
      <c r="M1515" s="1"/>
      <c r="N1515" s="164"/>
      <c r="O1515" s="1"/>
      <c r="P1515" s="153"/>
      <c r="Q1515" s="39"/>
      <c r="R1515" s="39"/>
      <c r="S1515" s="39"/>
      <c r="T1515" s="154"/>
      <c r="U1515" s="40"/>
    </row>
    <row r="1516" spans="1:21" ht="20" customHeight="1" x14ac:dyDescent="0.15">
      <c r="A1516" s="284" t="s">
        <v>7412</v>
      </c>
      <c r="B1516" s="157"/>
      <c r="C1516" s="157"/>
      <c r="D1516" s="157"/>
      <c r="E1516" s="157"/>
      <c r="F1516" s="157"/>
      <c r="G1516" s="3"/>
      <c r="H1516" s="156"/>
      <c r="I1516" s="156"/>
      <c r="J1516" s="156"/>
      <c r="K1516" s="165"/>
      <c r="L1516" s="165"/>
      <c r="M1516" s="1"/>
      <c r="N1516" s="164"/>
      <c r="O1516" s="1"/>
      <c r="P1516" s="153"/>
      <c r="Q1516" s="39"/>
      <c r="R1516" s="39"/>
      <c r="S1516" s="39"/>
      <c r="T1516" s="154"/>
      <c r="U1516" s="40"/>
    </row>
    <row r="1517" spans="1:21" ht="20" customHeight="1" x14ac:dyDescent="0.15">
      <c r="A1517" s="284" t="s">
        <v>7413</v>
      </c>
      <c r="B1517" s="157"/>
      <c r="C1517" s="157"/>
      <c r="D1517" s="157"/>
      <c r="E1517" s="157"/>
      <c r="F1517" s="157"/>
      <c r="G1517" s="3"/>
      <c r="H1517" s="156"/>
      <c r="I1517" s="156"/>
      <c r="J1517" s="156"/>
      <c r="K1517" s="165"/>
      <c r="L1517" s="165"/>
      <c r="M1517" s="1"/>
      <c r="N1517" s="164"/>
      <c r="O1517" s="1"/>
      <c r="P1517" s="153"/>
      <c r="Q1517" s="39"/>
      <c r="R1517" s="39"/>
      <c r="S1517" s="39"/>
      <c r="T1517" s="154"/>
      <c r="U1517" s="40"/>
    </row>
    <row r="1518" spans="1:21" ht="20" customHeight="1" x14ac:dyDescent="0.15">
      <c r="A1518" s="284" t="s">
        <v>7414</v>
      </c>
      <c r="B1518" s="157"/>
      <c r="C1518" s="157"/>
      <c r="D1518" s="157"/>
      <c r="E1518" s="157"/>
      <c r="F1518" s="157"/>
      <c r="G1518" s="3"/>
      <c r="H1518" s="156"/>
      <c r="I1518" s="156"/>
      <c r="J1518" s="156"/>
      <c r="K1518" s="165"/>
      <c r="L1518" s="165"/>
      <c r="M1518" s="1"/>
      <c r="N1518" s="164"/>
      <c r="O1518" s="1"/>
      <c r="P1518" s="153"/>
      <c r="Q1518" s="39"/>
      <c r="R1518" s="39"/>
      <c r="S1518" s="39"/>
      <c r="T1518" s="154"/>
      <c r="U1518" s="40"/>
    </row>
    <row r="1519" spans="1:21" ht="20" customHeight="1" x14ac:dyDescent="0.15">
      <c r="A1519" s="284" t="s">
        <v>7415</v>
      </c>
      <c r="B1519" s="157"/>
      <c r="C1519" s="157"/>
      <c r="D1519" s="157"/>
      <c r="E1519" s="157"/>
      <c r="F1519" s="157"/>
      <c r="G1519" s="3"/>
      <c r="H1519" s="156"/>
      <c r="I1519" s="156"/>
      <c r="J1519" s="156"/>
      <c r="K1519" s="165"/>
      <c r="L1519" s="165"/>
      <c r="M1519" s="1"/>
      <c r="N1519" s="164"/>
      <c r="O1519" s="1"/>
      <c r="P1519" s="153"/>
      <c r="Q1519" s="39"/>
      <c r="R1519" s="39"/>
      <c r="S1519" s="39"/>
      <c r="T1519" s="154"/>
      <c r="U1519" s="40"/>
    </row>
    <row r="1520" spans="1:21" ht="20" customHeight="1" x14ac:dyDescent="0.15">
      <c r="A1520" s="284" t="s">
        <v>7416</v>
      </c>
      <c r="B1520" s="157"/>
      <c r="C1520" s="157"/>
      <c r="D1520" s="157"/>
      <c r="E1520" s="157"/>
      <c r="F1520" s="157"/>
      <c r="G1520" s="3"/>
      <c r="H1520" s="156"/>
      <c r="I1520" s="156"/>
      <c r="J1520" s="156"/>
      <c r="K1520" s="165"/>
      <c r="L1520" s="165"/>
      <c r="M1520" s="1"/>
      <c r="N1520" s="164"/>
      <c r="O1520" s="1"/>
      <c r="P1520" s="153"/>
      <c r="Q1520" s="39"/>
      <c r="R1520" s="39"/>
      <c r="S1520" s="39"/>
      <c r="T1520" s="154"/>
      <c r="U1520" s="40"/>
    </row>
    <row r="1521" spans="2:21" ht="18" customHeight="1" x14ac:dyDescent="0.15">
      <c r="B1521" s="41"/>
      <c r="C1521" s="28"/>
      <c r="D1521" s="28"/>
      <c r="E1521" s="28"/>
      <c r="F1521" s="28"/>
      <c r="G1521" s="28"/>
      <c r="H1521" s="28"/>
      <c r="I1521" s="28"/>
      <c r="J1521" s="28"/>
      <c r="K1521" s="27"/>
      <c r="L1521" s="27"/>
      <c r="M1521" s="27"/>
      <c r="N1521" s="27"/>
      <c r="O1521" s="27"/>
      <c r="P1521" s="63"/>
      <c r="Q1521" s="63"/>
      <c r="R1521" s="63"/>
      <c r="S1521" s="63"/>
      <c r="T1521" s="63"/>
      <c r="U1521" s="29"/>
    </row>
    <row r="1522" spans="2:21" ht="12.75" customHeight="1" x14ac:dyDescent="0.15">
      <c r="B1522" s="225"/>
      <c r="C1522" s="225"/>
      <c r="D1522" s="225"/>
      <c r="E1522" s="226"/>
      <c r="F1522" s="10"/>
      <c r="G1522" s="10"/>
      <c r="H1522" s="227"/>
      <c r="I1522" s="228"/>
      <c r="J1522" s="228"/>
      <c r="K1522" s="228"/>
      <c r="L1522" s="229"/>
      <c r="M1522" s="229"/>
      <c r="N1522" s="230"/>
      <c r="O1522" s="231"/>
      <c r="P1522" s="232"/>
      <c r="Q1522" s="232"/>
    </row>
    <row r="1529" spans="2:21" ht="30.75" customHeight="1" x14ac:dyDescent="0.15">
      <c r="G1529" s="149"/>
      <c r="O1529" s="231"/>
      <c r="P1529" s="232"/>
      <c r="Q1529" s="232"/>
    </row>
    <row r="1530" spans="2:21" ht="14.25" customHeight="1" x14ac:dyDescent="0.15">
      <c r="O1530" s="231"/>
      <c r="P1530" s="232"/>
      <c r="Q1530" s="232"/>
    </row>
    <row r="1531" spans="2:21" ht="95.25" customHeight="1" x14ac:dyDescent="0.15">
      <c r="O1531" s="150"/>
      <c r="P1531" s="233"/>
      <c r="Q1531" s="232"/>
      <c r="R1531" s="232"/>
    </row>
    <row r="1532" spans="2:21" x14ac:dyDescent="0.15">
      <c r="O1532" s="150"/>
      <c r="P1532" s="233"/>
      <c r="Q1532" s="232"/>
      <c r="R1532" s="232"/>
    </row>
    <row r="1533" spans="2:21" ht="18" customHeight="1" x14ac:dyDescent="0.15">
      <c r="O1533" s="150"/>
      <c r="P1533" s="233"/>
      <c r="Q1533" s="232"/>
      <c r="R1533" s="232"/>
    </row>
    <row r="1534" spans="2:21" ht="18" customHeight="1" x14ac:dyDescent="0.15">
      <c r="O1534" s="150"/>
      <c r="P1534" s="233"/>
      <c r="Q1534" s="232"/>
      <c r="R1534" s="232"/>
    </row>
    <row r="1535" spans="2:21" ht="18" customHeight="1" x14ac:dyDescent="0.15">
      <c r="O1535" s="150"/>
      <c r="P1535" s="233"/>
      <c r="Q1535" s="232"/>
      <c r="R1535" s="232"/>
    </row>
    <row r="1536" spans="2:21" ht="18" customHeight="1" x14ac:dyDescent="0.15">
      <c r="O1536" s="150"/>
      <c r="P1536" s="233"/>
      <c r="Q1536" s="232"/>
      <c r="R1536" s="232"/>
    </row>
    <row r="1537" spans="2:19" ht="18" customHeight="1" x14ac:dyDescent="0.15">
      <c r="O1537" s="150"/>
      <c r="P1537" s="233"/>
      <c r="Q1537" s="232"/>
      <c r="R1537" s="232"/>
    </row>
    <row r="1538" spans="2:19" ht="20.25" customHeight="1" x14ac:dyDescent="0.15">
      <c r="O1538" s="150"/>
      <c r="P1538" s="70"/>
      <c r="Q1538" s="70"/>
      <c r="R1538" s="70"/>
      <c r="S1538" s="70"/>
    </row>
    <row r="1539" spans="2:19" s="33" customFormat="1" x14ac:dyDescent="0.15">
      <c r="O1539" s="19"/>
      <c r="P1539" s="32"/>
      <c r="Q1539" s="32"/>
    </row>
    <row r="1540" spans="2:19" s="33" customFormat="1" ht="15" customHeight="1" x14ac:dyDescent="0.15">
      <c r="O1540" s="19"/>
      <c r="P1540" s="32"/>
      <c r="Q1540" s="32"/>
    </row>
    <row r="1541" spans="2:19" ht="15" customHeight="1" x14ac:dyDescent="0.15">
      <c r="P1541" s="35"/>
      <c r="Q1541" s="35"/>
    </row>
    <row r="1542" spans="2:19" ht="15" customHeight="1" x14ac:dyDescent="0.15">
      <c r="O1542" s="9"/>
    </row>
    <row r="1543" spans="2:19" ht="15" customHeight="1" x14ac:dyDescent="0.15"/>
    <row r="1544" spans="2:19" ht="15" customHeight="1" x14ac:dyDescent="0.15"/>
    <row r="1546" spans="2:19" ht="15" customHeight="1" x14ac:dyDescent="0.15">
      <c r="B1546" s="42"/>
    </row>
    <row r="1547" spans="2:19" ht="15" customHeight="1" x14ac:dyDescent="0.15">
      <c r="B1547" s="42"/>
    </row>
  </sheetData>
  <sheetProtection algorithmName="SHA-512" hashValue="KEKs11bTdTiYQJuTg2sWNJWrgGpCY7CQf3DbLAuemO23goDxLKrz6wd0peAjTSMvFXD0VXMx9RzW6hdO7mow3g==" saltValue="eyXoicHTcQoeRwvLbleJsg==" spinCount="100000" sheet="1" objects="1" scenarios="1" formatColumns="0" formatRows="0"/>
  <customSheetViews>
    <customSheetView guid="{D5B14F2C-2005-4A46-8CC9-D91764B00F08}" scale="90" showPageBreaks="1" fitToPage="1" printArea="1" topLeftCell="A7">
      <selection activeCell="H22" sqref="H22"/>
      <pageMargins left="0.19685039370078741" right="0.19685039370078741" top="0.39370078740157483" bottom="0.39370078740157483" header="0.19685039370078741" footer="0.19685039370078741"/>
      <printOptions horizontalCentered="1" verticalCentered="1"/>
      <pageSetup paperSize="8" scale="75" orientation="landscape" r:id="rId1"/>
      <headerFooter>
        <oddHeader>&amp;R&amp;"Trebuchet MS,Normal"&amp;8Données du contrat en cours</oddHeader>
        <oddFooter>&amp;L&amp;"Trebuchet MS Italic,Italique"&amp;8&amp;K000000Vague E : campagne d'évaluation 2018 - 2019
Novembre 2017&amp;C&amp;"Trebuchet MS,Normal"&amp;8&amp;K000000Page &amp;P/&amp;N&amp;R&amp;"Trebuchet MS,Normal"&amp;8&amp;K000000&amp;A</oddFooter>
      </headerFooter>
    </customSheetView>
    <customSheetView guid="{16E30FE5-CA9F-4336-8D1A-21719AC9AE43}" scale="90" showPageBreaks="1" fitToPage="1" printArea="1" topLeftCell="A7">
      <selection activeCell="H22" sqref="H22"/>
      <pageMargins left="0.19685039370078741" right="0.19685039370078741" top="0.39370078740157483" bottom="0.39370078740157483" header="0.19685039370078741" footer="0.19685039370078741"/>
      <printOptions horizontalCentered="1" verticalCentered="1"/>
      <pageSetup paperSize="8" scale="75" orientation="landscape" r:id="rId2"/>
      <headerFooter>
        <oddHeader>&amp;R&amp;"Trebuchet MS,Normal"&amp;8Données du contrat en cours</oddHeader>
        <oddFooter>&amp;L&amp;"Trebuchet MS Italic,Italique"&amp;8&amp;K000000Vague E : campagne d'évaluation 2018 - 2019
Novembre 2017&amp;C&amp;"Trebuchet MS,Normal"&amp;8&amp;K000000Page &amp;P/&amp;N&amp;R&amp;"Trebuchet MS,Normal"&amp;8&amp;K000000&amp;A</oddFooter>
      </headerFooter>
    </customSheetView>
  </customSheetViews>
  <mergeCells count="1">
    <mergeCell ref="Q17:S19"/>
  </mergeCells>
  <phoneticPr fontId="0" type="noConversion"/>
  <dataValidations count="10">
    <dataValidation type="list" allowBlank="1" showInputMessage="1" showErrorMessage="1" errorTitle="Veuillez annuler votre saisie" error="Selectionnez une équipe dans le menu déroulant" sqref="F21:F1520" xr:uid="{00000000-0002-0000-0300-000000000000}">
      <formula1>équipes</formula1>
    </dataValidation>
    <dataValidation type="date" allowBlank="1" showInputMessage="1" showErrorMessage="1" error="Veuillez saisir une date comprise entre le 01/01/1956 et le 15/12/2021 au format JJ/MM/AAAA" sqref="P21:P1520" xr:uid="{00000000-0002-0000-0300-000002000000}">
      <formula1>20455</formula1>
      <formula2>44545</formula2>
    </dataValidation>
    <dataValidation type="list" allowBlank="1" showInputMessage="1" showErrorMessage="1" errorTitle="Erreur de saisie" error="Veuillez saisir un 'type emploi' parmi les 6 propositions du menu déroulant" sqref="J21:J1520" xr:uid="{00000000-0002-0000-0300-000004000000}">
      <formula1>"EC_tit,EC_aut,CH_tit,CH_aut,AP_tit,AP_aut"</formula1>
    </dataValidation>
    <dataValidation type="list" allowBlank="1" showInputMessage="1" showErrorMessage="1" sqref="M21:M1520" xr:uid="{00000000-0002-0000-0300-000005000000}">
      <formula1>codes_postaux</formula1>
    </dataValidation>
    <dataValidation type="list" allowBlank="1" showInputMessage="1" showErrorMessage="1" errorTitle="Veuillez annuler votre saisie" error="Sélectionnez un établissement dans le menu déroulant" sqref="H21:H1520" xr:uid="{00000000-0002-0000-0300-000006000000}">
      <formula1>Etablissements_employeurs</formula1>
    </dataValidation>
    <dataValidation type="list" allowBlank="1" showErrorMessage="1" errorTitle="Veuillez annuler votre saisie" error="Vous devez sélectionner un établissement proposé dans la liste déroulante" sqref="I21:I1520" xr:uid="{00000000-0002-0000-0300-000007000000}">
      <formula1>Etablissements_exercice</formula1>
    </dataValidation>
    <dataValidation type="list" allowBlank="1" showInputMessage="1" showErrorMessage="1" sqref="L21:L1520" xr:uid="{00000000-0002-0000-0300-000008000000}">
      <formula1>Sections_BAP</formula1>
    </dataValidation>
    <dataValidation type="list" allowBlank="1" showInputMessage="1" showErrorMessage="1" errorTitle="Veuillez annuler votre saisie" error="Selectionnez un &quot;Corps-grade&quot; dans le menu déroulant " sqref="K21:K1520" xr:uid="{00000000-0002-0000-0300-000009000000}">
      <formula1>INDIRECT($J21)</formula1>
    </dataValidation>
    <dataValidation type="date" allowBlank="1" showDropDown="1" showInputMessage="1" showErrorMessage="1" errorTitle="Date non valide" error="Merci de saisir une date comprise entre 01/01/1921 et 31/12/2011 au format JJ/MM/AAAA" sqref="G21:G73 G75:G1520" xr:uid="{00000000-0002-0000-0300-000001000000}">
      <formula1>7672</formula1>
      <formula2>40908</formula2>
    </dataValidation>
    <dataValidation type="date" allowBlank="1" showInputMessage="1" showErrorMessage="1" errorTitle="Veuillez annuler votre saisie" error="Veuillez saisir une date comprise entre le 01/01/2016 et le 31/12/2021, période du bilan et au format JJ/MM/AAAA" sqref="T21:T41 T43 T45:T46 T48:T1520" xr:uid="{00000000-0002-0000-0300-000003000000}">
      <formula1>42370</formula1>
      <formula2>44561</formula2>
    </dataValidation>
  </dataValidations>
  <printOptions horizontalCentered="1" verticalCentered="1"/>
  <pageMargins left="0.19685039370078741" right="0.19685039370078741" top="0.39370078740157483" bottom="0.59055118110236227" header="0.19685039370078741" footer="0.19685039370078741"/>
  <pageSetup paperSize="8" scale="56" orientation="landscape" r:id="rId3"/>
  <headerFooter>
    <oddHeader>&amp;R&amp;"Trebuchet MS,Italique"&amp;9Département d'évaluation de la recherche</oddHeader>
    <oddFooter>&amp;L&amp;"Century Gothic,Italique"&amp;9Vague C : campagne d'évaluation 2022-2023 - juillet 2021&amp;C&amp;"Trebuchet MS,Normal"&amp;8&amp;K000000Page &amp;P/&amp;N&amp;R&amp;"Trebuchet MS,Italique"&amp;9&amp;K000000&amp;A</oddFooter>
  </headerFooter>
  <drawing r:id="rId4"/>
  <extLst>
    <ext xmlns:x14="http://schemas.microsoft.com/office/spreadsheetml/2009/9/main" uri="{CCE6A557-97BC-4b89-ADB6-D9C93CAAB3DF}">
      <x14:dataValidations xmlns:xm="http://schemas.microsoft.com/office/excel/2006/main" count="6">
        <x14:dataValidation type="list" allowBlank="1" showInputMessage="1" showErrorMessage="1" errorTitle="Information non valide" error="Merci d'effacer votre saisie et de sélectionner une modalité dans la liste." xr:uid="{00000000-0002-0000-0300-00000A000000}">
          <x14:formula1>
            <xm:f>Nomenclatures!$B$444:$B$445</xm:f>
          </x14:formula1>
          <xm:sqref>D21:D1520</xm:sqref>
        </x14:dataValidation>
        <x14:dataValidation type="list" allowBlank="1" showInputMessage="1" showErrorMessage="1" errorTitle="Information non valide" error="Merci d'effacer votre saisie et de sélectionner une modalité dans la liste." xr:uid="{00000000-0002-0000-0300-00000B000000}">
          <x14:formula1>
            <xm:f>Nomenclatures!$B$205:$B$224</xm:f>
          </x14:formula1>
          <xm:sqref>N21:N1520</xm:sqref>
        </x14:dataValidation>
        <x14:dataValidation type="list" allowBlank="1" showInputMessage="1" showErrorMessage="1" errorTitle="Information non valide" error="Merci d'effacer votre saisie et de sélectionner une modalité dans la liste." xr:uid="{00000000-0002-0000-0300-00000C000000}">
          <x14:formula1>
            <xm:f>Nomenclatures!$B$204:$B$224</xm:f>
          </x14:formula1>
          <xm:sqref>N21:N1520</xm:sqref>
        </x14:dataValidation>
        <x14:dataValidation type="list" allowBlank="1" showInputMessage="1" showErrorMessage="1" xr:uid="{00000000-0002-0000-0300-00000D000000}">
          <x14:formula1>
            <xm:f>Nomenclatures!$B$447:$B$448</xm:f>
          </x14:formula1>
          <xm:sqref>O21:O1520</xm:sqref>
        </x14:dataValidation>
        <x14:dataValidation type="list" allowBlank="1" showInputMessage="1" showErrorMessage="1" xr:uid="{00000000-0002-0000-0300-00000E000000}">
          <x14:formula1>
            <xm:f>Nomenclatures!$C$87:$C$164</xm:f>
          </x14:formula1>
          <xm:sqref>Q21:Q1520</xm:sqref>
        </x14:dataValidation>
        <x14:dataValidation type="list" allowBlank="1" showInputMessage="1" errorTitle="Information non valide" error="Merci d'effacer votre saisie et de sélectionner une modalité dans la liste." xr:uid="{00000000-0002-0000-0300-00000F000000}">
          <x14:formula1>
            <xm:f>Nomenclatures!$B$437:$B$442</xm:f>
          </x14:formula1>
          <xm:sqref>E21:E1520</xm:sqref>
        </x14:dataValidation>
      </x14:dataValidations>
    </ex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dimension ref="A1:T1520"/>
  <sheetViews>
    <sheetView topLeftCell="A21" zoomScaleNormal="100" workbookViewId="0">
      <pane xSplit="3" topLeftCell="D1" activePane="topRight" state="frozen"/>
      <selection activeCell="A16" sqref="A16"/>
      <selection pane="topRight" activeCell="F62" sqref="F62"/>
    </sheetView>
  </sheetViews>
  <sheetFormatPr baseColWidth="10" defaultColWidth="11.5" defaultRowHeight="13" x14ac:dyDescent="0.15"/>
  <cols>
    <col min="1" max="1" width="7.6640625" style="235" customWidth="1"/>
    <col min="2" max="2" width="20.83203125" style="235" customWidth="1"/>
    <col min="3" max="3" width="20.33203125" style="235" customWidth="1"/>
    <col min="4" max="4" width="11.5" style="235"/>
    <col min="5" max="5" width="17" style="235" customWidth="1"/>
    <col min="6" max="6" width="17.6640625" style="235" customWidth="1"/>
    <col min="7" max="7" width="23.33203125" style="235" customWidth="1"/>
    <col min="8" max="8" width="15.6640625" style="235" customWidth="1"/>
    <col min="9" max="9" width="17.83203125" style="235" customWidth="1"/>
    <col min="10" max="10" width="23" style="235" customWidth="1"/>
    <col min="11" max="11" width="23.1640625" style="235" customWidth="1"/>
    <col min="12" max="14" width="13.83203125" style="235" customWidth="1"/>
    <col min="15" max="15" width="17.83203125" style="235" customWidth="1"/>
    <col min="16" max="16" width="17.33203125" style="235" customWidth="1"/>
    <col min="17" max="16384" width="11.5" style="235"/>
  </cols>
  <sheetData>
    <row r="1" spans="1:20" s="9" customFormat="1" ht="21.75" customHeight="1" x14ac:dyDescent="0.15">
      <c r="A1" s="8"/>
      <c r="B1" s="8"/>
      <c r="C1" s="8"/>
      <c r="D1" s="8"/>
      <c r="E1" s="8"/>
      <c r="F1" s="8"/>
      <c r="G1" s="8"/>
      <c r="H1" s="8"/>
      <c r="I1" s="8"/>
      <c r="J1" s="8"/>
      <c r="K1" s="8"/>
      <c r="L1" s="8"/>
      <c r="M1" s="8"/>
      <c r="N1" s="8"/>
      <c r="O1" s="8"/>
      <c r="P1" s="8"/>
      <c r="Q1" s="8"/>
      <c r="R1" s="8"/>
      <c r="S1" s="8"/>
      <c r="T1" s="8"/>
    </row>
    <row r="2" spans="1:20" s="9" customFormat="1" ht="21.75" customHeight="1" x14ac:dyDescent="0.15">
      <c r="A2" s="8"/>
      <c r="B2" s="8"/>
      <c r="C2" s="8"/>
      <c r="D2" s="8"/>
      <c r="E2" s="8"/>
      <c r="F2" s="8"/>
      <c r="G2" s="8"/>
      <c r="H2" s="8"/>
      <c r="I2" s="8"/>
      <c r="J2" s="8"/>
      <c r="K2" s="8"/>
      <c r="L2" s="8"/>
      <c r="M2" s="8"/>
      <c r="N2" s="8"/>
      <c r="O2" s="8"/>
      <c r="P2" s="8"/>
      <c r="Q2" s="8"/>
      <c r="R2" s="8"/>
      <c r="S2" s="8"/>
      <c r="T2" s="8"/>
    </row>
    <row r="3" spans="1:20" s="9" customFormat="1" ht="21.75" customHeight="1" x14ac:dyDescent="0.15">
      <c r="A3" s="8"/>
      <c r="B3" s="8"/>
      <c r="C3" s="8"/>
      <c r="D3" s="8"/>
      <c r="E3" s="8"/>
      <c r="F3" s="8"/>
      <c r="G3" s="8"/>
      <c r="H3" s="8"/>
      <c r="I3" s="8"/>
      <c r="J3" s="8"/>
      <c r="K3" s="8"/>
      <c r="L3" s="8"/>
      <c r="M3" s="8"/>
      <c r="N3" s="8"/>
      <c r="O3" s="8"/>
      <c r="P3" s="8"/>
      <c r="Q3" s="8"/>
      <c r="S3" s="15"/>
      <c r="T3" s="15"/>
    </row>
    <row r="4" spans="1:20" s="9" customFormat="1" ht="21.75" customHeight="1" x14ac:dyDescent="0.15">
      <c r="A4" s="8"/>
      <c r="B4" s="8"/>
      <c r="C4" s="8"/>
      <c r="D4" s="8"/>
      <c r="E4" s="8"/>
      <c r="F4" s="8"/>
      <c r="G4" s="8"/>
      <c r="H4" s="8"/>
      <c r="I4" s="8"/>
      <c r="J4" s="8"/>
      <c r="K4" s="8"/>
      <c r="L4" s="8"/>
      <c r="M4" s="8"/>
      <c r="N4" s="8"/>
      <c r="O4" s="8"/>
      <c r="P4" s="8"/>
      <c r="Q4" s="8"/>
      <c r="R4" s="8"/>
      <c r="S4" s="8"/>
      <c r="T4" s="8"/>
    </row>
    <row r="5" spans="1:20" s="9" customFormat="1" ht="21.75" customHeight="1" x14ac:dyDescent="0.15">
      <c r="A5" s="8"/>
      <c r="B5" s="8"/>
      <c r="C5" s="8"/>
      <c r="D5" s="8"/>
      <c r="E5" s="8"/>
      <c r="F5" s="8"/>
      <c r="G5" s="8"/>
      <c r="H5" s="8"/>
      <c r="I5" s="8"/>
      <c r="J5" s="8"/>
      <c r="K5" s="8"/>
      <c r="L5" s="8"/>
      <c r="M5" s="8"/>
      <c r="N5" s="8"/>
      <c r="O5" s="8"/>
      <c r="P5" s="8"/>
      <c r="Q5" s="8"/>
      <c r="R5" s="8"/>
      <c r="S5" s="8"/>
      <c r="T5" s="8"/>
    </row>
    <row r="6" spans="1:20" s="9" customFormat="1" ht="21.75" customHeight="1" x14ac:dyDescent="0.15">
      <c r="A6" s="8"/>
      <c r="B6" s="8"/>
      <c r="C6" s="8"/>
      <c r="D6" s="8"/>
      <c r="E6" s="8"/>
      <c r="F6" s="8"/>
      <c r="G6" s="8"/>
      <c r="H6" s="8"/>
      <c r="I6" s="8"/>
      <c r="J6" s="8"/>
      <c r="K6" s="8"/>
      <c r="L6" s="8"/>
      <c r="M6" s="8"/>
      <c r="N6" s="8"/>
      <c r="O6" s="8"/>
      <c r="P6" s="8"/>
      <c r="Q6" s="8"/>
      <c r="R6" s="8"/>
      <c r="S6" s="8"/>
      <c r="T6" s="8"/>
    </row>
    <row r="7" spans="1:20" s="9" customFormat="1" x14ac:dyDescent="0.15">
      <c r="A7" s="8"/>
      <c r="B7" s="8"/>
      <c r="C7" s="8"/>
      <c r="D7" s="8"/>
      <c r="E7" s="8"/>
      <c r="F7" s="8"/>
      <c r="G7" s="8"/>
      <c r="H7" s="8"/>
      <c r="I7" s="8"/>
      <c r="J7" s="8"/>
      <c r="K7" s="8"/>
      <c r="L7" s="8"/>
      <c r="M7" s="8"/>
      <c r="N7" s="8"/>
      <c r="O7" s="8"/>
      <c r="P7" s="8"/>
      <c r="Q7" s="8"/>
      <c r="R7" s="8"/>
      <c r="S7" s="8"/>
      <c r="T7" s="8"/>
    </row>
    <row r="8" spans="1:20" s="9" customFormat="1" x14ac:dyDescent="0.15">
      <c r="A8" s="155"/>
      <c r="B8" s="8"/>
      <c r="C8" s="8"/>
      <c r="D8" s="8"/>
      <c r="E8" s="8"/>
      <c r="F8" s="8"/>
      <c r="G8" s="8"/>
      <c r="H8" s="8"/>
      <c r="I8" s="8"/>
      <c r="J8" s="8"/>
      <c r="K8" s="8"/>
      <c r="L8" s="8"/>
      <c r="M8" s="8"/>
      <c r="N8" s="8"/>
      <c r="O8" s="8"/>
      <c r="P8" s="8"/>
      <c r="Q8" s="8"/>
      <c r="R8" s="8"/>
      <c r="S8" s="8"/>
      <c r="T8" s="8"/>
    </row>
    <row r="9" spans="1:20" x14ac:dyDescent="0.15">
      <c r="A9" s="19"/>
      <c r="B9" s="234"/>
      <c r="C9" s="234"/>
      <c r="D9" s="234"/>
      <c r="E9" s="234"/>
      <c r="F9" s="234"/>
      <c r="G9" s="234"/>
      <c r="H9" s="234"/>
      <c r="I9" s="234"/>
      <c r="J9" s="234"/>
      <c r="K9" s="234"/>
      <c r="L9" s="234"/>
      <c r="M9" s="234"/>
      <c r="N9" s="234"/>
      <c r="O9" s="234"/>
      <c r="P9" s="234"/>
    </row>
    <row r="10" spans="1:20" x14ac:dyDescent="0.15">
      <c r="A10" s="234"/>
      <c r="C10" s="236"/>
      <c r="D10" s="236"/>
      <c r="E10" s="237"/>
      <c r="F10" s="238"/>
      <c r="G10" s="239"/>
      <c r="H10" s="240"/>
      <c r="I10" s="240"/>
      <c r="J10" s="240"/>
      <c r="K10" s="240"/>
      <c r="L10" s="241"/>
      <c r="M10" s="241"/>
      <c r="N10" s="241"/>
      <c r="O10" s="242"/>
      <c r="P10" s="243"/>
    </row>
    <row r="11" spans="1:20" ht="18" x14ac:dyDescent="0.15">
      <c r="A11" s="234"/>
      <c r="B11" s="11" t="s">
        <v>50</v>
      </c>
      <c r="C11" s="236"/>
      <c r="D11" s="236"/>
      <c r="E11" s="237"/>
      <c r="F11" s="238"/>
      <c r="G11" s="239"/>
      <c r="H11" s="240"/>
      <c r="I11" s="240"/>
      <c r="J11" s="240"/>
      <c r="K11" s="240"/>
      <c r="L11" s="241"/>
      <c r="M11" s="241"/>
      <c r="N11" s="241"/>
      <c r="O11" s="242"/>
      <c r="P11" s="243"/>
    </row>
    <row r="12" spans="1:20" ht="14" x14ac:dyDescent="0.15">
      <c r="A12" s="341"/>
      <c r="B12" s="341"/>
      <c r="C12" s="341"/>
      <c r="D12" s="341"/>
      <c r="E12" s="234"/>
      <c r="F12" s="234"/>
      <c r="G12" s="234"/>
      <c r="H12" s="234"/>
      <c r="I12" s="234"/>
      <c r="J12" s="234"/>
      <c r="K12" s="234"/>
      <c r="L12" s="234"/>
      <c r="M12" s="234"/>
      <c r="N12" s="234"/>
      <c r="O12" s="234"/>
      <c r="P12" s="234"/>
    </row>
    <row r="13" spans="1:20" x14ac:dyDescent="0.15">
      <c r="B13" s="234"/>
      <c r="C13" s="234"/>
      <c r="D13" s="234"/>
      <c r="E13" s="234"/>
      <c r="F13" s="234"/>
      <c r="G13" s="234"/>
      <c r="H13" s="234"/>
      <c r="I13" s="234"/>
      <c r="J13" s="234"/>
      <c r="K13" s="234"/>
      <c r="L13" s="234"/>
      <c r="M13" s="234"/>
      <c r="N13" s="234"/>
      <c r="O13" s="234"/>
      <c r="P13" s="234"/>
    </row>
    <row r="14" spans="1:20" x14ac:dyDescent="0.15">
      <c r="A14" s="19" t="s">
        <v>8926</v>
      </c>
      <c r="B14" s="234"/>
      <c r="C14" s="234"/>
      <c r="D14" s="234"/>
      <c r="E14" s="234"/>
      <c r="F14" s="234"/>
      <c r="G14" s="234"/>
      <c r="H14" s="234"/>
      <c r="I14" s="234"/>
      <c r="J14" s="234"/>
      <c r="K14" s="234"/>
      <c r="L14" s="234"/>
      <c r="M14" s="234"/>
      <c r="N14" s="234"/>
      <c r="O14" s="234"/>
      <c r="P14" s="234"/>
    </row>
    <row r="15" spans="1:20" ht="29.25" customHeight="1" x14ac:dyDescent="0.15">
      <c r="A15" s="19" t="s">
        <v>8929</v>
      </c>
      <c r="B15" s="11"/>
      <c r="C15" s="236"/>
      <c r="D15" s="236"/>
      <c r="E15" s="237"/>
      <c r="F15" s="238"/>
      <c r="G15" s="239"/>
      <c r="H15" s="240"/>
      <c r="I15" s="240"/>
      <c r="J15" s="240"/>
      <c r="K15" s="240"/>
      <c r="L15" s="241"/>
      <c r="M15" s="241"/>
      <c r="N15" s="241"/>
      <c r="O15" s="242"/>
      <c r="P15" s="243"/>
    </row>
    <row r="16" spans="1:20" ht="81.5" customHeight="1" x14ac:dyDescent="0.15">
      <c r="A16" s="274" t="s">
        <v>2745</v>
      </c>
      <c r="B16" s="72" t="s">
        <v>0</v>
      </c>
      <c r="C16" s="73" t="s">
        <v>1</v>
      </c>
      <c r="D16" s="73" t="s">
        <v>26</v>
      </c>
      <c r="E16" s="73" t="s">
        <v>25</v>
      </c>
      <c r="F16" s="73" t="s">
        <v>58</v>
      </c>
      <c r="G16" s="73" t="s">
        <v>29</v>
      </c>
      <c r="H16" s="73" t="s">
        <v>28</v>
      </c>
      <c r="I16" s="73" t="s">
        <v>44</v>
      </c>
      <c r="J16" s="73" t="s">
        <v>59</v>
      </c>
      <c r="K16" s="73" t="s">
        <v>45</v>
      </c>
      <c r="L16" s="73" t="s">
        <v>15</v>
      </c>
      <c r="M16" s="73" t="s">
        <v>8927</v>
      </c>
      <c r="N16" s="73" t="s">
        <v>8928</v>
      </c>
      <c r="O16" s="73" t="s">
        <v>62</v>
      </c>
      <c r="P16" s="73" t="s">
        <v>63</v>
      </c>
    </row>
    <row r="17" spans="1:16" ht="30" customHeight="1" x14ac:dyDescent="0.15">
      <c r="A17" s="284" t="s">
        <v>7426</v>
      </c>
      <c r="B17" s="314" t="s">
        <v>9144</v>
      </c>
      <c r="C17" s="314" t="s">
        <v>9239</v>
      </c>
      <c r="D17" s="315" t="s">
        <v>2261</v>
      </c>
      <c r="E17" s="6"/>
      <c r="F17" s="6" t="s">
        <v>2225</v>
      </c>
      <c r="G17" s="316" t="s">
        <v>1558</v>
      </c>
      <c r="H17" s="315" t="s">
        <v>9183</v>
      </c>
      <c r="I17" s="315" t="s">
        <v>9184</v>
      </c>
      <c r="J17" s="2" t="s">
        <v>1558</v>
      </c>
      <c r="K17" s="157"/>
      <c r="L17" s="317">
        <v>43013</v>
      </c>
      <c r="M17" s="317">
        <v>44235</v>
      </c>
      <c r="N17" s="3"/>
      <c r="O17" s="316" t="s">
        <v>1810</v>
      </c>
      <c r="P17" s="277"/>
    </row>
    <row r="18" spans="1:16" ht="30" customHeight="1" x14ac:dyDescent="0.15">
      <c r="A18" s="284" t="s">
        <v>7427</v>
      </c>
      <c r="B18" s="314" t="s">
        <v>9143</v>
      </c>
      <c r="C18" s="314" t="s">
        <v>9240</v>
      </c>
      <c r="D18" s="315" t="s">
        <v>2260</v>
      </c>
      <c r="E18" s="6"/>
      <c r="F18" s="6" t="s">
        <v>2225</v>
      </c>
      <c r="G18" s="316" t="s">
        <v>1558</v>
      </c>
      <c r="H18" s="315" t="s">
        <v>9209</v>
      </c>
      <c r="I18" s="315" t="s">
        <v>9194</v>
      </c>
      <c r="J18" s="2"/>
      <c r="K18" s="157"/>
      <c r="L18" s="317">
        <v>44440</v>
      </c>
      <c r="M18" s="317"/>
      <c r="N18" s="3"/>
      <c r="O18" s="316" t="s">
        <v>1815</v>
      </c>
      <c r="P18" s="277"/>
    </row>
    <row r="19" spans="1:16" ht="30" customHeight="1" x14ac:dyDescent="0.15">
      <c r="A19" s="284" t="s">
        <v>7428</v>
      </c>
      <c r="B19" s="314" t="s">
        <v>9145</v>
      </c>
      <c r="C19" s="314" t="s">
        <v>9241</v>
      </c>
      <c r="D19" s="315" t="s">
        <v>2260</v>
      </c>
      <c r="E19" s="6"/>
      <c r="F19" s="6" t="s">
        <v>2225</v>
      </c>
      <c r="G19" s="316" t="s">
        <v>1420</v>
      </c>
      <c r="H19" s="315" t="s">
        <v>9185</v>
      </c>
      <c r="I19" s="315" t="s">
        <v>9186</v>
      </c>
      <c r="J19" s="2"/>
      <c r="K19" s="157"/>
      <c r="L19" s="317">
        <v>44169</v>
      </c>
      <c r="M19" s="317"/>
      <c r="N19" s="3"/>
      <c r="O19" s="316" t="s">
        <v>1810</v>
      </c>
      <c r="P19" s="277"/>
    </row>
    <row r="20" spans="1:16" ht="30" customHeight="1" x14ac:dyDescent="0.15">
      <c r="A20" s="284" t="s">
        <v>7429</v>
      </c>
      <c r="B20" s="314" t="s">
        <v>9146</v>
      </c>
      <c r="C20" s="314" t="s">
        <v>9242</v>
      </c>
      <c r="D20" s="315" t="s">
        <v>2260</v>
      </c>
      <c r="E20" s="6"/>
      <c r="F20" s="6" t="s">
        <v>2225</v>
      </c>
      <c r="G20" s="316" t="s">
        <v>863</v>
      </c>
      <c r="H20" s="315" t="s">
        <v>9187</v>
      </c>
      <c r="I20" s="315" t="s">
        <v>9188</v>
      </c>
      <c r="J20" s="2"/>
      <c r="K20" s="157"/>
      <c r="L20" s="317">
        <v>43374</v>
      </c>
      <c r="M20" s="317">
        <v>44538</v>
      </c>
      <c r="N20" s="3"/>
      <c r="O20" s="316" t="s">
        <v>1813</v>
      </c>
      <c r="P20" s="277"/>
    </row>
    <row r="21" spans="1:16" ht="30" customHeight="1" x14ac:dyDescent="0.15">
      <c r="A21" s="284" t="s">
        <v>7430</v>
      </c>
      <c r="B21" s="315" t="s">
        <v>9035</v>
      </c>
      <c r="C21" s="315" t="s">
        <v>9217</v>
      </c>
      <c r="D21" s="315" t="s">
        <v>2260</v>
      </c>
      <c r="E21" s="6"/>
      <c r="F21" s="6" t="s">
        <v>2225</v>
      </c>
      <c r="G21" s="316"/>
      <c r="H21" s="315" t="s">
        <v>9185</v>
      </c>
      <c r="I21" s="315" t="s">
        <v>9218</v>
      </c>
      <c r="J21" s="2"/>
      <c r="K21" s="157"/>
      <c r="L21" s="317">
        <v>42036</v>
      </c>
      <c r="M21" s="317">
        <v>43445</v>
      </c>
      <c r="N21" s="3"/>
      <c r="O21" s="316" t="s">
        <v>1820</v>
      </c>
      <c r="P21" s="277"/>
    </row>
    <row r="22" spans="1:16" ht="30" customHeight="1" x14ac:dyDescent="0.15">
      <c r="A22" s="284" t="s">
        <v>7431</v>
      </c>
      <c r="B22" s="314" t="s">
        <v>9147</v>
      </c>
      <c r="C22" s="314" t="s">
        <v>9148</v>
      </c>
      <c r="D22" s="315"/>
      <c r="E22" s="6"/>
      <c r="F22" s="6" t="s">
        <v>2225</v>
      </c>
      <c r="G22" s="316"/>
      <c r="H22" s="315"/>
      <c r="I22" s="315"/>
      <c r="J22" s="2"/>
      <c r="K22" s="157"/>
      <c r="L22" s="317"/>
      <c r="M22" s="317"/>
      <c r="N22" s="3"/>
      <c r="O22" s="316"/>
      <c r="P22" s="277"/>
    </row>
    <row r="23" spans="1:16" ht="30" customHeight="1" x14ac:dyDescent="0.15">
      <c r="A23" s="284" t="s">
        <v>7432</v>
      </c>
      <c r="B23" s="314" t="s">
        <v>9149</v>
      </c>
      <c r="C23" s="314" t="s">
        <v>9243</v>
      </c>
      <c r="D23" s="315" t="s">
        <v>2261</v>
      </c>
      <c r="E23" s="6"/>
      <c r="F23" s="6" t="s">
        <v>2225</v>
      </c>
      <c r="G23" s="316"/>
      <c r="H23" s="315" t="s">
        <v>9187</v>
      </c>
      <c r="I23" s="315" t="s">
        <v>9209</v>
      </c>
      <c r="J23" s="2"/>
      <c r="K23" s="157"/>
      <c r="L23" s="317">
        <v>41395</v>
      </c>
      <c r="M23" s="317">
        <v>42736</v>
      </c>
      <c r="N23" s="3"/>
      <c r="O23" s="316"/>
      <c r="P23" s="277"/>
    </row>
    <row r="24" spans="1:16" ht="30" customHeight="1" x14ac:dyDescent="0.15">
      <c r="A24" s="284" t="s">
        <v>7433</v>
      </c>
      <c r="B24" s="314" t="s">
        <v>9150</v>
      </c>
      <c r="C24" s="314" t="s">
        <v>9244</v>
      </c>
      <c r="D24" s="315" t="s">
        <v>2261</v>
      </c>
      <c r="E24" s="6"/>
      <c r="F24" s="6" t="s">
        <v>2225</v>
      </c>
      <c r="G24" s="316" t="s">
        <v>1558</v>
      </c>
      <c r="H24" s="315" t="s">
        <v>9189</v>
      </c>
      <c r="I24" s="315" t="s">
        <v>9190</v>
      </c>
      <c r="J24" s="2"/>
      <c r="K24" s="157"/>
      <c r="L24" s="317">
        <v>43741</v>
      </c>
      <c r="M24" s="317"/>
      <c r="N24" s="3"/>
      <c r="O24" s="316"/>
      <c r="P24" s="277"/>
    </row>
    <row r="25" spans="1:16" ht="30" customHeight="1" x14ac:dyDescent="0.15">
      <c r="A25" s="284" t="s">
        <v>7434</v>
      </c>
      <c r="B25" s="315" t="s">
        <v>9231</v>
      </c>
      <c r="C25" s="315" t="s">
        <v>9066</v>
      </c>
      <c r="D25" s="315" t="s">
        <v>2260</v>
      </c>
      <c r="E25" s="6"/>
      <c r="F25" s="6" t="s">
        <v>2225</v>
      </c>
      <c r="G25" s="316" t="s">
        <v>1420</v>
      </c>
      <c r="H25" s="315" t="s">
        <v>9189</v>
      </c>
      <c r="I25" s="315" t="s">
        <v>9232</v>
      </c>
      <c r="J25" s="2"/>
      <c r="K25" s="157"/>
      <c r="L25" s="317">
        <v>42614</v>
      </c>
      <c r="M25" s="317">
        <v>43713</v>
      </c>
      <c r="N25" s="3"/>
      <c r="O25" s="316" t="s">
        <v>1820</v>
      </c>
      <c r="P25" s="277"/>
    </row>
    <row r="26" spans="1:16" ht="30" customHeight="1" x14ac:dyDescent="0.15">
      <c r="A26" s="284" t="s">
        <v>7435</v>
      </c>
      <c r="B26" s="315" t="s">
        <v>9059</v>
      </c>
      <c r="C26" s="315" t="s">
        <v>9060</v>
      </c>
      <c r="D26" s="315" t="s">
        <v>2261</v>
      </c>
      <c r="E26" s="6"/>
      <c r="F26" s="6" t="s">
        <v>2225</v>
      </c>
      <c r="G26" s="316"/>
      <c r="H26" s="315" t="s">
        <v>9209</v>
      </c>
      <c r="I26" s="315" t="s">
        <v>9263</v>
      </c>
      <c r="J26" s="2"/>
      <c r="K26" s="157"/>
      <c r="L26" s="317">
        <v>41920</v>
      </c>
      <c r="M26" s="317"/>
      <c r="N26" s="3"/>
      <c r="O26" s="316" t="s">
        <v>1820</v>
      </c>
      <c r="P26" s="277"/>
    </row>
    <row r="27" spans="1:16" ht="30" customHeight="1" x14ac:dyDescent="0.15">
      <c r="A27" s="284" t="s">
        <v>7436</v>
      </c>
      <c r="B27" s="315" t="s">
        <v>9210</v>
      </c>
      <c r="C27" s="315" t="s">
        <v>9178</v>
      </c>
      <c r="D27" s="315" t="s">
        <v>2261</v>
      </c>
      <c r="E27" s="6"/>
      <c r="F27" s="6" t="s">
        <v>2225</v>
      </c>
      <c r="G27" s="316" t="s">
        <v>1396</v>
      </c>
      <c r="H27" s="315" t="s">
        <v>9211</v>
      </c>
      <c r="I27" s="315" t="s">
        <v>9212</v>
      </c>
      <c r="J27" s="2"/>
      <c r="K27" s="157"/>
      <c r="L27" s="317">
        <v>42737</v>
      </c>
      <c r="M27" s="317">
        <v>44183</v>
      </c>
      <c r="N27" s="3"/>
      <c r="O27" s="316" t="s">
        <v>1823</v>
      </c>
      <c r="P27" s="277"/>
    </row>
    <row r="28" spans="1:16" ht="30" customHeight="1" x14ac:dyDescent="0.15">
      <c r="A28" s="284" t="s">
        <v>7437</v>
      </c>
      <c r="B28" s="314" t="s">
        <v>9151</v>
      </c>
      <c r="C28" s="314" t="s">
        <v>9245</v>
      </c>
      <c r="D28" s="315" t="s">
        <v>2261</v>
      </c>
      <c r="E28" s="6"/>
      <c r="F28" s="6" t="s">
        <v>2225</v>
      </c>
      <c r="G28" s="316" t="s">
        <v>1558</v>
      </c>
      <c r="H28" s="315" t="s">
        <v>9187</v>
      </c>
      <c r="I28" s="315" t="s">
        <v>9191</v>
      </c>
      <c r="J28" s="2"/>
      <c r="K28" s="157"/>
      <c r="L28" s="317">
        <v>43439</v>
      </c>
      <c r="M28" s="317"/>
      <c r="N28" s="3"/>
      <c r="O28" s="316"/>
      <c r="P28" s="277"/>
    </row>
    <row r="29" spans="1:16" ht="30" customHeight="1" x14ac:dyDescent="0.15">
      <c r="A29" s="284" t="s">
        <v>7438</v>
      </c>
      <c r="B29" s="314" t="s">
        <v>9152</v>
      </c>
      <c r="C29" s="314" t="s">
        <v>9076</v>
      </c>
      <c r="D29" s="315" t="s">
        <v>2260</v>
      </c>
      <c r="E29" s="6"/>
      <c r="F29" s="6" t="s">
        <v>2225</v>
      </c>
      <c r="G29" s="316" t="s">
        <v>1558</v>
      </c>
      <c r="H29" s="315" t="s">
        <v>9189</v>
      </c>
      <c r="I29" s="315" t="s">
        <v>9192</v>
      </c>
      <c r="J29" s="2"/>
      <c r="K29" s="157"/>
      <c r="L29" s="317">
        <v>43655</v>
      </c>
      <c r="M29" s="317"/>
      <c r="N29" s="3"/>
      <c r="O29" s="316"/>
      <c r="P29" s="277"/>
    </row>
    <row r="30" spans="1:16" ht="30" customHeight="1" x14ac:dyDescent="0.15">
      <c r="A30" s="284" t="s">
        <v>7439</v>
      </c>
      <c r="B30" s="314" t="s">
        <v>9153</v>
      </c>
      <c r="C30" s="314" t="s">
        <v>9246</v>
      </c>
      <c r="D30" s="315" t="s">
        <v>2260</v>
      </c>
      <c r="E30" s="6"/>
      <c r="F30" s="6" t="s">
        <v>2225</v>
      </c>
      <c r="G30" s="316"/>
      <c r="H30" s="315"/>
      <c r="I30" s="315"/>
      <c r="J30" s="2"/>
      <c r="K30" s="157"/>
      <c r="L30" s="317"/>
      <c r="M30" s="317"/>
      <c r="N30" s="3"/>
      <c r="O30" s="316"/>
      <c r="P30" s="277"/>
    </row>
    <row r="31" spans="1:16" ht="30" customHeight="1" x14ac:dyDescent="0.15">
      <c r="A31" s="284" t="s">
        <v>7440</v>
      </c>
      <c r="B31" s="315" t="s">
        <v>9224</v>
      </c>
      <c r="C31" s="315" t="s">
        <v>9225</v>
      </c>
      <c r="D31" s="315" t="s">
        <v>2261</v>
      </c>
      <c r="E31" s="6"/>
      <c r="F31" s="6" t="s">
        <v>2225</v>
      </c>
      <c r="G31" s="316" t="s">
        <v>1558</v>
      </c>
      <c r="H31" s="315" t="s">
        <v>9187</v>
      </c>
      <c r="I31" s="315"/>
      <c r="J31" s="2"/>
      <c r="K31" s="157"/>
      <c r="L31" s="317">
        <v>42979</v>
      </c>
      <c r="M31" s="317"/>
      <c r="N31" s="3"/>
      <c r="O31" s="316"/>
      <c r="P31" s="277"/>
    </row>
    <row r="32" spans="1:16" ht="30" customHeight="1" x14ac:dyDescent="0.15">
      <c r="A32" s="284" t="s">
        <v>7441</v>
      </c>
      <c r="B32" s="315" t="s">
        <v>9213</v>
      </c>
      <c r="C32" s="315" t="s">
        <v>9078</v>
      </c>
      <c r="D32" s="315" t="s">
        <v>2261</v>
      </c>
      <c r="E32" s="6"/>
      <c r="F32" s="6" t="s">
        <v>2225</v>
      </c>
      <c r="G32" s="316" t="s">
        <v>1420</v>
      </c>
      <c r="H32" s="315" t="s">
        <v>9185</v>
      </c>
      <c r="I32" s="315" t="s">
        <v>9264</v>
      </c>
      <c r="J32" s="2"/>
      <c r="K32" s="157"/>
      <c r="L32" s="317">
        <v>41914</v>
      </c>
      <c r="M32" s="317">
        <v>43010</v>
      </c>
      <c r="N32" s="3"/>
      <c r="O32" s="316"/>
      <c r="P32" s="277"/>
    </row>
    <row r="33" spans="1:16" ht="30" customHeight="1" x14ac:dyDescent="0.15">
      <c r="A33" s="284" t="s">
        <v>7442</v>
      </c>
      <c r="B33" s="315" t="s">
        <v>9220</v>
      </c>
      <c r="C33" s="315" t="s">
        <v>9221</v>
      </c>
      <c r="D33" s="315" t="s">
        <v>2260</v>
      </c>
      <c r="E33" s="6"/>
      <c r="F33" s="6" t="s">
        <v>2225</v>
      </c>
      <c r="G33" s="316"/>
      <c r="H33" s="315" t="s">
        <v>9185</v>
      </c>
      <c r="I33" s="315" t="s">
        <v>9265</v>
      </c>
      <c r="J33" s="2"/>
      <c r="K33" s="157"/>
      <c r="L33" s="317">
        <v>43070</v>
      </c>
      <c r="M33" s="317">
        <v>44168</v>
      </c>
      <c r="N33" s="3"/>
      <c r="O33" s="316" t="s">
        <v>1810</v>
      </c>
      <c r="P33" s="277"/>
    </row>
    <row r="34" spans="1:16" ht="30" customHeight="1" x14ac:dyDescent="0.15">
      <c r="A34" s="284" t="s">
        <v>7443</v>
      </c>
      <c r="B34" s="314" t="s">
        <v>9154</v>
      </c>
      <c r="C34" s="314" t="s">
        <v>9247</v>
      </c>
      <c r="D34" s="315" t="s">
        <v>2261</v>
      </c>
      <c r="E34" s="6"/>
      <c r="F34" s="6" t="s">
        <v>2225</v>
      </c>
      <c r="G34" s="316" t="s">
        <v>2484</v>
      </c>
      <c r="H34" s="315" t="s">
        <v>9189</v>
      </c>
      <c r="I34" s="315" t="s">
        <v>9193</v>
      </c>
      <c r="J34" s="2"/>
      <c r="K34" s="157"/>
      <c r="L34" s="317">
        <v>44162</v>
      </c>
      <c r="M34" s="317"/>
      <c r="N34" s="3"/>
      <c r="O34" s="316"/>
      <c r="P34" s="277"/>
    </row>
    <row r="35" spans="1:16" ht="30" customHeight="1" x14ac:dyDescent="0.15">
      <c r="A35" s="284" t="s">
        <v>7444</v>
      </c>
      <c r="B35" s="315" t="s">
        <v>9226</v>
      </c>
      <c r="C35" s="315" t="s">
        <v>9227</v>
      </c>
      <c r="D35" s="315" t="s">
        <v>2260</v>
      </c>
      <c r="E35" s="6"/>
      <c r="F35" s="6" t="s">
        <v>2225</v>
      </c>
      <c r="G35" s="316"/>
      <c r="H35" s="315"/>
      <c r="I35" s="315"/>
      <c r="J35" s="2"/>
      <c r="K35" s="157"/>
      <c r="L35" s="317">
        <v>43800</v>
      </c>
      <c r="M35" s="317"/>
      <c r="N35" s="3"/>
      <c r="O35" s="316"/>
      <c r="P35" s="277"/>
    </row>
    <row r="36" spans="1:16" ht="30" customHeight="1" x14ac:dyDescent="0.15">
      <c r="A36" s="284" t="s">
        <v>7445</v>
      </c>
      <c r="B36" s="315" t="s">
        <v>9228</v>
      </c>
      <c r="C36" s="315" t="s">
        <v>9229</v>
      </c>
      <c r="D36" s="315" t="s">
        <v>2261</v>
      </c>
      <c r="E36" s="6"/>
      <c r="F36" s="6" t="s">
        <v>2225</v>
      </c>
      <c r="G36" s="316"/>
      <c r="H36" s="315" t="s">
        <v>9209</v>
      </c>
      <c r="I36" s="315" t="s">
        <v>9187</v>
      </c>
      <c r="J36" s="2"/>
      <c r="K36" s="157"/>
      <c r="L36" s="317">
        <v>43836</v>
      </c>
      <c r="M36" s="317"/>
      <c r="N36" s="3" t="s">
        <v>55</v>
      </c>
      <c r="O36" s="316" t="s">
        <v>1819</v>
      </c>
      <c r="P36" s="277"/>
    </row>
    <row r="37" spans="1:16" ht="30" customHeight="1" x14ac:dyDescent="0.15">
      <c r="A37" s="284" t="s">
        <v>7446</v>
      </c>
      <c r="B37" s="314" t="s">
        <v>9155</v>
      </c>
      <c r="C37" s="314" t="s">
        <v>9248</v>
      </c>
      <c r="D37" s="315" t="s">
        <v>2261</v>
      </c>
      <c r="E37" s="6"/>
      <c r="F37" s="6" t="s">
        <v>2225</v>
      </c>
      <c r="G37" s="316" t="s">
        <v>1558</v>
      </c>
      <c r="H37" s="315" t="s">
        <v>9185</v>
      </c>
      <c r="I37" s="315" t="s">
        <v>9202</v>
      </c>
      <c r="J37" s="2"/>
      <c r="K37" s="157"/>
      <c r="L37" s="317">
        <v>43760</v>
      </c>
      <c r="M37" s="317"/>
      <c r="N37" s="3"/>
      <c r="O37" s="316"/>
      <c r="P37" s="277"/>
    </row>
    <row r="38" spans="1:16" ht="30" customHeight="1" x14ac:dyDescent="0.15">
      <c r="A38" s="284" t="s">
        <v>7447</v>
      </c>
      <c r="B38" s="314" t="s">
        <v>9249</v>
      </c>
      <c r="C38" s="314" t="s">
        <v>9250</v>
      </c>
      <c r="D38" s="315" t="s">
        <v>2260</v>
      </c>
      <c r="E38" s="6"/>
      <c r="F38" s="6" t="s">
        <v>2225</v>
      </c>
      <c r="G38" s="316" t="s">
        <v>2287</v>
      </c>
      <c r="H38" s="315"/>
      <c r="I38" s="315"/>
      <c r="J38" s="2"/>
      <c r="K38" s="157"/>
      <c r="L38" s="317">
        <v>44440</v>
      </c>
      <c r="M38" s="317"/>
      <c r="N38" s="3"/>
      <c r="O38" s="316"/>
      <c r="P38" s="277"/>
    </row>
    <row r="39" spans="1:16" ht="30" customHeight="1" x14ac:dyDescent="0.15">
      <c r="A39" s="284" t="s">
        <v>7448</v>
      </c>
      <c r="B39" s="315" t="s">
        <v>9238</v>
      </c>
      <c r="C39" s="315" t="s">
        <v>9113</v>
      </c>
      <c r="D39" s="315" t="s">
        <v>2260</v>
      </c>
      <c r="E39" s="6"/>
      <c r="F39" s="6" t="s">
        <v>2225</v>
      </c>
      <c r="G39" s="316"/>
      <c r="H39" s="315" t="s">
        <v>9209</v>
      </c>
      <c r="I39" s="315"/>
      <c r="J39" s="2"/>
      <c r="K39" s="157"/>
      <c r="L39" s="317">
        <v>41746</v>
      </c>
      <c r="M39" s="317"/>
      <c r="N39" s="3"/>
      <c r="O39" s="316"/>
      <c r="P39" s="277"/>
    </row>
    <row r="40" spans="1:16" ht="30" customHeight="1" x14ac:dyDescent="0.15">
      <c r="A40" s="284" t="s">
        <v>7449</v>
      </c>
      <c r="B40" s="315" t="s">
        <v>9236</v>
      </c>
      <c r="C40" s="315" t="s">
        <v>9237</v>
      </c>
      <c r="D40" s="315" t="s">
        <v>2261</v>
      </c>
      <c r="E40" s="6"/>
      <c r="F40" s="6" t="s">
        <v>2225</v>
      </c>
      <c r="G40" s="316" t="s">
        <v>1558</v>
      </c>
      <c r="H40" s="315" t="s">
        <v>9183</v>
      </c>
      <c r="I40" s="315" t="s">
        <v>9197</v>
      </c>
      <c r="J40" s="2"/>
      <c r="K40" s="157"/>
      <c r="L40" s="317">
        <v>44470</v>
      </c>
      <c r="M40" s="317"/>
      <c r="N40" s="3"/>
      <c r="O40" s="316"/>
      <c r="P40" s="277"/>
    </row>
    <row r="41" spans="1:16" ht="30" customHeight="1" x14ac:dyDescent="0.15">
      <c r="A41" s="284" t="s">
        <v>7450</v>
      </c>
      <c r="B41" s="315" t="s">
        <v>9267</v>
      </c>
      <c r="C41" s="315" t="s">
        <v>9251</v>
      </c>
      <c r="D41" s="315" t="s">
        <v>2261</v>
      </c>
      <c r="E41" s="6"/>
      <c r="F41" s="6" t="s">
        <v>2224</v>
      </c>
      <c r="G41" s="316"/>
      <c r="H41" s="315" t="s">
        <v>9183</v>
      </c>
      <c r="I41" s="315" t="s">
        <v>9266</v>
      </c>
      <c r="J41" s="2" t="s">
        <v>1558</v>
      </c>
      <c r="K41" s="157"/>
      <c r="L41" s="317">
        <v>43150</v>
      </c>
      <c r="M41" s="317">
        <v>44484</v>
      </c>
      <c r="N41" s="3"/>
      <c r="O41" s="316" t="s">
        <v>1815</v>
      </c>
      <c r="P41" s="277"/>
    </row>
    <row r="42" spans="1:16" ht="30" customHeight="1" x14ac:dyDescent="0.15">
      <c r="A42" s="284" t="s">
        <v>7451</v>
      </c>
      <c r="B42" s="314" t="s">
        <v>9156</v>
      </c>
      <c r="C42" s="314" t="s">
        <v>9252</v>
      </c>
      <c r="D42" s="315" t="s">
        <v>2261</v>
      </c>
      <c r="E42" s="6"/>
      <c r="F42" s="6" t="s">
        <v>2225</v>
      </c>
      <c r="G42" s="316" t="s">
        <v>1420</v>
      </c>
      <c r="H42" s="315" t="s">
        <v>9187</v>
      </c>
      <c r="I42" s="315" t="s">
        <v>9194</v>
      </c>
      <c r="J42" s="2"/>
      <c r="K42" s="157"/>
      <c r="L42" s="317">
        <v>43922</v>
      </c>
      <c r="M42" s="317"/>
      <c r="N42" s="3"/>
      <c r="O42" s="316"/>
      <c r="P42" s="277"/>
    </row>
    <row r="43" spans="1:16" ht="30" customHeight="1" x14ac:dyDescent="0.15">
      <c r="A43" s="284" t="s">
        <v>7452</v>
      </c>
      <c r="B43" s="315" t="s">
        <v>9098</v>
      </c>
      <c r="C43" s="315" t="s">
        <v>9099</v>
      </c>
      <c r="D43" s="315" t="s">
        <v>2260</v>
      </c>
      <c r="E43" s="6"/>
      <c r="F43" s="6" t="s">
        <v>2225</v>
      </c>
      <c r="G43" s="316"/>
      <c r="H43" s="315" t="s">
        <v>9209</v>
      </c>
      <c r="I43" s="315" t="s">
        <v>9219</v>
      </c>
      <c r="J43" s="2"/>
      <c r="K43" s="157"/>
      <c r="L43" s="317">
        <v>42339</v>
      </c>
      <c r="M43" s="317">
        <v>43808</v>
      </c>
      <c r="N43" s="3"/>
      <c r="O43" s="316"/>
      <c r="P43" s="277"/>
    </row>
    <row r="44" spans="1:16" ht="30" customHeight="1" x14ac:dyDescent="0.15">
      <c r="A44" s="284" t="s">
        <v>7453</v>
      </c>
      <c r="B44" s="315" t="s">
        <v>9223</v>
      </c>
      <c r="C44" s="315" t="s">
        <v>4225</v>
      </c>
      <c r="D44" s="315" t="s">
        <v>2260</v>
      </c>
      <c r="E44" s="6"/>
      <c r="F44" s="6" t="s">
        <v>2225</v>
      </c>
      <c r="G44" s="316" t="s">
        <v>2506</v>
      </c>
      <c r="H44" s="315" t="s">
        <v>9200</v>
      </c>
      <c r="I44" s="315" t="s">
        <v>9201</v>
      </c>
      <c r="J44" s="2"/>
      <c r="K44" s="157"/>
      <c r="L44" s="317"/>
      <c r="M44" s="317"/>
      <c r="N44" s="3"/>
      <c r="O44" s="316" t="s">
        <v>1810</v>
      </c>
      <c r="P44" s="277"/>
    </row>
    <row r="45" spans="1:16" ht="30" customHeight="1" x14ac:dyDescent="0.15">
      <c r="A45" s="284" t="s">
        <v>7454</v>
      </c>
      <c r="B45" s="315" t="s">
        <v>9214</v>
      </c>
      <c r="C45" s="315" t="s">
        <v>9107</v>
      </c>
      <c r="D45" s="315" t="s">
        <v>2261</v>
      </c>
      <c r="E45" s="6"/>
      <c r="F45" s="6" t="s">
        <v>2225</v>
      </c>
      <c r="G45" s="316"/>
      <c r="H45" s="315" t="s">
        <v>9193</v>
      </c>
      <c r="I45" s="315" t="s">
        <v>9187</v>
      </c>
      <c r="J45" s="2"/>
      <c r="K45" s="157"/>
      <c r="L45" s="317">
        <v>42278</v>
      </c>
      <c r="M45" s="317">
        <v>43426</v>
      </c>
      <c r="N45" s="3"/>
      <c r="O45" s="316"/>
      <c r="P45" s="277"/>
    </row>
    <row r="46" spans="1:16" ht="30" customHeight="1" x14ac:dyDescent="0.15">
      <c r="A46" s="284" t="s">
        <v>7455</v>
      </c>
      <c r="B46" s="314" t="s">
        <v>9157</v>
      </c>
      <c r="C46" s="314" t="s">
        <v>9253</v>
      </c>
      <c r="D46" s="315" t="s">
        <v>2261</v>
      </c>
      <c r="E46" s="6"/>
      <c r="F46" s="6"/>
      <c r="G46" s="316" t="s">
        <v>1420</v>
      </c>
      <c r="H46" s="315" t="s">
        <v>9187</v>
      </c>
      <c r="I46" s="315"/>
      <c r="J46" s="2"/>
      <c r="K46" s="157"/>
      <c r="L46" s="317">
        <v>44168</v>
      </c>
      <c r="M46" s="317"/>
      <c r="N46" s="3"/>
      <c r="O46" s="316"/>
      <c r="P46" s="277"/>
    </row>
    <row r="47" spans="1:16" ht="30" customHeight="1" x14ac:dyDescent="0.15">
      <c r="A47" s="284" t="s">
        <v>7456</v>
      </c>
      <c r="B47" s="314" t="s">
        <v>9158</v>
      </c>
      <c r="C47" s="314" t="s">
        <v>9254</v>
      </c>
      <c r="D47" s="315" t="s">
        <v>2260</v>
      </c>
      <c r="E47" s="6"/>
      <c r="F47" s="6"/>
      <c r="G47" s="316" t="s">
        <v>9208</v>
      </c>
      <c r="H47" s="315"/>
      <c r="I47" s="315"/>
      <c r="J47" s="2"/>
      <c r="K47" s="157"/>
      <c r="L47" s="317">
        <v>44214</v>
      </c>
      <c r="M47" s="317"/>
      <c r="N47" s="3"/>
      <c r="O47" s="316"/>
      <c r="P47" s="277"/>
    </row>
    <row r="48" spans="1:16" ht="30" customHeight="1" x14ac:dyDescent="0.15">
      <c r="A48" s="284" t="s">
        <v>7457</v>
      </c>
      <c r="B48" s="314" t="s">
        <v>9159</v>
      </c>
      <c r="C48" s="314" t="s">
        <v>9255</v>
      </c>
      <c r="D48" s="315" t="s">
        <v>2260</v>
      </c>
      <c r="E48" s="6"/>
      <c r="F48" s="6" t="s">
        <v>2225</v>
      </c>
      <c r="G48" s="316" t="s">
        <v>1558</v>
      </c>
      <c r="H48" s="315" t="s">
        <v>9193</v>
      </c>
      <c r="I48" s="315" t="s">
        <v>9195</v>
      </c>
      <c r="J48" s="2"/>
      <c r="K48" s="157"/>
      <c r="L48" s="317">
        <v>43129</v>
      </c>
      <c r="M48" s="317">
        <v>44211</v>
      </c>
      <c r="N48" s="3"/>
      <c r="O48" s="316"/>
      <c r="P48" s="277"/>
    </row>
    <row r="49" spans="1:16" ht="30" customHeight="1" x14ac:dyDescent="0.15">
      <c r="A49" s="284" t="s">
        <v>7458</v>
      </c>
      <c r="B49" s="314" t="s">
        <v>9160</v>
      </c>
      <c r="C49" s="314" t="s">
        <v>9174</v>
      </c>
      <c r="D49" s="315" t="s">
        <v>2260</v>
      </c>
      <c r="E49" s="6"/>
      <c r="F49" s="6" t="s">
        <v>1606</v>
      </c>
      <c r="G49" s="316" t="s">
        <v>1558</v>
      </c>
      <c r="H49" s="315" t="s">
        <v>9185</v>
      </c>
      <c r="I49" s="315" t="s">
        <v>9196</v>
      </c>
      <c r="J49" s="2"/>
      <c r="K49" s="157"/>
      <c r="L49" s="317">
        <v>44075</v>
      </c>
      <c r="M49" s="317"/>
      <c r="N49" s="3"/>
      <c r="O49" s="316"/>
      <c r="P49" s="277"/>
    </row>
    <row r="50" spans="1:16" ht="30" customHeight="1" x14ac:dyDescent="0.15">
      <c r="A50" s="284" t="s">
        <v>7459</v>
      </c>
      <c r="B50" s="314" t="s">
        <v>9161</v>
      </c>
      <c r="C50" s="314" t="s">
        <v>9256</v>
      </c>
      <c r="D50" s="315" t="s">
        <v>2260</v>
      </c>
      <c r="E50" s="6"/>
      <c r="F50" s="6" t="s">
        <v>2225</v>
      </c>
      <c r="G50" s="316"/>
      <c r="H50" s="315" t="s">
        <v>9185</v>
      </c>
      <c r="I50" s="315" t="s">
        <v>9197</v>
      </c>
      <c r="J50" s="2"/>
      <c r="K50" s="157"/>
      <c r="L50" s="317">
        <v>44085</v>
      </c>
      <c r="M50" s="317"/>
      <c r="N50" s="3"/>
      <c r="O50" s="316"/>
      <c r="P50" s="277"/>
    </row>
    <row r="51" spans="1:16" ht="30" customHeight="1" x14ac:dyDescent="0.15">
      <c r="A51" s="284" t="s">
        <v>7460</v>
      </c>
      <c r="B51" s="314" t="s">
        <v>9162</v>
      </c>
      <c r="C51" s="314" t="s">
        <v>9257</v>
      </c>
      <c r="D51" s="315" t="s">
        <v>2260</v>
      </c>
      <c r="E51" s="6"/>
      <c r="F51" s="6" t="s">
        <v>2225</v>
      </c>
      <c r="G51" s="316"/>
      <c r="H51" s="315" t="s">
        <v>9189</v>
      </c>
      <c r="I51" s="315" t="s">
        <v>9193</v>
      </c>
      <c r="J51" s="2"/>
      <c r="K51" s="157"/>
      <c r="L51" s="317">
        <v>44109</v>
      </c>
      <c r="M51" s="317"/>
      <c r="N51" s="3"/>
      <c r="O51" s="316"/>
      <c r="P51" s="277"/>
    </row>
    <row r="52" spans="1:16" ht="30" customHeight="1" x14ac:dyDescent="0.15">
      <c r="A52" s="284" t="s">
        <v>7461</v>
      </c>
      <c r="B52" s="314" t="s">
        <v>9163</v>
      </c>
      <c r="C52" s="314" t="s">
        <v>9164</v>
      </c>
      <c r="D52" s="315" t="s">
        <v>2261</v>
      </c>
      <c r="E52" s="6"/>
      <c r="F52" s="6" t="s">
        <v>2225</v>
      </c>
      <c r="G52" s="316"/>
      <c r="H52" s="315"/>
      <c r="I52" s="315"/>
      <c r="J52" s="2"/>
      <c r="K52" s="157"/>
      <c r="L52" s="317"/>
      <c r="M52" s="317"/>
      <c r="N52" s="3"/>
      <c r="O52" s="316"/>
      <c r="P52" s="277"/>
    </row>
    <row r="53" spans="1:16" ht="30" customHeight="1" x14ac:dyDescent="0.15">
      <c r="A53" s="284" t="s">
        <v>7462</v>
      </c>
      <c r="B53" s="314" t="s">
        <v>9165</v>
      </c>
      <c r="C53" s="314" t="s">
        <v>9258</v>
      </c>
      <c r="D53" s="315" t="s">
        <v>2261</v>
      </c>
      <c r="E53" s="6"/>
      <c r="F53" s="6" t="s">
        <v>2225</v>
      </c>
      <c r="G53" s="316" t="s">
        <v>1558</v>
      </c>
      <c r="H53" s="315" t="s">
        <v>9189</v>
      </c>
      <c r="I53" s="315" t="s">
        <v>9198</v>
      </c>
      <c r="J53" s="2"/>
      <c r="K53" s="157"/>
      <c r="L53" s="317">
        <v>43132</v>
      </c>
      <c r="M53" s="317"/>
      <c r="N53" s="3"/>
      <c r="O53" s="316" t="s">
        <v>1815</v>
      </c>
      <c r="P53" s="277"/>
    </row>
    <row r="54" spans="1:16" ht="30" customHeight="1" x14ac:dyDescent="0.15">
      <c r="A54" s="284" t="s">
        <v>7463</v>
      </c>
      <c r="B54" s="314" t="s">
        <v>9166</v>
      </c>
      <c r="C54" s="314" t="s">
        <v>9259</v>
      </c>
      <c r="D54" s="315" t="s">
        <v>2260</v>
      </c>
      <c r="E54" s="6"/>
      <c r="F54" s="6" t="s">
        <v>2225</v>
      </c>
      <c r="G54" s="316" t="s">
        <v>1420</v>
      </c>
      <c r="H54" s="315" t="s">
        <v>9193</v>
      </c>
      <c r="I54" s="315" t="s">
        <v>9199</v>
      </c>
      <c r="J54" s="2"/>
      <c r="K54" s="157"/>
      <c r="L54" s="317">
        <v>43774</v>
      </c>
      <c r="M54" s="317"/>
      <c r="N54" s="3"/>
      <c r="O54" s="316"/>
      <c r="P54" s="277"/>
    </row>
    <row r="55" spans="1:16" ht="30" customHeight="1" x14ac:dyDescent="0.15">
      <c r="A55" s="284" t="s">
        <v>7464</v>
      </c>
      <c r="B55" s="315" t="s">
        <v>9215</v>
      </c>
      <c r="C55" s="315" t="s">
        <v>9216</v>
      </c>
      <c r="D55" s="315" t="s">
        <v>2260</v>
      </c>
      <c r="E55" s="6"/>
      <c r="F55" s="6"/>
      <c r="G55" s="316" t="s">
        <v>1558</v>
      </c>
      <c r="H55" s="315" t="s">
        <v>9183</v>
      </c>
      <c r="I55" s="315" t="s">
        <v>9189</v>
      </c>
      <c r="J55" s="2"/>
      <c r="K55" s="157"/>
      <c r="L55" s="317">
        <v>42705</v>
      </c>
      <c r="M55" s="317">
        <v>43788</v>
      </c>
      <c r="N55" s="3"/>
      <c r="O55" s="316" t="s">
        <v>1815</v>
      </c>
      <c r="P55" s="277"/>
    </row>
    <row r="56" spans="1:16" ht="30" customHeight="1" x14ac:dyDescent="0.15">
      <c r="A56" s="284" t="s">
        <v>7465</v>
      </c>
      <c r="B56" s="315" t="s">
        <v>9230</v>
      </c>
      <c r="C56" s="315" t="s">
        <v>9260</v>
      </c>
      <c r="D56" s="315" t="s">
        <v>2260</v>
      </c>
      <c r="E56" s="6"/>
      <c r="F56" s="6" t="s">
        <v>2225</v>
      </c>
      <c r="G56" s="316"/>
      <c r="H56" s="315" t="s">
        <v>9185</v>
      </c>
      <c r="I56" s="315" t="s">
        <v>9200</v>
      </c>
      <c r="J56" s="2"/>
      <c r="K56" s="157"/>
      <c r="L56" s="317">
        <v>43040</v>
      </c>
      <c r="M56" s="317">
        <v>44176</v>
      </c>
      <c r="N56" s="3"/>
      <c r="O56" s="316" t="s">
        <v>1810</v>
      </c>
      <c r="P56" s="277"/>
    </row>
    <row r="57" spans="1:16" ht="30" customHeight="1" x14ac:dyDescent="0.15">
      <c r="A57" s="284" t="s">
        <v>7466</v>
      </c>
      <c r="B57" s="315" t="s">
        <v>9131</v>
      </c>
      <c r="C57" s="315" t="s">
        <v>9132</v>
      </c>
      <c r="D57" s="315" t="s">
        <v>2261</v>
      </c>
      <c r="E57" s="6"/>
      <c r="F57" s="6" t="s">
        <v>2225</v>
      </c>
      <c r="G57" s="316"/>
      <c r="H57" s="315" t="s">
        <v>9193</v>
      </c>
      <c r="I57" s="315" t="s">
        <v>9222</v>
      </c>
      <c r="J57" s="2"/>
      <c r="K57" s="157"/>
      <c r="L57" s="317">
        <v>42036</v>
      </c>
      <c r="M57" s="317">
        <v>43447</v>
      </c>
      <c r="N57" s="3"/>
      <c r="O57" s="316" t="s">
        <v>1820</v>
      </c>
      <c r="P57" s="277"/>
    </row>
    <row r="58" spans="1:16" ht="30" customHeight="1" x14ac:dyDescent="0.15">
      <c r="A58" s="284" t="s">
        <v>7467</v>
      </c>
      <c r="B58" s="314" t="s">
        <v>9167</v>
      </c>
      <c r="C58" s="314" t="s">
        <v>9168</v>
      </c>
      <c r="D58" s="315" t="s">
        <v>2261</v>
      </c>
      <c r="E58" s="6"/>
      <c r="F58" s="6" t="s">
        <v>2225</v>
      </c>
      <c r="G58" s="316" t="s">
        <v>1420</v>
      </c>
      <c r="H58" s="315"/>
      <c r="I58" s="315"/>
      <c r="J58" s="2"/>
      <c r="K58" s="157"/>
      <c r="L58" s="317">
        <v>44470</v>
      </c>
      <c r="M58" s="317"/>
      <c r="N58" s="3"/>
      <c r="O58" s="316"/>
      <c r="P58" s="277"/>
    </row>
    <row r="59" spans="1:16" ht="30" customHeight="1" x14ac:dyDescent="0.15">
      <c r="A59" s="284" t="s">
        <v>7468</v>
      </c>
      <c r="B59" s="315" t="s">
        <v>9233</v>
      </c>
      <c r="C59" s="315" t="s">
        <v>9234</v>
      </c>
      <c r="D59" s="315" t="s">
        <v>2261</v>
      </c>
      <c r="E59" s="6"/>
      <c r="F59" s="6" t="s">
        <v>2225</v>
      </c>
      <c r="G59" s="316" t="s">
        <v>1420</v>
      </c>
      <c r="H59" s="315" t="s">
        <v>9185</v>
      </c>
      <c r="I59" s="315" t="s">
        <v>9235</v>
      </c>
      <c r="J59" s="2"/>
      <c r="K59" s="157"/>
      <c r="L59" s="317">
        <v>42401</v>
      </c>
      <c r="M59" s="317">
        <v>43782</v>
      </c>
      <c r="N59" s="3"/>
      <c r="O59" s="316" t="s">
        <v>1820</v>
      </c>
      <c r="P59" s="277"/>
    </row>
    <row r="60" spans="1:16" ht="30" customHeight="1" x14ac:dyDescent="0.15">
      <c r="A60" s="284" t="s">
        <v>7469</v>
      </c>
      <c r="B60" s="314" t="s">
        <v>9169</v>
      </c>
      <c r="C60" s="314" t="s">
        <v>4000</v>
      </c>
      <c r="D60" s="315" t="s">
        <v>2260</v>
      </c>
      <c r="E60" s="6"/>
      <c r="F60" s="6" t="s">
        <v>2225</v>
      </c>
      <c r="G60" s="316"/>
      <c r="H60" s="315"/>
      <c r="I60" s="315"/>
      <c r="J60" s="2"/>
      <c r="K60" s="157"/>
      <c r="L60" s="317"/>
      <c r="M60" s="317"/>
      <c r="N60" s="3"/>
      <c r="O60" s="316"/>
      <c r="P60" s="277"/>
    </row>
    <row r="61" spans="1:16" ht="30" customHeight="1" x14ac:dyDescent="0.15">
      <c r="A61" s="284" t="s">
        <v>7470</v>
      </c>
      <c r="B61" s="314" t="s">
        <v>9170</v>
      </c>
      <c r="C61" s="314" t="s">
        <v>9261</v>
      </c>
      <c r="D61" s="315" t="s">
        <v>2260</v>
      </c>
      <c r="E61" s="6"/>
      <c r="F61" s="6" t="s">
        <v>2225</v>
      </c>
      <c r="G61" s="316" t="s">
        <v>1558</v>
      </c>
      <c r="H61" s="315" t="s">
        <v>9189</v>
      </c>
      <c r="I61" s="315" t="s">
        <v>9191</v>
      </c>
      <c r="J61" s="2"/>
      <c r="K61" s="157"/>
      <c r="L61" s="317">
        <v>43863</v>
      </c>
      <c r="M61" s="317"/>
      <c r="N61" s="3"/>
      <c r="O61" s="316"/>
      <c r="P61" s="277"/>
    </row>
    <row r="62" spans="1:16" ht="30" customHeight="1" x14ac:dyDescent="0.15">
      <c r="A62" s="284" t="s">
        <v>7471</v>
      </c>
      <c r="B62" s="314" t="s">
        <v>9171</v>
      </c>
      <c r="C62" s="314" t="s">
        <v>9262</v>
      </c>
      <c r="D62" s="315" t="s">
        <v>2260</v>
      </c>
      <c r="E62" s="6"/>
      <c r="F62" s="6"/>
      <c r="G62" s="316" t="s">
        <v>634</v>
      </c>
      <c r="H62" s="315" t="s">
        <v>9200</v>
      </c>
      <c r="I62" s="315" t="s">
        <v>9201</v>
      </c>
      <c r="J62" s="2"/>
      <c r="K62" s="157"/>
      <c r="L62" s="317">
        <v>43811</v>
      </c>
      <c r="M62" s="317"/>
      <c r="N62" s="3"/>
      <c r="O62" s="316"/>
      <c r="P62" s="277"/>
    </row>
    <row r="63" spans="1:16" ht="30" customHeight="1" x14ac:dyDescent="0.15">
      <c r="A63" s="284" t="s">
        <v>7472</v>
      </c>
      <c r="B63" s="314" t="s">
        <v>9172</v>
      </c>
      <c r="C63" s="314" t="s">
        <v>9173</v>
      </c>
      <c r="D63" s="315" t="s">
        <v>2260</v>
      </c>
      <c r="E63" s="6"/>
      <c r="F63" s="6"/>
      <c r="G63" s="316"/>
      <c r="H63" s="315"/>
      <c r="I63" s="315"/>
      <c r="J63" s="2"/>
      <c r="K63" s="157"/>
      <c r="L63" s="317"/>
      <c r="M63" s="317"/>
      <c r="N63" s="3"/>
      <c r="O63" s="316"/>
      <c r="P63" s="277"/>
    </row>
    <row r="64" spans="1:16" ht="30" customHeight="1" x14ac:dyDescent="0.15">
      <c r="A64" s="284" t="s">
        <v>7473</v>
      </c>
      <c r="B64" s="157"/>
      <c r="C64" s="157"/>
      <c r="D64" s="157"/>
      <c r="E64" s="6"/>
      <c r="F64" s="6"/>
      <c r="G64" s="2"/>
      <c r="H64" s="157"/>
      <c r="I64" s="157"/>
      <c r="J64" s="2"/>
      <c r="K64" s="157"/>
      <c r="L64" s="3"/>
      <c r="M64" s="3"/>
      <c r="N64" s="3"/>
      <c r="O64" s="2"/>
      <c r="P64" s="277"/>
    </row>
    <row r="65" spans="1:16" ht="30" customHeight="1" x14ac:dyDescent="0.15">
      <c r="A65" s="284" t="s">
        <v>7474</v>
      </c>
      <c r="B65" s="157"/>
      <c r="C65" s="157"/>
      <c r="D65" s="157"/>
      <c r="E65" s="6"/>
      <c r="F65" s="6"/>
      <c r="G65" s="2"/>
      <c r="H65" s="157"/>
      <c r="I65" s="157"/>
      <c r="J65" s="2"/>
      <c r="K65" s="157"/>
      <c r="L65" s="3"/>
      <c r="M65" s="3"/>
      <c r="N65" s="3"/>
      <c r="O65" s="2"/>
      <c r="P65" s="277"/>
    </row>
    <row r="66" spans="1:16" ht="30" customHeight="1" x14ac:dyDescent="0.15">
      <c r="A66" s="284" t="s">
        <v>7475</v>
      </c>
      <c r="B66" s="157"/>
      <c r="C66" s="157"/>
      <c r="D66" s="157"/>
      <c r="E66" s="6"/>
      <c r="F66" s="6"/>
      <c r="G66" s="2"/>
      <c r="H66" s="157"/>
      <c r="I66" s="157"/>
      <c r="J66" s="2"/>
      <c r="K66" s="157"/>
      <c r="L66" s="3"/>
      <c r="M66" s="3"/>
      <c r="N66" s="3"/>
      <c r="O66" s="2"/>
      <c r="P66" s="277"/>
    </row>
    <row r="67" spans="1:16" ht="30" customHeight="1" x14ac:dyDescent="0.15">
      <c r="A67" s="284" t="s">
        <v>7476</v>
      </c>
      <c r="B67" s="157"/>
      <c r="C67" s="157"/>
      <c r="D67" s="157"/>
      <c r="E67" s="6"/>
      <c r="F67" s="6"/>
      <c r="G67" s="2"/>
      <c r="H67" s="157"/>
      <c r="I67" s="157"/>
      <c r="J67" s="2"/>
      <c r="K67" s="157"/>
      <c r="L67" s="3"/>
      <c r="M67" s="3"/>
      <c r="N67" s="3"/>
      <c r="O67" s="2"/>
      <c r="P67" s="277"/>
    </row>
    <row r="68" spans="1:16" ht="30" customHeight="1" x14ac:dyDescent="0.15">
      <c r="A68" s="284" t="s">
        <v>7477</v>
      </c>
      <c r="B68" s="157"/>
      <c r="C68" s="157"/>
      <c r="D68" s="157"/>
      <c r="E68" s="6"/>
      <c r="F68" s="6"/>
      <c r="G68" s="2"/>
      <c r="H68" s="157"/>
      <c r="I68" s="157"/>
      <c r="J68" s="2"/>
      <c r="K68" s="157"/>
      <c r="L68" s="3"/>
      <c r="M68" s="3"/>
      <c r="N68" s="3"/>
      <c r="O68" s="2"/>
      <c r="P68" s="277"/>
    </row>
    <row r="69" spans="1:16" ht="30" customHeight="1" x14ac:dyDescent="0.15">
      <c r="A69" s="284" t="s">
        <v>7478</v>
      </c>
      <c r="B69" s="157"/>
      <c r="C69" s="157"/>
      <c r="D69" s="157"/>
      <c r="E69" s="6"/>
      <c r="F69" s="6"/>
      <c r="G69" s="2"/>
      <c r="H69" s="157"/>
      <c r="I69" s="157"/>
      <c r="J69" s="2"/>
      <c r="K69" s="157"/>
      <c r="L69" s="3"/>
      <c r="M69" s="3"/>
      <c r="N69" s="3"/>
      <c r="O69" s="2"/>
      <c r="P69" s="277"/>
    </row>
    <row r="70" spans="1:16" ht="30" customHeight="1" x14ac:dyDescent="0.15">
      <c r="A70" s="284" t="s">
        <v>7479</v>
      </c>
      <c r="B70" s="157"/>
      <c r="C70" s="157"/>
      <c r="D70" s="157"/>
      <c r="E70" s="6"/>
      <c r="F70" s="6"/>
      <c r="G70" s="2"/>
      <c r="H70" s="157"/>
      <c r="I70" s="157"/>
      <c r="J70" s="2"/>
      <c r="K70" s="157"/>
      <c r="L70" s="3"/>
      <c r="M70" s="3"/>
      <c r="N70" s="3"/>
      <c r="O70" s="2"/>
      <c r="P70" s="277"/>
    </row>
    <row r="71" spans="1:16" ht="30" customHeight="1" x14ac:dyDescent="0.15">
      <c r="A71" s="284" t="s">
        <v>7480</v>
      </c>
      <c r="B71" s="157"/>
      <c r="C71" s="157"/>
      <c r="D71" s="157"/>
      <c r="E71" s="6"/>
      <c r="F71" s="6"/>
      <c r="G71" s="2"/>
      <c r="H71" s="157"/>
      <c r="I71" s="157"/>
      <c r="J71" s="2"/>
      <c r="K71" s="157"/>
      <c r="L71" s="3"/>
      <c r="M71" s="3"/>
      <c r="N71" s="3"/>
      <c r="O71" s="2"/>
      <c r="P71" s="277"/>
    </row>
    <row r="72" spans="1:16" ht="30" customHeight="1" x14ac:dyDescent="0.15">
      <c r="A72" s="284" t="s">
        <v>7481</v>
      </c>
      <c r="B72" s="157"/>
      <c r="C72" s="157"/>
      <c r="D72" s="157"/>
      <c r="E72" s="6"/>
      <c r="F72" s="6"/>
      <c r="G72" s="2"/>
      <c r="H72" s="157"/>
      <c r="I72" s="157"/>
      <c r="J72" s="2"/>
      <c r="K72" s="157"/>
      <c r="L72" s="3"/>
      <c r="M72" s="3"/>
      <c r="N72" s="3"/>
      <c r="O72" s="2"/>
      <c r="P72" s="277"/>
    </row>
    <row r="73" spans="1:16" ht="30" customHeight="1" x14ac:dyDescent="0.15">
      <c r="A73" s="284" t="s">
        <v>7482</v>
      </c>
      <c r="B73" s="157"/>
      <c r="C73" s="157"/>
      <c r="D73" s="157"/>
      <c r="E73" s="6"/>
      <c r="F73" s="6"/>
      <c r="G73" s="2"/>
      <c r="H73" s="157"/>
      <c r="I73" s="157"/>
      <c r="J73" s="2"/>
      <c r="K73" s="157"/>
      <c r="L73" s="3"/>
      <c r="M73" s="3"/>
      <c r="N73" s="3"/>
      <c r="O73" s="2"/>
      <c r="P73" s="277"/>
    </row>
    <row r="74" spans="1:16" ht="30" customHeight="1" x14ac:dyDescent="0.15">
      <c r="A74" s="284" t="s">
        <v>7483</v>
      </c>
      <c r="B74" s="157"/>
      <c r="C74" s="157"/>
      <c r="D74" s="157"/>
      <c r="E74" s="6"/>
      <c r="F74" s="6"/>
      <c r="G74" s="2"/>
      <c r="H74" s="157"/>
      <c r="I74" s="157"/>
      <c r="J74" s="2"/>
      <c r="K74" s="157"/>
      <c r="L74" s="3"/>
      <c r="M74" s="3"/>
      <c r="N74" s="3"/>
      <c r="O74" s="2"/>
      <c r="P74" s="277"/>
    </row>
    <row r="75" spans="1:16" ht="30" customHeight="1" x14ac:dyDescent="0.15">
      <c r="A75" s="284" t="s">
        <v>7484</v>
      </c>
      <c r="B75" s="157"/>
      <c r="C75" s="157"/>
      <c r="D75" s="157"/>
      <c r="E75" s="6"/>
      <c r="F75" s="6"/>
      <c r="G75" s="2"/>
      <c r="H75" s="157"/>
      <c r="I75" s="157"/>
      <c r="J75" s="2"/>
      <c r="K75" s="157"/>
      <c r="L75" s="3"/>
      <c r="M75" s="3"/>
      <c r="N75" s="3"/>
      <c r="O75" s="2"/>
      <c r="P75" s="277"/>
    </row>
    <row r="76" spans="1:16" ht="30" customHeight="1" x14ac:dyDescent="0.15">
      <c r="A76" s="284" t="s">
        <v>7485</v>
      </c>
      <c r="B76" s="157"/>
      <c r="C76" s="157"/>
      <c r="D76" s="157"/>
      <c r="E76" s="6"/>
      <c r="F76" s="6"/>
      <c r="G76" s="2"/>
      <c r="H76" s="157"/>
      <c r="I76" s="157"/>
      <c r="J76" s="2"/>
      <c r="K76" s="157"/>
      <c r="L76" s="3"/>
      <c r="M76" s="3"/>
      <c r="N76" s="3"/>
      <c r="O76" s="2"/>
      <c r="P76" s="277"/>
    </row>
    <row r="77" spans="1:16" ht="30" customHeight="1" x14ac:dyDescent="0.15">
      <c r="A77" s="284" t="s">
        <v>7486</v>
      </c>
      <c r="B77" s="157"/>
      <c r="C77" s="157"/>
      <c r="D77" s="157"/>
      <c r="E77" s="6"/>
      <c r="F77" s="6"/>
      <c r="G77" s="2"/>
      <c r="H77" s="157"/>
      <c r="I77" s="157"/>
      <c r="J77" s="2"/>
      <c r="K77" s="157"/>
      <c r="L77" s="3"/>
      <c r="M77" s="3"/>
      <c r="N77" s="3"/>
      <c r="O77" s="2"/>
      <c r="P77" s="277"/>
    </row>
    <row r="78" spans="1:16" ht="30" customHeight="1" x14ac:dyDescent="0.15">
      <c r="A78" s="284" t="s">
        <v>7487</v>
      </c>
      <c r="B78" s="157"/>
      <c r="C78" s="157"/>
      <c r="D78" s="157"/>
      <c r="E78" s="6"/>
      <c r="F78" s="6"/>
      <c r="G78" s="2"/>
      <c r="H78" s="157"/>
      <c r="I78" s="157"/>
      <c r="J78" s="2"/>
      <c r="K78" s="157"/>
      <c r="L78" s="3"/>
      <c r="M78" s="3"/>
      <c r="N78" s="3"/>
      <c r="O78" s="2"/>
      <c r="P78" s="277"/>
    </row>
    <row r="79" spans="1:16" ht="30" customHeight="1" x14ac:dyDescent="0.15">
      <c r="A79" s="284" t="s">
        <v>7488</v>
      </c>
      <c r="B79" s="157"/>
      <c r="C79" s="157"/>
      <c r="D79" s="157"/>
      <c r="E79" s="6"/>
      <c r="F79" s="6"/>
      <c r="G79" s="2"/>
      <c r="H79" s="157"/>
      <c r="I79" s="157"/>
      <c r="J79" s="2"/>
      <c r="K79" s="157"/>
      <c r="L79" s="3"/>
      <c r="M79" s="3"/>
      <c r="N79" s="3"/>
      <c r="O79" s="2"/>
      <c r="P79" s="277"/>
    </row>
    <row r="80" spans="1:16" ht="30" customHeight="1" x14ac:dyDescent="0.15">
      <c r="A80" s="284" t="s">
        <v>7489</v>
      </c>
      <c r="B80" s="157"/>
      <c r="C80" s="157"/>
      <c r="D80" s="157"/>
      <c r="E80" s="6"/>
      <c r="F80" s="6"/>
      <c r="G80" s="2"/>
      <c r="H80" s="157"/>
      <c r="I80" s="157"/>
      <c r="J80" s="2"/>
      <c r="K80" s="157"/>
      <c r="L80" s="3"/>
      <c r="M80" s="3"/>
      <c r="N80" s="3"/>
      <c r="O80" s="2"/>
      <c r="P80" s="277"/>
    </row>
    <row r="81" spans="1:16" ht="30" customHeight="1" x14ac:dyDescent="0.15">
      <c r="A81" s="284" t="s">
        <v>7490</v>
      </c>
      <c r="B81" s="157"/>
      <c r="C81" s="157"/>
      <c r="D81" s="157"/>
      <c r="E81" s="6"/>
      <c r="F81" s="6"/>
      <c r="G81" s="2"/>
      <c r="H81" s="157"/>
      <c r="I81" s="157"/>
      <c r="J81" s="2"/>
      <c r="K81" s="157"/>
      <c r="L81" s="3"/>
      <c r="M81" s="3"/>
      <c r="N81" s="3"/>
      <c r="O81" s="2"/>
      <c r="P81" s="277"/>
    </row>
    <row r="82" spans="1:16" ht="30" customHeight="1" x14ac:dyDescent="0.15">
      <c r="A82" s="284" t="s">
        <v>7491</v>
      </c>
      <c r="B82" s="157"/>
      <c r="C82" s="157"/>
      <c r="D82" s="157"/>
      <c r="E82" s="6"/>
      <c r="F82" s="6"/>
      <c r="G82" s="2"/>
      <c r="H82" s="157"/>
      <c r="I82" s="157"/>
      <c r="J82" s="2"/>
      <c r="K82" s="157"/>
      <c r="L82" s="3"/>
      <c r="M82" s="3"/>
      <c r="N82" s="3"/>
      <c r="O82" s="2"/>
      <c r="P82" s="277"/>
    </row>
    <row r="83" spans="1:16" ht="30" customHeight="1" x14ac:dyDescent="0.15">
      <c r="A83" s="284" t="s">
        <v>7492</v>
      </c>
      <c r="B83" s="157"/>
      <c r="C83" s="157"/>
      <c r="D83" s="157"/>
      <c r="E83" s="6"/>
      <c r="F83" s="6"/>
      <c r="G83" s="2"/>
      <c r="H83" s="157"/>
      <c r="I83" s="157"/>
      <c r="J83" s="2"/>
      <c r="K83" s="157"/>
      <c r="L83" s="3"/>
      <c r="M83" s="3"/>
      <c r="N83" s="3"/>
      <c r="O83" s="2"/>
      <c r="P83" s="277"/>
    </row>
    <row r="84" spans="1:16" ht="30" customHeight="1" x14ac:dyDescent="0.15">
      <c r="A84" s="284" t="s">
        <v>7493</v>
      </c>
      <c r="B84" s="157"/>
      <c r="C84" s="157"/>
      <c r="D84" s="157"/>
      <c r="E84" s="6"/>
      <c r="F84" s="6"/>
      <c r="G84" s="2"/>
      <c r="H84" s="157"/>
      <c r="I84" s="157"/>
      <c r="J84" s="2"/>
      <c r="K84" s="157"/>
      <c r="L84" s="3"/>
      <c r="M84" s="3"/>
      <c r="N84" s="3"/>
      <c r="O84" s="2"/>
      <c r="P84" s="277"/>
    </row>
    <row r="85" spans="1:16" ht="30" customHeight="1" x14ac:dyDescent="0.15">
      <c r="A85" s="284" t="s">
        <v>7494</v>
      </c>
      <c r="B85" s="157"/>
      <c r="C85" s="157"/>
      <c r="D85" s="157"/>
      <c r="E85" s="6"/>
      <c r="F85" s="6"/>
      <c r="G85" s="2"/>
      <c r="H85" s="157"/>
      <c r="I85" s="157"/>
      <c r="J85" s="2"/>
      <c r="K85" s="157"/>
      <c r="L85" s="3"/>
      <c r="M85" s="3"/>
      <c r="N85" s="3"/>
      <c r="O85" s="2"/>
      <c r="P85" s="277"/>
    </row>
    <row r="86" spans="1:16" ht="30" customHeight="1" x14ac:dyDescent="0.15">
      <c r="A86" s="284" t="s">
        <v>7495</v>
      </c>
      <c r="B86" s="157"/>
      <c r="C86" s="157"/>
      <c r="D86" s="157"/>
      <c r="E86" s="6"/>
      <c r="F86" s="6"/>
      <c r="G86" s="2"/>
      <c r="H86" s="157"/>
      <c r="I86" s="157"/>
      <c r="J86" s="2"/>
      <c r="K86" s="157"/>
      <c r="L86" s="3"/>
      <c r="M86" s="3"/>
      <c r="N86" s="3"/>
      <c r="O86" s="2"/>
      <c r="P86" s="277"/>
    </row>
    <row r="87" spans="1:16" ht="30" customHeight="1" x14ac:dyDescent="0.15">
      <c r="A87" s="284" t="s">
        <v>7496</v>
      </c>
      <c r="B87" s="157"/>
      <c r="C87" s="157"/>
      <c r="D87" s="157"/>
      <c r="E87" s="6"/>
      <c r="F87" s="6"/>
      <c r="G87" s="2"/>
      <c r="H87" s="157"/>
      <c r="I87" s="157"/>
      <c r="J87" s="2"/>
      <c r="K87" s="157"/>
      <c r="L87" s="3"/>
      <c r="M87" s="3"/>
      <c r="N87" s="3"/>
      <c r="O87" s="2"/>
      <c r="P87" s="277"/>
    </row>
    <row r="88" spans="1:16" ht="30" customHeight="1" x14ac:dyDescent="0.15">
      <c r="A88" s="284" t="s">
        <v>7497</v>
      </c>
      <c r="B88" s="157"/>
      <c r="C88" s="157"/>
      <c r="D88" s="157"/>
      <c r="E88" s="6"/>
      <c r="F88" s="6"/>
      <c r="G88" s="2"/>
      <c r="H88" s="157"/>
      <c r="I88" s="157"/>
      <c r="J88" s="2"/>
      <c r="K88" s="157"/>
      <c r="L88" s="3"/>
      <c r="M88" s="3"/>
      <c r="N88" s="3"/>
      <c r="O88" s="2"/>
      <c r="P88" s="277"/>
    </row>
    <row r="89" spans="1:16" ht="30" customHeight="1" x14ac:dyDescent="0.15">
      <c r="A89" s="284" t="s">
        <v>7498</v>
      </c>
      <c r="B89" s="157"/>
      <c r="C89" s="157"/>
      <c r="D89" s="157"/>
      <c r="E89" s="6"/>
      <c r="F89" s="6"/>
      <c r="G89" s="2"/>
      <c r="H89" s="157"/>
      <c r="I89" s="157"/>
      <c r="J89" s="2"/>
      <c r="K89" s="157"/>
      <c r="L89" s="3"/>
      <c r="M89" s="3"/>
      <c r="N89" s="3"/>
      <c r="O89" s="2"/>
      <c r="P89" s="277"/>
    </row>
    <row r="90" spans="1:16" ht="30" customHeight="1" x14ac:dyDescent="0.15">
      <c r="A90" s="284" t="s">
        <v>7499</v>
      </c>
      <c r="B90" s="157"/>
      <c r="C90" s="157"/>
      <c r="D90" s="157"/>
      <c r="E90" s="6"/>
      <c r="F90" s="6"/>
      <c r="G90" s="2"/>
      <c r="H90" s="157"/>
      <c r="I90" s="157"/>
      <c r="J90" s="2"/>
      <c r="K90" s="157"/>
      <c r="L90" s="3"/>
      <c r="M90" s="3"/>
      <c r="N90" s="3"/>
      <c r="O90" s="2"/>
      <c r="P90" s="277"/>
    </row>
    <row r="91" spans="1:16" ht="30" customHeight="1" x14ac:dyDescent="0.15">
      <c r="A91" s="284" t="s">
        <v>7500</v>
      </c>
      <c r="B91" s="157"/>
      <c r="C91" s="157"/>
      <c r="D91" s="157"/>
      <c r="E91" s="6"/>
      <c r="F91" s="6"/>
      <c r="G91" s="2"/>
      <c r="H91" s="157"/>
      <c r="I91" s="157"/>
      <c r="J91" s="2"/>
      <c r="K91" s="157"/>
      <c r="L91" s="3"/>
      <c r="M91" s="3"/>
      <c r="N91" s="3"/>
      <c r="O91" s="2"/>
      <c r="P91" s="277"/>
    </row>
    <row r="92" spans="1:16" ht="30" customHeight="1" x14ac:dyDescent="0.15">
      <c r="A92" s="284" t="s">
        <v>7501</v>
      </c>
      <c r="B92" s="157"/>
      <c r="C92" s="157"/>
      <c r="D92" s="157"/>
      <c r="E92" s="6"/>
      <c r="F92" s="6"/>
      <c r="G92" s="2"/>
      <c r="H92" s="157"/>
      <c r="I92" s="157"/>
      <c r="J92" s="2"/>
      <c r="K92" s="157"/>
      <c r="L92" s="3"/>
      <c r="M92" s="3"/>
      <c r="N92" s="3"/>
      <c r="O92" s="2"/>
      <c r="P92" s="277"/>
    </row>
    <row r="93" spans="1:16" ht="30" customHeight="1" x14ac:dyDescent="0.15">
      <c r="A93" s="284" t="s">
        <v>7502</v>
      </c>
      <c r="B93" s="157"/>
      <c r="C93" s="157"/>
      <c r="D93" s="157"/>
      <c r="E93" s="6"/>
      <c r="F93" s="6"/>
      <c r="G93" s="2"/>
      <c r="H93" s="157"/>
      <c r="I93" s="157"/>
      <c r="J93" s="2"/>
      <c r="K93" s="157"/>
      <c r="L93" s="3"/>
      <c r="M93" s="3"/>
      <c r="N93" s="3"/>
      <c r="O93" s="2"/>
      <c r="P93" s="277"/>
    </row>
    <row r="94" spans="1:16" ht="30" customHeight="1" x14ac:dyDescent="0.15">
      <c r="A94" s="284" t="s">
        <v>7503</v>
      </c>
      <c r="B94" s="157"/>
      <c r="C94" s="157"/>
      <c r="D94" s="157"/>
      <c r="E94" s="6"/>
      <c r="F94" s="6"/>
      <c r="G94" s="2"/>
      <c r="H94" s="157"/>
      <c r="I94" s="157"/>
      <c r="J94" s="2"/>
      <c r="K94" s="157"/>
      <c r="L94" s="3"/>
      <c r="M94" s="3"/>
      <c r="N94" s="3"/>
      <c r="O94" s="2"/>
      <c r="P94" s="277"/>
    </row>
    <row r="95" spans="1:16" ht="30" customHeight="1" x14ac:dyDescent="0.15">
      <c r="A95" s="284" t="s">
        <v>7504</v>
      </c>
      <c r="B95" s="157"/>
      <c r="C95" s="157"/>
      <c r="D95" s="157"/>
      <c r="E95" s="6"/>
      <c r="F95" s="6"/>
      <c r="G95" s="2"/>
      <c r="H95" s="157"/>
      <c r="I95" s="157"/>
      <c r="J95" s="2"/>
      <c r="K95" s="157"/>
      <c r="L95" s="3"/>
      <c r="M95" s="3"/>
      <c r="N95" s="3"/>
      <c r="O95" s="2"/>
      <c r="P95" s="277"/>
    </row>
    <row r="96" spans="1:16" ht="30" customHeight="1" x14ac:dyDescent="0.15">
      <c r="A96" s="284" t="s">
        <v>7505</v>
      </c>
      <c r="B96" s="157"/>
      <c r="C96" s="157"/>
      <c r="D96" s="157"/>
      <c r="E96" s="6"/>
      <c r="F96" s="6"/>
      <c r="G96" s="2"/>
      <c r="H96" s="157"/>
      <c r="I96" s="157"/>
      <c r="J96" s="2"/>
      <c r="K96" s="157"/>
      <c r="L96" s="3"/>
      <c r="M96" s="3"/>
      <c r="N96" s="3"/>
      <c r="O96" s="2"/>
      <c r="P96" s="277"/>
    </row>
    <row r="97" spans="1:16" ht="30" customHeight="1" x14ac:dyDescent="0.15">
      <c r="A97" s="284" t="s">
        <v>7506</v>
      </c>
      <c r="B97" s="157"/>
      <c r="C97" s="157"/>
      <c r="D97" s="157"/>
      <c r="E97" s="6"/>
      <c r="F97" s="6"/>
      <c r="G97" s="2"/>
      <c r="H97" s="157"/>
      <c r="I97" s="157"/>
      <c r="J97" s="2"/>
      <c r="K97" s="157"/>
      <c r="L97" s="3"/>
      <c r="M97" s="3"/>
      <c r="N97" s="3"/>
      <c r="O97" s="2"/>
      <c r="P97" s="277"/>
    </row>
    <row r="98" spans="1:16" ht="30" customHeight="1" x14ac:dyDescent="0.15">
      <c r="A98" s="284" t="s">
        <v>7507</v>
      </c>
      <c r="B98" s="157"/>
      <c r="C98" s="157"/>
      <c r="D98" s="157"/>
      <c r="E98" s="6"/>
      <c r="F98" s="6"/>
      <c r="G98" s="2"/>
      <c r="H98" s="157"/>
      <c r="I98" s="157"/>
      <c r="J98" s="2"/>
      <c r="K98" s="157"/>
      <c r="L98" s="3"/>
      <c r="M98" s="3"/>
      <c r="N98" s="3"/>
      <c r="O98" s="2"/>
      <c r="P98" s="277"/>
    </row>
    <row r="99" spans="1:16" ht="30" customHeight="1" x14ac:dyDescent="0.15">
      <c r="A99" s="284" t="s">
        <v>7508</v>
      </c>
      <c r="B99" s="157"/>
      <c r="C99" s="157"/>
      <c r="D99" s="157"/>
      <c r="E99" s="6"/>
      <c r="F99" s="6"/>
      <c r="G99" s="2"/>
      <c r="H99" s="157"/>
      <c r="I99" s="157"/>
      <c r="J99" s="2"/>
      <c r="K99" s="157"/>
      <c r="L99" s="3"/>
      <c r="M99" s="3"/>
      <c r="N99" s="3"/>
      <c r="O99" s="2"/>
      <c r="P99" s="277"/>
    </row>
    <row r="100" spans="1:16" ht="30" customHeight="1" x14ac:dyDescent="0.15">
      <c r="A100" s="284" t="s">
        <v>7509</v>
      </c>
      <c r="B100" s="157"/>
      <c r="C100" s="157"/>
      <c r="D100" s="157"/>
      <c r="E100" s="6"/>
      <c r="F100" s="6"/>
      <c r="G100" s="2"/>
      <c r="H100" s="157"/>
      <c r="I100" s="157"/>
      <c r="J100" s="2"/>
      <c r="K100" s="157"/>
      <c r="L100" s="3"/>
      <c r="M100" s="3"/>
      <c r="N100" s="3"/>
      <c r="O100" s="2"/>
      <c r="P100" s="277"/>
    </row>
    <row r="101" spans="1:16" ht="30" customHeight="1" x14ac:dyDescent="0.15">
      <c r="A101" s="284" t="s">
        <v>7510</v>
      </c>
      <c r="B101" s="157"/>
      <c r="C101" s="157"/>
      <c r="D101" s="157"/>
      <c r="E101" s="6"/>
      <c r="F101" s="6"/>
      <c r="G101" s="2"/>
      <c r="H101" s="157"/>
      <c r="I101" s="157"/>
      <c r="J101" s="2"/>
      <c r="K101" s="157"/>
      <c r="L101" s="3"/>
      <c r="M101" s="3"/>
      <c r="N101" s="3"/>
      <c r="O101" s="2"/>
      <c r="P101" s="277"/>
    </row>
    <row r="102" spans="1:16" ht="30" customHeight="1" x14ac:dyDescent="0.15">
      <c r="A102" s="284" t="s">
        <v>7511</v>
      </c>
      <c r="B102" s="157"/>
      <c r="C102" s="157"/>
      <c r="D102" s="157"/>
      <c r="E102" s="6"/>
      <c r="F102" s="6"/>
      <c r="G102" s="2"/>
      <c r="H102" s="157"/>
      <c r="I102" s="157"/>
      <c r="J102" s="2"/>
      <c r="K102" s="157"/>
      <c r="L102" s="3"/>
      <c r="M102" s="3"/>
      <c r="N102" s="3"/>
      <c r="O102" s="2"/>
      <c r="P102" s="277"/>
    </row>
    <row r="103" spans="1:16" ht="30" customHeight="1" x14ac:dyDescent="0.15">
      <c r="A103" s="284" t="s">
        <v>7512</v>
      </c>
      <c r="B103" s="157"/>
      <c r="C103" s="157"/>
      <c r="D103" s="157"/>
      <c r="E103" s="6"/>
      <c r="F103" s="6"/>
      <c r="G103" s="2"/>
      <c r="H103" s="157"/>
      <c r="I103" s="157"/>
      <c r="J103" s="2"/>
      <c r="K103" s="157"/>
      <c r="L103" s="3"/>
      <c r="M103" s="3"/>
      <c r="N103" s="3"/>
      <c r="O103" s="2"/>
      <c r="P103" s="277"/>
    </row>
    <row r="104" spans="1:16" ht="30" customHeight="1" x14ac:dyDescent="0.15">
      <c r="A104" s="284" t="s">
        <v>7513</v>
      </c>
      <c r="B104" s="157"/>
      <c r="C104" s="157"/>
      <c r="D104" s="157"/>
      <c r="E104" s="6"/>
      <c r="F104" s="6"/>
      <c r="G104" s="2"/>
      <c r="H104" s="157"/>
      <c r="I104" s="157"/>
      <c r="J104" s="2"/>
      <c r="K104" s="157"/>
      <c r="L104" s="3"/>
      <c r="M104" s="3"/>
      <c r="N104" s="3"/>
      <c r="O104" s="2"/>
      <c r="P104" s="277"/>
    </row>
    <row r="105" spans="1:16" ht="30" customHeight="1" x14ac:dyDescent="0.15">
      <c r="A105" s="284" t="s">
        <v>7514</v>
      </c>
      <c r="B105" s="157"/>
      <c r="C105" s="157"/>
      <c r="D105" s="157"/>
      <c r="E105" s="6"/>
      <c r="F105" s="6"/>
      <c r="G105" s="2"/>
      <c r="H105" s="157"/>
      <c r="I105" s="157"/>
      <c r="J105" s="2"/>
      <c r="K105" s="157"/>
      <c r="L105" s="3"/>
      <c r="M105" s="3"/>
      <c r="N105" s="3"/>
      <c r="O105" s="2"/>
      <c r="P105" s="277"/>
    </row>
    <row r="106" spans="1:16" ht="30" customHeight="1" x14ac:dyDescent="0.15">
      <c r="A106" s="284" t="s">
        <v>7515</v>
      </c>
      <c r="B106" s="157"/>
      <c r="C106" s="157"/>
      <c r="D106" s="157"/>
      <c r="E106" s="6"/>
      <c r="F106" s="6"/>
      <c r="G106" s="2"/>
      <c r="H106" s="157"/>
      <c r="I106" s="157"/>
      <c r="J106" s="2"/>
      <c r="K106" s="157"/>
      <c r="L106" s="3"/>
      <c r="M106" s="3"/>
      <c r="N106" s="3"/>
      <c r="O106" s="2"/>
      <c r="P106" s="277"/>
    </row>
    <row r="107" spans="1:16" ht="30" customHeight="1" x14ac:dyDescent="0.15">
      <c r="A107" s="284" t="s">
        <v>7516</v>
      </c>
      <c r="B107" s="157"/>
      <c r="C107" s="157"/>
      <c r="D107" s="157"/>
      <c r="E107" s="6"/>
      <c r="F107" s="6"/>
      <c r="G107" s="2"/>
      <c r="H107" s="157"/>
      <c r="I107" s="157"/>
      <c r="J107" s="2"/>
      <c r="K107" s="157"/>
      <c r="L107" s="3"/>
      <c r="M107" s="3"/>
      <c r="N107" s="3"/>
      <c r="O107" s="2"/>
      <c r="P107" s="277"/>
    </row>
    <row r="108" spans="1:16" ht="30" customHeight="1" x14ac:dyDescent="0.15">
      <c r="A108" s="284" t="s">
        <v>7517</v>
      </c>
      <c r="B108" s="157"/>
      <c r="C108" s="157"/>
      <c r="D108" s="157"/>
      <c r="E108" s="6"/>
      <c r="F108" s="6"/>
      <c r="G108" s="2"/>
      <c r="H108" s="157"/>
      <c r="I108" s="157"/>
      <c r="J108" s="2"/>
      <c r="K108" s="157"/>
      <c r="L108" s="3"/>
      <c r="M108" s="3"/>
      <c r="N108" s="3"/>
      <c r="O108" s="2"/>
      <c r="P108" s="277"/>
    </row>
    <row r="109" spans="1:16" ht="30" customHeight="1" x14ac:dyDescent="0.15">
      <c r="A109" s="284" t="s">
        <v>7518</v>
      </c>
      <c r="B109" s="157"/>
      <c r="C109" s="157"/>
      <c r="D109" s="157"/>
      <c r="E109" s="6"/>
      <c r="F109" s="6"/>
      <c r="G109" s="2"/>
      <c r="H109" s="157"/>
      <c r="I109" s="157"/>
      <c r="J109" s="2"/>
      <c r="K109" s="157"/>
      <c r="L109" s="3"/>
      <c r="M109" s="3"/>
      <c r="N109" s="3"/>
      <c r="O109" s="2"/>
      <c r="P109" s="277"/>
    </row>
    <row r="110" spans="1:16" ht="30" customHeight="1" x14ac:dyDescent="0.15">
      <c r="A110" s="284" t="s">
        <v>7519</v>
      </c>
      <c r="B110" s="157"/>
      <c r="C110" s="157"/>
      <c r="D110" s="157"/>
      <c r="E110" s="6"/>
      <c r="F110" s="6"/>
      <c r="G110" s="2"/>
      <c r="H110" s="157"/>
      <c r="I110" s="157"/>
      <c r="J110" s="2"/>
      <c r="K110" s="157"/>
      <c r="L110" s="3"/>
      <c r="M110" s="3"/>
      <c r="N110" s="3"/>
      <c r="O110" s="2"/>
      <c r="P110" s="277"/>
    </row>
    <row r="111" spans="1:16" ht="30" customHeight="1" x14ac:dyDescent="0.15">
      <c r="A111" s="284" t="s">
        <v>7520</v>
      </c>
      <c r="B111" s="157"/>
      <c r="C111" s="157"/>
      <c r="D111" s="157"/>
      <c r="E111" s="6"/>
      <c r="F111" s="6"/>
      <c r="G111" s="2"/>
      <c r="H111" s="157"/>
      <c r="I111" s="157"/>
      <c r="J111" s="2"/>
      <c r="K111" s="157"/>
      <c r="L111" s="3"/>
      <c r="M111" s="3"/>
      <c r="N111" s="3"/>
      <c r="O111" s="2"/>
      <c r="P111" s="277"/>
    </row>
    <row r="112" spans="1:16" ht="30" customHeight="1" x14ac:dyDescent="0.15">
      <c r="A112" s="284" t="s">
        <v>7521</v>
      </c>
      <c r="B112" s="157"/>
      <c r="C112" s="157"/>
      <c r="D112" s="157"/>
      <c r="E112" s="6"/>
      <c r="F112" s="6"/>
      <c r="G112" s="2"/>
      <c r="H112" s="157"/>
      <c r="I112" s="157"/>
      <c r="J112" s="2"/>
      <c r="K112" s="157"/>
      <c r="L112" s="3"/>
      <c r="M112" s="3"/>
      <c r="N112" s="3"/>
      <c r="O112" s="2"/>
      <c r="P112" s="277"/>
    </row>
    <row r="113" spans="1:16" ht="30" customHeight="1" x14ac:dyDescent="0.15">
      <c r="A113" s="284" t="s">
        <v>7522</v>
      </c>
      <c r="B113" s="157"/>
      <c r="C113" s="157"/>
      <c r="D113" s="157"/>
      <c r="E113" s="6"/>
      <c r="F113" s="6"/>
      <c r="G113" s="2"/>
      <c r="H113" s="157"/>
      <c r="I113" s="157"/>
      <c r="J113" s="2"/>
      <c r="K113" s="157"/>
      <c r="L113" s="3"/>
      <c r="M113" s="3"/>
      <c r="N113" s="3"/>
      <c r="O113" s="2"/>
      <c r="P113" s="277"/>
    </row>
    <row r="114" spans="1:16" ht="30" customHeight="1" x14ac:dyDescent="0.15">
      <c r="A114" s="284" t="s">
        <v>7523</v>
      </c>
      <c r="B114" s="157"/>
      <c r="C114" s="157"/>
      <c r="D114" s="157"/>
      <c r="E114" s="6"/>
      <c r="F114" s="6"/>
      <c r="G114" s="2"/>
      <c r="H114" s="157"/>
      <c r="I114" s="157"/>
      <c r="J114" s="2"/>
      <c r="K114" s="157"/>
      <c r="L114" s="3"/>
      <c r="M114" s="3"/>
      <c r="N114" s="3"/>
      <c r="O114" s="2"/>
      <c r="P114" s="277"/>
    </row>
    <row r="115" spans="1:16" ht="30" customHeight="1" x14ac:dyDescent="0.15">
      <c r="A115" s="284" t="s">
        <v>7524</v>
      </c>
      <c r="B115" s="157"/>
      <c r="C115" s="157"/>
      <c r="D115" s="157"/>
      <c r="E115" s="6"/>
      <c r="F115" s="6"/>
      <c r="G115" s="2"/>
      <c r="H115" s="157"/>
      <c r="I115" s="157"/>
      <c r="J115" s="2"/>
      <c r="K115" s="157"/>
      <c r="L115" s="3"/>
      <c r="M115" s="3"/>
      <c r="N115" s="3"/>
      <c r="O115" s="2"/>
      <c r="P115" s="277"/>
    </row>
    <row r="116" spans="1:16" ht="30" customHeight="1" x14ac:dyDescent="0.15">
      <c r="A116" s="284" t="s">
        <v>7525</v>
      </c>
      <c r="B116" s="157"/>
      <c r="C116" s="157"/>
      <c r="D116" s="157"/>
      <c r="E116" s="6"/>
      <c r="F116" s="6"/>
      <c r="G116" s="2"/>
      <c r="H116" s="157"/>
      <c r="I116" s="157"/>
      <c r="J116" s="2"/>
      <c r="K116" s="157"/>
      <c r="L116" s="3"/>
      <c r="M116" s="3"/>
      <c r="N116" s="3"/>
      <c r="O116" s="2"/>
      <c r="P116" s="277"/>
    </row>
    <row r="117" spans="1:16" ht="30" customHeight="1" x14ac:dyDescent="0.15">
      <c r="A117" s="284" t="s">
        <v>7526</v>
      </c>
      <c r="B117" s="157"/>
      <c r="C117" s="157"/>
      <c r="D117" s="157"/>
      <c r="E117" s="6"/>
      <c r="F117" s="6"/>
      <c r="G117" s="2"/>
      <c r="H117" s="157"/>
      <c r="I117" s="157"/>
      <c r="J117" s="2"/>
      <c r="K117" s="157"/>
      <c r="L117" s="3"/>
      <c r="M117" s="3"/>
      <c r="N117" s="3"/>
      <c r="O117" s="2"/>
      <c r="P117" s="277"/>
    </row>
    <row r="118" spans="1:16" ht="30" customHeight="1" x14ac:dyDescent="0.15">
      <c r="A118" s="284" t="s">
        <v>7527</v>
      </c>
      <c r="B118" s="157"/>
      <c r="C118" s="157"/>
      <c r="D118" s="157"/>
      <c r="E118" s="6"/>
      <c r="F118" s="6"/>
      <c r="G118" s="2"/>
      <c r="H118" s="157"/>
      <c r="I118" s="157"/>
      <c r="J118" s="2"/>
      <c r="K118" s="157"/>
      <c r="L118" s="3"/>
      <c r="M118" s="3"/>
      <c r="N118" s="3"/>
      <c r="O118" s="2"/>
      <c r="P118" s="277"/>
    </row>
    <row r="119" spans="1:16" ht="30" customHeight="1" x14ac:dyDescent="0.15">
      <c r="A119" s="284" t="s">
        <v>7528</v>
      </c>
      <c r="B119" s="157"/>
      <c r="C119" s="157"/>
      <c r="D119" s="157"/>
      <c r="E119" s="6"/>
      <c r="F119" s="6"/>
      <c r="G119" s="2"/>
      <c r="H119" s="157"/>
      <c r="I119" s="157"/>
      <c r="J119" s="2"/>
      <c r="K119" s="157"/>
      <c r="L119" s="3"/>
      <c r="M119" s="3"/>
      <c r="N119" s="3"/>
      <c r="O119" s="2"/>
      <c r="P119" s="277"/>
    </row>
    <row r="120" spans="1:16" ht="30" customHeight="1" x14ac:dyDescent="0.15">
      <c r="A120" s="284" t="s">
        <v>7529</v>
      </c>
      <c r="B120" s="157"/>
      <c r="C120" s="157"/>
      <c r="D120" s="157"/>
      <c r="E120" s="6"/>
      <c r="F120" s="6"/>
      <c r="G120" s="2"/>
      <c r="H120" s="157"/>
      <c r="I120" s="157"/>
      <c r="J120" s="2"/>
      <c r="K120" s="157"/>
      <c r="L120" s="3"/>
      <c r="M120" s="3"/>
      <c r="N120" s="3"/>
      <c r="O120" s="2"/>
      <c r="P120" s="277"/>
    </row>
    <row r="121" spans="1:16" ht="30" customHeight="1" x14ac:dyDescent="0.15">
      <c r="A121" s="284" t="s">
        <v>7530</v>
      </c>
      <c r="B121" s="157"/>
      <c r="C121" s="157"/>
      <c r="D121" s="157"/>
      <c r="E121" s="6"/>
      <c r="F121" s="6"/>
      <c r="G121" s="2"/>
      <c r="H121" s="157"/>
      <c r="I121" s="157"/>
      <c r="J121" s="2"/>
      <c r="K121" s="157"/>
      <c r="L121" s="3"/>
      <c r="M121" s="3"/>
      <c r="N121" s="3"/>
      <c r="O121" s="2"/>
      <c r="P121" s="277"/>
    </row>
    <row r="122" spans="1:16" ht="30" customHeight="1" x14ac:dyDescent="0.15">
      <c r="A122" s="284" t="s">
        <v>7531</v>
      </c>
      <c r="B122" s="157"/>
      <c r="C122" s="157"/>
      <c r="D122" s="157"/>
      <c r="E122" s="6"/>
      <c r="F122" s="6"/>
      <c r="G122" s="2"/>
      <c r="H122" s="157"/>
      <c r="I122" s="157"/>
      <c r="J122" s="2"/>
      <c r="K122" s="157"/>
      <c r="L122" s="3"/>
      <c r="M122" s="3"/>
      <c r="N122" s="3"/>
      <c r="O122" s="2"/>
      <c r="P122" s="277"/>
    </row>
    <row r="123" spans="1:16" ht="30" customHeight="1" x14ac:dyDescent="0.15">
      <c r="A123" s="284" t="s">
        <v>7532</v>
      </c>
      <c r="B123" s="157"/>
      <c r="C123" s="157"/>
      <c r="D123" s="157"/>
      <c r="E123" s="6"/>
      <c r="F123" s="6"/>
      <c r="G123" s="2"/>
      <c r="H123" s="157"/>
      <c r="I123" s="157"/>
      <c r="J123" s="2"/>
      <c r="K123" s="157"/>
      <c r="L123" s="3"/>
      <c r="M123" s="3"/>
      <c r="N123" s="3"/>
      <c r="O123" s="2"/>
      <c r="P123" s="277"/>
    </row>
    <row r="124" spans="1:16" ht="30" customHeight="1" x14ac:dyDescent="0.15">
      <c r="A124" s="284" t="s">
        <v>7533</v>
      </c>
      <c r="B124" s="157"/>
      <c r="C124" s="157"/>
      <c r="D124" s="157"/>
      <c r="E124" s="6"/>
      <c r="F124" s="6"/>
      <c r="G124" s="2"/>
      <c r="H124" s="157"/>
      <c r="I124" s="157"/>
      <c r="J124" s="2"/>
      <c r="K124" s="157"/>
      <c r="L124" s="3"/>
      <c r="M124" s="3"/>
      <c r="N124" s="3"/>
      <c r="O124" s="2"/>
      <c r="P124" s="277"/>
    </row>
    <row r="125" spans="1:16" ht="30" customHeight="1" x14ac:dyDescent="0.15">
      <c r="A125" s="284" t="s">
        <v>7534</v>
      </c>
      <c r="B125" s="157"/>
      <c r="C125" s="157"/>
      <c r="D125" s="157"/>
      <c r="E125" s="6"/>
      <c r="F125" s="6"/>
      <c r="G125" s="2"/>
      <c r="H125" s="157"/>
      <c r="I125" s="157"/>
      <c r="J125" s="2"/>
      <c r="K125" s="157"/>
      <c r="L125" s="3"/>
      <c r="M125" s="3"/>
      <c r="N125" s="3"/>
      <c r="O125" s="2"/>
      <c r="P125" s="277"/>
    </row>
    <row r="126" spans="1:16" ht="30" customHeight="1" x14ac:dyDescent="0.15">
      <c r="A126" s="284" t="s">
        <v>7535</v>
      </c>
      <c r="B126" s="157"/>
      <c r="C126" s="157"/>
      <c r="D126" s="157"/>
      <c r="E126" s="6"/>
      <c r="F126" s="6"/>
      <c r="G126" s="2"/>
      <c r="H126" s="157"/>
      <c r="I126" s="157"/>
      <c r="J126" s="2"/>
      <c r="K126" s="157"/>
      <c r="L126" s="3"/>
      <c r="M126" s="3"/>
      <c r="N126" s="3"/>
      <c r="O126" s="2"/>
      <c r="P126" s="277"/>
    </row>
    <row r="127" spans="1:16" ht="30" customHeight="1" x14ac:dyDescent="0.15">
      <c r="A127" s="284" t="s">
        <v>7536</v>
      </c>
      <c r="B127" s="157"/>
      <c r="C127" s="157"/>
      <c r="D127" s="157"/>
      <c r="E127" s="6"/>
      <c r="F127" s="6"/>
      <c r="G127" s="2"/>
      <c r="H127" s="157"/>
      <c r="I127" s="157"/>
      <c r="J127" s="2"/>
      <c r="K127" s="157"/>
      <c r="L127" s="3"/>
      <c r="M127" s="3"/>
      <c r="N127" s="3"/>
      <c r="O127" s="2"/>
      <c r="P127" s="277"/>
    </row>
    <row r="128" spans="1:16" ht="30" customHeight="1" x14ac:dyDescent="0.15">
      <c r="A128" s="284" t="s">
        <v>7537</v>
      </c>
      <c r="B128" s="157"/>
      <c r="C128" s="157"/>
      <c r="D128" s="157"/>
      <c r="E128" s="6"/>
      <c r="F128" s="6"/>
      <c r="G128" s="2"/>
      <c r="H128" s="157"/>
      <c r="I128" s="157"/>
      <c r="J128" s="2"/>
      <c r="K128" s="157"/>
      <c r="L128" s="3"/>
      <c r="M128" s="3"/>
      <c r="N128" s="3"/>
      <c r="O128" s="2"/>
      <c r="P128" s="277"/>
    </row>
    <row r="129" spans="1:16" ht="30" customHeight="1" x14ac:dyDescent="0.15">
      <c r="A129" s="284" t="s">
        <v>7538</v>
      </c>
      <c r="B129" s="157"/>
      <c r="C129" s="157"/>
      <c r="D129" s="157"/>
      <c r="E129" s="6"/>
      <c r="F129" s="6"/>
      <c r="G129" s="2"/>
      <c r="H129" s="157"/>
      <c r="I129" s="157"/>
      <c r="J129" s="2"/>
      <c r="K129" s="157"/>
      <c r="L129" s="3"/>
      <c r="M129" s="3"/>
      <c r="N129" s="3"/>
      <c r="O129" s="2"/>
      <c r="P129" s="277"/>
    </row>
    <row r="130" spans="1:16" ht="30" customHeight="1" x14ac:dyDescent="0.15">
      <c r="A130" s="284" t="s">
        <v>7539</v>
      </c>
      <c r="B130" s="157"/>
      <c r="C130" s="157"/>
      <c r="D130" s="157"/>
      <c r="E130" s="6"/>
      <c r="F130" s="6"/>
      <c r="G130" s="2"/>
      <c r="H130" s="157"/>
      <c r="I130" s="157"/>
      <c r="J130" s="2"/>
      <c r="K130" s="157"/>
      <c r="L130" s="3"/>
      <c r="M130" s="3"/>
      <c r="N130" s="3"/>
      <c r="O130" s="2"/>
      <c r="P130" s="277"/>
    </row>
    <row r="131" spans="1:16" ht="30" customHeight="1" x14ac:dyDescent="0.15">
      <c r="A131" s="284" t="s">
        <v>7540</v>
      </c>
      <c r="B131" s="157"/>
      <c r="C131" s="157"/>
      <c r="D131" s="157"/>
      <c r="E131" s="6"/>
      <c r="F131" s="6"/>
      <c r="G131" s="2"/>
      <c r="H131" s="157"/>
      <c r="I131" s="157"/>
      <c r="J131" s="2"/>
      <c r="K131" s="157"/>
      <c r="L131" s="3"/>
      <c r="M131" s="3"/>
      <c r="N131" s="3"/>
      <c r="O131" s="2"/>
      <c r="P131" s="277"/>
    </row>
    <row r="132" spans="1:16" ht="30" customHeight="1" x14ac:dyDescent="0.15">
      <c r="A132" s="284" t="s">
        <v>7541</v>
      </c>
      <c r="B132" s="157"/>
      <c r="C132" s="157"/>
      <c r="D132" s="157"/>
      <c r="E132" s="6"/>
      <c r="F132" s="6"/>
      <c r="G132" s="2"/>
      <c r="H132" s="157"/>
      <c r="I132" s="157"/>
      <c r="J132" s="2"/>
      <c r="K132" s="157"/>
      <c r="L132" s="3"/>
      <c r="M132" s="3"/>
      <c r="N132" s="3"/>
      <c r="O132" s="2"/>
      <c r="P132" s="277"/>
    </row>
    <row r="133" spans="1:16" ht="30" customHeight="1" x14ac:dyDescent="0.15">
      <c r="A133" s="284" t="s">
        <v>7542</v>
      </c>
      <c r="B133" s="157"/>
      <c r="C133" s="157"/>
      <c r="D133" s="157"/>
      <c r="E133" s="6"/>
      <c r="F133" s="6"/>
      <c r="G133" s="2"/>
      <c r="H133" s="157"/>
      <c r="I133" s="157"/>
      <c r="J133" s="2"/>
      <c r="K133" s="157"/>
      <c r="L133" s="3"/>
      <c r="M133" s="3"/>
      <c r="N133" s="3"/>
      <c r="O133" s="2"/>
      <c r="P133" s="277"/>
    </row>
    <row r="134" spans="1:16" ht="30" customHeight="1" x14ac:dyDescent="0.15">
      <c r="A134" s="284" t="s">
        <v>7543</v>
      </c>
      <c r="B134" s="157"/>
      <c r="C134" s="157"/>
      <c r="D134" s="157"/>
      <c r="E134" s="6"/>
      <c r="F134" s="6"/>
      <c r="G134" s="2"/>
      <c r="H134" s="157"/>
      <c r="I134" s="157"/>
      <c r="J134" s="2"/>
      <c r="K134" s="157"/>
      <c r="L134" s="3"/>
      <c r="M134" s="3"/>
      <c r="N134" s="3"/>
      <c r="O134" s="2"/>
      <c r="P134" s="277"/>
    </row>
    <row r="135" spans="1:16" ht="30" customHeight="1" x14ac:dyDescent="0.15">
      <c r="A135" s="284" t="s">
        <v>7544</v>
      </c>
      <c r="B135" s="157"/>
      <c r="C135" s="157"/>
      <c r="D135" s="157"/>
      <c r="E135" s="6"/>
      <c r="F135" s="6"/>
      <c r="G135" s="2"/>
      <c r="H135" s="157"/>
      <c r="I135" s="157"/>
      <c r="J135" s="2"/>
      <c r="K135" s="157"/>
      <c r="L135" s="3"/>
      <c r="M135" s="3"/>
      <c r="N135" s="3"/>
      <c r="O135" s="2"/>
      <c r="P135" s="277"/>
    </row>
    <row r="136" spans="1:16" ht="30" customHeight="1" x14ac:dyDescent="0.15">
      <c r="A136" s="284" t="s">
        <v>7545</v>
      </c>
      <c r="B136" s="157"/>
      <c r="C136" s="157"/>
      <c r="D136" s="157"/>
      <c r="E136" s="6"/>
      <c r="F136" s="6"/>
      <c r="G136" s="2"/>
      <c r="H136" s="157"/>
      <c r="I136" s="157"/>
      <c r="J136" s="2"/>
      <c r="K136" s="157"/>
      <c r="L136" s="3"/>
      <c r="M136" s="3"/>
      <c r="N136" s="3"/>
      <c r="O136" s="2"/>
      <c r="P136" s="277"/>
    </row>
    <row r="137" spans="1:16" ht="30" customHeight="1" x14ac:dyDescent="0.15">
      <c r="A137" s="284" t="s">
        <v>7546</v>
      </c>
      <c r="B137" s="157"/>
      <c r="C137" s="157"/>
      <c r="D137" s="157"/>
      <c r="E137" s="6"/>
      <c r="F137" s="6"/>
      <c r="G137" s="2"/>
      <c r="H137" s="157"/>
      <c r="I137" s="157"/>
      <c r="J137" s="2"/>
      <c r="K137" s="157"/>
      <c r="L137" s="3"/>
      <c r="M137" s="3"/>
      <c r="N137" s="3"/>
      <c r="O137" s="2"/>
      <c r="P137" s="277"/>
    </row>
    <row r="138" spans="1:16" ht="30" customHeight="1" x14ac:dyDescent="0.15">
      <c r="A138" s="284" t="s">
        <v>7547</v>
      </c>
      <c r="B138" s="157"/>
      <c r="C138" s="157"/>
      <c r="D138" s="157"/>
      <c r="E138" s="6"/>
      <c r="F138" s="6"/>
      <c r="G138" s="2"/>
      <c r="H138" s="157"/>
      <c r="I138" s="157"/>
      <c r="J138" s="2"/>
      <c r="K138" s="157"/>
      <c r="L138" s="3"/>
      <c r="M138" s="3"/>
      <c r="N138" s="3"/>
      <c r="O138" s="2"/>
      <c r="P138" s="277"/>
    </row>
    <row r="139" spans="1:16" ht="30" customHeight="1" x14ac:dyDescent="0.15">
      <c r="A139" s="284" t="s">
        <v>7548</v>
      </c>
      <c r="B139" s="157"/>
      <c r="C139" s="157"/>
      <c r="D139" s="157"/>
      <c r="E139" s="6"/>
      <c r="F139" s="6"/>
      <c r="G139" s="2"/>
      <c r="H139" s="157"/>
      <c r="I139" s="157"/>
      <c r="J139" s="2"/>
      <c r="K139" s="157"/>
      <c r="L139" s="3"/>
      <c r="M139" s="3"/>
      <c r="N139" s="3"/>
      <c r="O139" s="2"/>
      <c r="P139" s="277"/>
    </row>
    <row r="140" spans="1:16" ht="30" customHeight="1" x14ac:dyDescent="0.15">
      <c r="A140" s="284" t="s">
        <v>7549</v>
      </c>
      <c r="B140" s="157"/>
      <c r="C140" s="157"/>
      <c r="D140" s="157"/>
      <c r="E140" s="6"/>
      <c r="F140" s="6"/>
      <c r="G140" s="2"/>
      <c r="H140" s="157"/>
      <c r="I140" s="157"/>
      <c r="J140" s="2"/>
      <c r="K140" s="157"/>
      <c r="L140" s="3"/>
      <c r="M140" s="3"/>
      <c r="N140" s="3"/>
      <c r="O140" s="2"/>
      <c r="P140" s="277"/>
    </row>
    <row r="141" spans="1:16" ht="30" customHeight="1" x14ac:dyDescent="0.15">
      <c r="A141" s="284" t="s">
        <v>7550</v>
      </c>
      <c r="B141" s="157"/>
      <c r="C141" s="157"/>
      <c r="D141" s="157"/>
      <c r="E141" s="6"/>
      <c r="F141" s="6"/>
      <c r="G141" s="2"/>
      <c r="H141" s="157"/>
      <c r="I141" s="157"/>
      <c r="J141" s="2"/>
      <c r="K141" s="157"/>
      <c r="L141" s="3"/>
      <c r="M141" s="3"/>
      <c r="N141" s="3"/>
      <c r="O141" s="2"/>
      <c r="P141" s="277"/>
    </row>
    <row r="142" spans="1:16" ht="30" customHeight="1" x14ac:dyDescent="0.15">
      <c r="A142" s="284" t="s">
        <v>7551</v>
      </c>
      <c r="B142" s="157"/>
      <c r="C142" s="157"/>
      <c r="D142" s="157"/>
      <c r="E142" s="6"/>
      <c r="F142" s="6"/>
      <c r="G142" s="2"/>
      <c r="H142" s="157"/>
      <c r="I142" s="157"/>
      <c r="J142" s="2"/>
      <c r="K142" s="157"/>
      <c r="L142" s="3"/>
      <c r="M142" s="3"/>
      <c r="N142" s="3"/>
      <c r="O142" s="2"/>
      <c r="P142" s="277"/>
    </row>
    <row r="143" spans="1:16" ht="30" customHeight="1" x14ac:dyDescent="0.15">
      <c r="A143" s="284" t="s">
        <v>7552</v>
      </c>
      <c r="B143" s="157"/>
      <c r="C143" s="157"/>
      <c r="D143" s="157"/>
      <c r="E143" s="6"/>
      <c r="F143" s="6"/>
      <c r="G143" s="2"/>
      <c r="H143" s="157"/>
      <c r="I143" s="157"/>
      <c r="J143" s="2"/>
      <c r="K143" s="157"/>
      <c r="L143" s="3"/>
      <c r="M143" s="3"/>
      <c r="N143" s="3"/>
      <c r="O143" s="2"/>
      <c r="P143" s="277"/>
    </row>
    <row r="144" spans="1:16" ht="30" customHeight="1" x14ac:dyDescent="0.15">
      <c r="A144" s="284" t="s">
        <v>7553</v>
      </c>
      <c r="B144" s="157"/>
      <c r="C144" s="157"/>
      <c r="D144" s="157"/>
      <c r="E144" s="6"/>
      <c r="F144" s="6"/>
      <c r="G144" s="2"/>
      <c r="H144" s="157"/>
      <c r="I144" s="157"/>
      <c r="J144" s="2"/>
      <c r="K144" s="157"/>
      <c r="L144" s="3"/>
      <c r="M144" s="3"/>
      <c r="N144" s="3"/>
      <c r="O144" s="2"/>
      <c r="P144" s="277"/>
    </row>
    <row r="145" spans="1:16" ht="30" customHeight="1" x14ac:dyDescent="0.15">
      <c r="A145" s="284" t="s">
        <v>7554</v>
      </c>
      <c r="B145" s="157"/>
      <c r="C145" s="157"/>
      <c r="D145" s="157"/>
      <c r="E145" s="6"/>
      <c r="F145" s="6"/>
      <c r="G145" s="2"/>
      <c r="H145" s="157"/>
      <c r="I145" s="157"/>
      <c r="J145" s="2"/>
      <c r="K145" s="157"/>
      <c r="L145" s="3"/>
      <c r="M145" s="3"/>
      <c r="N145" s="3"/>
      <c r="O145" s="2"/>
      <c r="P145" s="277"/>
    </row>
    <row r="146" spans="1:16" ht="30" customHeight="1" x14ac:dyDescent="0.15">
      <c r="A146" s="284" t="s">
        <v>7555</v>
      </c>
      <c r="B146" s="157"/>
      <c r="C146" s="157"/>
      <c r="D146" s="157"/>
      <c r="E146" s="6"/>
      <c r="F146" s="6"/>
      <c r="G146" s="2"/>
      <c r="H146" s="157"/>
      <c r="I146" s="157"/>
      <c r="J146" s="2"/>
      <c r="K146" s="157"/>
      <c r="L146" s="3"/>
      <c r="M146" s="3"/>
      <c r="N146" s="3"/>
      <c r="O146" s="2"/>
      <c r="P146" s="277"/>
    </row>
    <row r="147" spans="1:16" ht="30" customHeight="1" x14ac:dyDescent="0.15">
      <c r="A147" s="284" t="s">
        <v>7556</v>
      </c>
      <c r="B147" s="157"/>
      <c r="C147" s="157"/>
      <c r="D147" s="157"/>
      <c r="E147" s="6"/>
      <c r="F147" s="6"/>
      <c r="G147" s="2"/>
      <c r="H147" s="157"/>
      <c r="I147" s="157"/>
      <c r="J147" s="2"/>
      <c r="K147" s="157"/>
      <c r="L147" s="3"/>
      <c r="M147" s="3"/>
      <c r="N147" s="3"/>
      <c r="O147" s="2"/>
      <c r="P147" s="277"/>
    </row>
    <row r="148" spans="1:16" ht="30" customHeight="1" x14ac:dyDescent="0.15">
      <c r="A148" s="284" t="s">
        <v>7557</v>
      </c>
      <c r="B148" s="157"/>
      <c r="C148" s="157"/>
      <c r="D148" s="157"/>
      <c r="E148" s="6"/>
      <c r="F148" s="6"/>
      <c r="G148" s="2"/>
      <c r="H148" s="157"/>
      <c r="I148" s="157"/>
      <c r="J148" s="2"/>
      <c r="K148" s="157"/>
      <c r="L148" s="3"/>
      <c r="M148" s="3"/>
      <c r="N148" s="3"/>
      <c r="O148" s="2"/>
      <c r="P148" s="277"/>
    </row>
    <row r="149" spans="1:16" ht="30" customHeight="1" x14ac:dyDescent="0.15">
      <c r="A149" s="284" t="s">
        <v>7558</v>
      </c>
      <c r="B149" s="157"/>
      <c r="C149" s="157"/>
      <c r="D149" s="157"/>
      <c r="E149" s="6"/>
      <c r="F149" s="6"/>
      <c r="G149" s="2"/>
      <c r="H149" s="157"/>
      <c r="I149" s="157"/>
      <c r="J149" s="2"/>
      <c r="K149" s="157"/>
      <c r="L149" s="3"/>
      <c r="M149" s="3"/>
      <c r="N149" s="3"/>
      <c r="O149" s="2"/>
      <c r="P149" s="277"/>
    </row>
    <row r="150" spans="1:16" ht="30" customHeight="1" x14ac:dyDescent="0.15">
      <c r="A150" s="284" t="s">
        <v>7559</v>
      </c>
      <c r="B150" s="157"/>
      <c r="C150" s="157"/>
      <c r="D150" s="157"/>
      <c r="E150" s="6"/>
      <c r="F150" s="6"/>
      <c r="G150" s="2"/>
      <c r="H150" s="157"/>
      <c r="I150" s="157"/>
      <c r="J150" s="2"/>
      <c r="K150" s="157"/>
      <c r="L150" s="3"/>
      <c r="M150" s="3"/>
      <c r="N150" s="3"/>
      <c r="O150" s="2"/>
      <c r="P150" s="277"/>
    </row>
    <row r="151" spans="1:16" ht="30" customHeight="1" x14ac:dyDescent="0.15">
      <c r="A151" s="284" t="s">
        <v>7560</v>
      </c>
      <c r="B151" s="157"/>
      <c r="C151" s="157"/>
      <c r="D151" s="157"/>
      <c r="E151" s="6"/>
      <c r="F151" s="6"/>
      <c r="G151" s="2"/>
      <c r="H151" s="157"/>
      <c r="I151" s="157"/>
      <c r="J151" s="2"/>
      <c r="K151" s="157"/>
      <c r="L151" s="3"/>
      <c r="M151" s="3"/>
      <c r="N151" s="3"/>
      <c r="O151" s="2"/>
      <c r="P151" s="277"/>
    </row>
    <row r="152" spans="1:16" ht="30" customHeight="1" x14ac:dyDescent="0.15">
      <c r="A152" s="284" t="s">
        <v>7561</v>
      </c>
      <c r="B152" s="157"/>
      <c r="C152" s="157"/>
      <c r="D152" s="157"/>
      <c r="E152" s="6"/>
      <c r="F152" s="6"/>
      <c r="G152" s="2"/>
      <c r="H152" s="157"/>
      <c r="I152" s="157"/>
      <c r="J152" s="2"/>
      <c r="K152" s="157"/>
      <c r="L152" s="3"/>
      <c r="M152" s="3"/>
      <c r="N152" s="3"/>
      <c r="O152" s="2"/>
      <c r="P152" s="277"/>
    </row>
    <row r="153" spans="1:16" ht="30" customHeight="1" x14ac:dyDescent="0.15">
      <c r="A153" s="284" t="s">
        <v>7562</v>
      </c>
      <c r="B153" s="157"/>
      <c r="C153" s="157"/>
      <c r="D153" s="157"/>
      <c r="E153" s="6"/>
      <c r="F153" s="6"/>
      <c r="G153" s="2"/>
      <c r="H153" s="157"/>
      <c r="I153" s="157"/>
      <c r="J153" s="2"/>
      <c r="K153" s="157"/>
      <c r="L153" s="3"/>
      <c r="M153" s="3"/>
      <c r="N153" s="3"/>
      <c r="O153" s="2"/>
      <c r="P153" s="277"/>
    </row>
    <row r="154" spans="1:16" ht="30" customHeight="1" x14ac:dyDescent="0.15">
      <c r="A154" s="284" t="s">
        <v>7563</v>
      </c>
      <c r="B154" s="157"/>
      <c r="C154" s="157"/>
      <c r="D154" s="157"/>
      <c r="E154" s="6"/>
      <c r="F154" s="6"/>
      <c r="G154" s="2"/>
      <c r="H154" s="157"/>
      <c r="I154" s="157"/>
      <c r="J154" s="2"/>
      <c r="K154" s="157"/>
      <c r="L154" s="3"/>
      <c r="M154" s="3"/>
      <c r="N154" s="3"/>
      <c r="O154" s="2"/>
      <c r="P154" s="277"/>
    </row>
    <row r="155" spans="1:16" ht="30" customHeight="1" x14ac:dyDescent="0.15">
      <c r="A155" s="284" t="s">
        <v>7564</v>
      </c>
      <c r="B155" s="157"/>
      <c r="C155" s="157"/>
      <c r="D155" s="157"/>
      <c r="E155" s="6"/>
      <c r="F155" s="6"/>
      <c r="G155" s="2"/>
      <c r="H155" s="157"/>
      <c r="I155" s="157"/>
      <c r="J155" s="2"/>
      <c r="K155" s="157"/>
      <c r="L155" s="3"/>
      <c r="M155" s="3"/>
      <c r="N155" s="3"/>
      <c r="O155" s="2"/>
      <c r="P155" s="277"/>
    </row>
    <row r="156" spans="1:16" ht="30" customHeight="1" x14ac:dyDescent="0.15">
      <c r="A156" s="284" t="s">
        <v>7565</v>
      </c>
      <c r="B156" s="157"/>
      <c r="C156" s="157"/>
      <c r="D156" s="157"/>
      <c r="E156" s="6"/>
      <c r="F156" s="6"/>
      <c r="G156" s="2"/>
      <c r="H156" s="157"/>
      <c r="I156" s="157"/>
      <c r="J156" s="2"/>
      <c r="K156" s="157"/>
      <c r="L156" s="3"/>
      <c r="M156" s="3"/>
      <c r="N156" s="3"/>
      <c r="O156" s="2"/>
      <c r="P156" s="277"/>
    </row>
    <row r="157" spans="1:16" ht="30" customHeight="1" x14ac:dyDescent="0.15">
      <c r="A157" s="284" t="s">
        <v>7566</v>
      </c>
      <c r="B157" s="157"/>
      <c r="C157" s="157"/>
      <c r="D157" s="157"/>
      <c r="E157" s="6"/>
      <c r="F157" s="6"/>
      <c r="G157" s="2"/>
      <c r="H157" s="157"/>
      <c r="I157" s="157"/>
      <c r="J157" s="2"/>
      <c r="K157" s="157"/>
      <c r="L157" s="3"/>
      <c r="M157" s="3"/>
      <c r="N157" s="3"/>
      <c r="O157" s="2"/>
      <c r="P157" s="277"/>
    </row>
    <row r="158" spans="1:16" ht="30" customHeight="1" x14ac:dyDescent="0.15">
      <c r="A158" s="284" t="s">
        <v>7567</v>
      </c>
      <c r="B158" s="157"/>
      <c r="C158" s="157"/>
      <c r="D158" s="157"/>
      <c r="E158" s="6"/>
      <c r="F158" s="6"/>
      <c r="G158" s="2"/>
      <c r="H158" s="157"/>
      <c r="I158" s="157"/>
      <c r="J158" s="2"/>
      <c r="K158" s="157"/>
      <c r="L158" s="3"/>
      <c r="M158" s="3"/>
      <c r="N158" s="3"/>
      <c r="O158" s="2"/>
      <c r="P158" s="277"/>
    </row>
    <row r="159" spans="1:16" ht="30" customHeight="1" x14ac:dyDescent="0.15">
      <c r="A159" s="284" t="s">
        <v>7568</v>
      </c>
      <c r="B159" s="157"/>
      <c r="C159" s="157"/>
      <c r="D159" s="157"/>
      <c r="E159" s="6"/>
      <c r="F159" s="6"/>
      <c r="G159" s="2"/>
      <c r="H159" s="157"/>
      <c r="I159" s="157"/>
      <c r="J159" s="2"/>
      <c r="K159" s="157"/>
      <c r="L159" s="3"/>
      <c r="M159" s="3"/>
      <c r="N159" s="3"/>
      <c r="O159" s="2"/>
      <c r="P159" s="277"/>
    </row>
    <row r="160" spans="1:16" ht="30" customHeight="1" x14ac:dyDescent="0.15">
      <c r="A160" s="284" t="s">
        <v>7569</v>
      </c>
      <c r="B160" s="157"/>
      <c r="C160" s="157"/>
      <c r="D160" s="157"/>
      <c r="E160" s="6"/>
      <c r="F160" s="6"/>
      <c r="G160" s="2"/>
      <c r="H160" s="157"/>
      <c r="I160" s="157"/>
      <c r="J160" s="2"/>
      <c r="K160" s="157"/>
      <c r="L160" s="3"/>
      <c r="M160" s="3"/>
      <c r="N160" s="3"/>
      <c r="O160" s="2"/>
      <c r="P160" s="277"/>
    </row>
    <row r="161" spans="1:16" ht="30" customHeight="1" x14ac:dyDescent="0.15">
      <c r="A161" s="284" t="s">
        <v>7570</v>
      </c>
      <c r="B161" s="157"/>
      <c r="C161" s="157"/>
      <c r="D161" s="157"/>
      <c r="E161" s="6"/>
      <c r="F161" s="6"/>
      <c r="G161" s="2"/>
      <c r="H161" s="157"/>
      <c r="I161" s="157"/>
      <c r="J161" s="2"/>
      <c r="K161" s="157"/>
      <c r="L161" s="3"/>
      <c r="M161" s="3"/>
      <c r="N161" s="3"/>
      <c r="O161" s="2"/>
      <c r="P161" s="277"/>
    </row>
    <row r="162" spans="1:16" ht="30" customHeight="1" x14ac:dyDescent="0.15">
      <c r="A162" s="284" t="s">
        <v>7571</v>
      </c>
      <c r="B162" s="157"/>
      <c r="C162" s="157"/>
      <c r="D162" s="157"/>
      <c r="E162" s="6"/>
      <c r="F162" s="6"/>
      <c r="G162" s="2"/>
      <c r="H162" s="157"/>
      <c r="I162" s="157"/>
      <c r="J162" s="2"/>
      <c r="K162" s="157"/>
      <c r="L162" s="3"/>
      <c r="M162" s="3"/>
      <c r="N162" s="3"/>
      <c r="O162" s="2"/>
      <c r="P162" s="277"/>
    </row>
    <row r="163" spans="1:16" ht="30" customHeight="1" x14ac:dyDescent="0.15">
      <c r="A163" s="284" t="s">
        <v>7572</v>
      </c>
      <c r="B163" s="157"/>
      <c r="C163" s="157"/>
      <c r="D163" s="157"/>
      <c r="E163" s="6"/>
      <c r="F163" s="6"/>
      <c r="G163" s="2"/>
      <c r="H163" s="157"/>
      <c r="I163" s="157"/>
      <c r="J163" s="2"/>
      <c r="K163" s="157"/>
      <c r="L163" s="3"/>
      <c r="M163" s="3"/>
      <c r="N163" s="3"/>
      <c r="O163" s="2"/>
      <c r="P163" s="277"/>
    </row>
    <row r="164" spans="1:16" ht="30" customHeight="1" x14ac:dyDescent="0.15">
      <c r="A164" s="284" t="s">
        <v>7573</v>
      </c>
      <c r="B164" s="157"/>
      <c r="C164" s="157"/>
      <c r="D164" s="157"/>
      <c r="E164" s="6"/>
      <c r="F164" s="6"/>
      <c r="G164" s="2"/>
      <c r="H164" s="157"/>
      <c r="I164" s="157"/>
      <c r="J164" s="2"/>
      <c r="K164" s="157"/>
      <c r="L164" s="3"/>
      <c r="M164" s="3"/>
      <c r="N164" s="3"/>
      <c r="O164" s="2"/>
      <c r="P164" s="277"/>
    </row>
    <row r="165" spans="1:16" ht="30" customHeight="1" x14ac:dyDescent="0.15">
      <c r="A165" s="284" t="s">
        <v>7574</v>
      </c>
      <c r="B165" s="157"/>
      <c r="C165" s="157"/>
      <c r="D165" s="157"/>
      <c r="E165" s="6"/>
      <c r="F165" s="6"/>
      <c r="G165" s="2"/>
      <c r="H165" s="157"/>
      <c r="I165" s="157"/>
      <c r="J165" s="2"/>
      <c r="K165" s="157"/>
      <c r="L165" s="3"/>
      <c r="M165" s="3"/>
      <c r="N165" s="3"/>
      <c r="O165" s="2"/>
      <c r="P165" s="277"/>
    </row>
    <row r="166" spans="1:16" ht="30" customHeight="1" x14ac:dyDescent="0.15">
      <c r="A166" s="284" t="s">
        <v>7575</v>
      </c>
      <c r="B166" s="157"/>
      <c r="C166" s="157"/>
      <c r="D166" s="157"/>
      <c r="E166" s="6"/>
      <c r="F166" s="6"/>
      <c r="G166" s="2"/>
      <c r="H166" s="157"/>
      <c r="I166" s="157"/>
      <c r="J166" s="2"/>
      <c r="K166" s="157"/>
      <c r="L166" s="3"/>
      <c r="M166" s="3"/>
      <c r="N166" s="3"/>
      <c r="O166" s="2"/>
      <c r="P166" s="277"/>
    </row>
    <row r="167" spans="1:16" ht="30" customHeight="1" x14ac:dyDescent="0.15">
      <c r="A167" s="284" t="s">
        <v>7576</v>
      </c>
      <c r="B167" s="157"/>
      <c r="C167" s="157"/>
      <c r="D167" s="157"/>
      <c r="E167" s="6"/>
      <c r="F167" s="6"/>
      <c r="G167" s="2"/>
      <c r="H167" s="157"/>
      <c r="I167" s="157"/>
      <c r="J167" s="2"/>
      <c r="K167" s="157"/>
      <c r="L167" s="3"/>
      <c r="M167" s="3"/>
      <c r="N167" s="3"/>
      <c r="O167" s="2"/>
      <c r="P167" s="277"/>
    </row>
    <row r="168" spans="1:16" ht="30" customHeight="1" x14ac:dyDescent="0.15">
      <c r="A168" s="284" t="s">
        <v>7577</v>
      </c>
      <c r="B168" s="157"/>
      <c r="C168" s="157"/>
      <c r="D168" s="157"/>
      <c r="E168" s="6"/>
      <c r="F168" s="6"/>
      <c r="G168" s="2"/>
      <c r="H168" s="157"/>
      <c r="I168" s="157"/>
      <c r="J168" s="2"/>
      <c r="K168" s="157"/>
      <c r="L168" s="3"/>
      <c r="M168" s="3"/>
      <c r="N168" s="3"/>
      <c r="O168" s="2"/>
      <c r="P168" s="277"/>
    </row>
    <row r="169" spans="1:16" ht="30" customHeight="1" x14ac:dyDescent="0.15">
      <c r="A169" s="284" t="s">
        <v>7578</v>
      </c>
      <c r="B169" s="157"/>
      <c r="C169" s="157"/>
      <c r="D169" s="157"/>
      <c r="E169" s="6"/>
      <c r="F169" s="6"/>
      <c r="G169" s="2"/>
      <c r="H169" s="157"/>
      <c r="I169" s="157"/>
      <c r="J169" s="2"/>
      <c r="K169" s="157"/>
      <c r="L169" s="3"/>
      <c r="M169" s="3"/>
      <c r="N169" s="3"/>
      <c r="O169" s="2"/>
      <c r="P169" s="277"/>
    </row>
    <row r="170" spans="1:16" ht="30" customHeight="1" x14ac:dyDescent="0.15">
      <c r="A170" s="284" t="s">
        <v>7579</v>
      </c>
      <c r="B170" s="157"/>
      <c r="C170" s="157"/>
      <c r="D170" s="157"/>
      <c r="E170" s="6"/>
      <c r="F170" s="6"/>
      <c r="G170" s="2"/>
      <c r="H170" s="157"/>
      <c r="I170" s="157"/>
      <c r="J170" s="2"/>
      <c r="K170" s="157"/>
      <c r="L170" s="3"/>
      <c r="M170" s="3"/>
      <c r="N170" s="3"/>
      <c r="O170" s="2"/>
      <c r="P170" s="277"/>
    </row>
    <row r="171" spans="1:16" ht="30" customHeight="1" x14ac:dyDescent="0.15">
      <c r="A171" s="284" t="s">
        <v>7580</v>
      </c>
      <c r="B171" s="157"/>
      <c r="C171" s="157"/>
      <c r="D171" s="157"/>
      <c r="E171" s="6"/>
      <c r="F171" s="6"/>
      <c r="G171" s="2"/>
      <c r="H171" s="157"/>
      <c r="I171" s="157"/>
      <c r="J171" s="2"/>
      <c r="K171" s="157"/>
      <c r="L171" s="3"/>
      <c r="M171" s="3"/>
      <c r="N171" s="3"/>
      <c r="O171" s="2"/>
      <c r="P171" s="277"/>
    </row>
    <row r="172" spans="1:16" ht="30" customHeight="1" x14ac:dyDescent="0.15">
      <c r="A172" s="284" t="s">
        <v>7581</v>
      </c>
      <c r="B172" s="157"/>
      <c r="C172" s="157"/>
      <c r="D172" s="157"/>
      <c r="E172" s="6"/>
      <c r="F172" s="6"/>
      <c r="G172" s="2"/>
      <c r="H172" s="157"/>
      <c r="I172" s="157"/>
      <c r="J172" s="2"/>
      <c r="K172" s="157"/>
      <c r="L172" s="3"/>
      <c r="M172" s="3"/>
      <c r="N172" s="3"/>
      <c r="O172" s="2"/>
      <c r="P172" s="277"/>
    </row>
    <row r="173" spans="1:16" ht="30" customHeight="1" x14ac:dyDescent="0.15">
      <c r="A173" s="284" t="s">
        <v>7582</v>
      </c>
      <c r="B173" s="157"/>
      <c r="C173" s="157"/>
      <c r="D173" s="157"/>
      <c r="E173" s="6"/>
      <c r="F173" s="6"/>
      <c r="G173" s="2"/>
      <c r="H173" s="157"/>
      <c r="I173" s="157"/>
      <c r="J173" s="2"/>
      <c r="K173" s="157"/>
      <c r="L173" s="3"/>
      <c r="M173" s="3"/>
      <c r="N173" s="3"/>
      <c r="O173" s="2"/>
      <c r="P173" s="277"/>
    </row>
    <row r="174" spans="1:16" ht="30" customHeight="1" x14ac:dyDescent="0.15">
      <c r="A174" s="284" t="s">
        <v>7583</v>
      </c>
      <c r="B174" s="157"/>
      <c r="C174" s="157"/>
      <c r="D174" s="157"/>
      <c r="E174" s="6"/>
      <c r="F174" s="6"/>
      <c r="G174" s="2"/>
      <c r="H174" s="157"/>
      <c r="I174" s="157"/>
      <c r="J174" s="2"/>
      <c r="K174" s="157"/>
      <c r="L174" s="3"/>
      <c r="M174" s="3"/>
      <c r="N174" s="3"/>
      <c r="O174" s="2"/>
      <c r="P174" s="277"/>
    </row>
    <row r="175" spans="1:16" ht="30" customHeight="1" x14ac:dyDescent="0.15">
      <c r="A175" s="284" t="s">
        <v>7584</v>
      </c>
      <c r="B175" s="157"/>
      <c r="C175" s="157"/>
      <c r="D175" s="157"/>
      <c r="E175" s="6"/>
      <c r="F175" s="6"/>
      <c r="G175" s="2"/>
      <c r="H175" s="157"/>
      <c r="I175" s="157"/>
      <c r="J175" s="2"/>
      <c r="K175" s="157"/>
      <c r="L175" s="3"/>
      <c r="M175" s="3"/>
      <c r="N175" s="3"/>
      <c r="O175" s="2"/>
      <c r="P175" s="277"/>
    </row>
    <row r="176" spans="1:16" ht="30" customHeight="1" x14ac:dyDescent="0.15">
      <c r="A176" s="284" t="s">
        <v>7585</v>
      </c>
      <c r="B176" s="157"/>
      <c r="C176" s="157"/>
      <c r="D176" s="157"/>
      <c r="E176" s="6"/>
      <c r="F176" s="6"/>
      <c r="G176" s="2"/>
      <c r="H176" s="157"/>
      <c r="I176" s="157"/>
      <c r="J176" s="2"/>
      <c r="K176" s="157"/>
      <c r="L176" s="3"/>
      <c r="M176" s="3"/>
      <c r="N176" s="3"/>
      <c r="O176" s="2"/>
      <c r="P176" s="277"/>
    </row>
    <row r="177" spans="1:16" ht="30" customHeight="1" x14ac:dyDescent="0.15">
      <c r="A177" s="284" t="s">
        <v>7586</v>
      </c>
      <c r="B177" s="157"/>
      <c r="C177" s="157"/>
      <c r="D177" s="157"/>
      <c r="E177" s="6"/>
      <c r="F177" s="6"/>
      <c r="G177" s="2"/>
      <c r="H177" s="157"/>
      <c r="I177" s="157"/>
      <c r="J177" s="2"/>
      <c r="K177" s="157"/>
      <c r="L177" s="3"/>
      <c r="M177" s="3"/>
      <c r="N177" s="3"/>
      <c r="O177" s="2"/>
      <c r="P177" s="277"/>
    </row>
    <row r="178" spans="1:16" ht="30" customHeight="1" x14ac:dyDescent="0.15">
      <c r="A178" s="284" t="s">
        <v>7587</v>
      </c>
      <c r="B178" s="157"/>
      <c r="C178" s="157"/>
      <c r="D178" s="157"/>
      <c r="E178" s="6"/>
      <c r="F178" s="6"/>
      <c r="G178" s="2"/>
      <c r="H178" s="157"/>
      <c r="I178" s="157"/>
      <c r="J178" s="2"/>
      <c r="K178" s="157"/>
      <c r="L178" s="3"/>
      <c r="M178" s="3"/>
      <c r="N178" s="3"/>
      <c r="O178" s="2"/>
      <c r="P178" s="277"/>
    </row>
    <row r="179" spans="1:16" ht="30" customHeight="1" x14ac:dyDescent="0.15">
      <c r="A179" s="284" t="s">
        <v>7588</v>
      </c>
      <c r="B179" s="157"/>
      <c r="C179" s="157"/>
      <c r="D179" s="157"/>
      <c r="E179" s="6"/>
      <c r="F179" s="6"/>
      <c r="G179" s="2"/>
      <c r="H179" s="157"/>
      <c r="I179" s="157"/>
      <c r="J179" s="2"/>
      <c r="K179" s="157"/>
      <c r="L179" s="3"/>
      <c r="M179" s="3"/>
      <c r="N179" s="3"/>
      <c r="O179" s="2"/>
      <c r="P179" s="277"/>
    </row>
    <row r="180" spans="1:16" ht="30" customHeight="1" x14ac:dyDescent="0.15">
      <c r="A180" s="284" t="s">
        <v>7589</v>
      </c>
      <c r="B180" s="157"/>
      <c r="C180" s="157"/>
      <c r="D180" s="157"/>
      <c r="E180" s="6"/>
      <c r="F180" s="6"/>
      <c r="G180" s="2"/>
      <c r="H180" s="157"/>
      <c r="I180" s="157"/>
      <c r="J180" s="2"/>
      <c r="K180" s="157"/>
      <c r="L180" s="3"/>
      <c r="M180" s="3"/>
      <c r="N180" s="3"/>
      <c r="O180" s="2"/>
      <c r="P180" s="277"/>
    </row>
    <row r="181" spans="1:16" ht="30" customHeight="1" x14ac:dyDescent="0.15">
      <c r="A181" s="284" t="s">
        <v>7590</v>
      </c>
      <c r="B181" s="157"/>
      <c r="C181" s="157"/>
      <c r="D181" s="157"/>
      <c r="E181" s="6"/>
      <c r="F181" s="6"/>
      <c r="G181" s="2"/>
      <c r="H181" s="157"/>
      <c r="I181" s="157"/>
      <c r="J181" s="2"/>
      <c r="K181" s="157"/>
      <c r="L181" s="3"/>
      <c r="M181" s="3"/>
      <c r="N181" s="3"/>
      <c r="O181" s="2"/>
      <c r="P181" s="277"/>
    </row>
    <row r="182" spans="1:16" ht="30" customHeight="1" x14ac:dyDescent="0.15">
      <c r="A182" s="284" t="s">
        <v>7591</v>
      </c>
      <c r="B182" s="157"/>
      <c r="C182" s="157"/>
      <c r="D182" s="157"/>
      <c r="E182" s="6"/>
      <c r="F182" s="6"/>
      <c r="G182" s="2"/>
      <c r="H182" s="157"/>
      <c r="I182" s="157"/>
      <c r="J182" s="2"/>
      <c r="K182" s="157"/>
      <c r="L182" s="3"/>
      <c r="M182" s="3"/>
      <c r="N182" s="3"/>
      <c r="O182" s="2"/>
      <c r="P182" s="277"/>
    </row>
    <row r="183" spans="1:16" ht="30" customHeight="1" x14ac:dyDescent="0.15">
      <c r="A183" s="284" t="s">
        <v>7592</v>
      </c>
      <c r="B183" s="157"/>
      <c r="C183" s="157"/>
      <c r="D183" s="157"/>
      <c r="E183" s="6"/>
      <c r="F183" s="6"/>
      <c r="G183" s="2"/>
      <c r="H183" s="157"/>
      <c r="I183" s="157"/>
      <c r="J183" s="2"/>
      <c r="K183" s="157"/>
      <c r="L183" s="3"/>
      <c r="M183" s="3"/>
      <c r="N183" s="3"/>
      <c r="O183" s="2"/>
      <c r="P183" s="277"/>
    </row>
    <row r="184" spans="1:16" ht="30" customHeight="1" x14ac:dyDescent="0.15">
      <c r="A184" s="284" t="s">
        <v>7593</v>
      </c>
      <c r="B184" s="157"/>
      <c r="C184" s="157"/>
      <c r="D184" s="157"/>
      <c r="E184" s="6"/>
      <c r="F184" s="6"/>
      <c r="G184" s="2"/>
      <c r="H184" s="157"/>
      <c r="I184" s="157"/>
      <c r="J184" s="2"/>
      <c r="K184" s="157"/>
      <c r="L184" s="3"/>
      <c r="M184" s="3"/>
      <c r="N184" s="3"/>
      <c r="O184" s="2"/>
      <c r="P184" s="277"/>
    </row>
    <row r="185" spans="1:16" ht="30" customHeight="1" x14ac:dyDescent="0.15">
      <c r="A185" s="284" t="s">
        <v>7594</v>
      </c>
      <c r="B185" s="157"/>
      <c r="C185" s="157"/>
      <c r="D185" s="157"/>
      <c r="E185" s="6"/>
      <c r="F185" s="6"/>
      <c r="G185" s="2"/>
      <c r="H185" s="157"/>
      <c r="I185" s="157"/>
      <c r="J185" s="2"/>
      <c r="K185" s="157"/>
      <c r="L185" s="3"/>
      <c r="M185" s="3"/>
      <c r="N185" s="3"/>
      <c r="O185" s="2"/>
      <c r="P185" s="277"/>
    </row>
    <row r="186" spans="1:16" ht="30" customHeight="1" x14ac:dyDescent="0.15">
      <c r="A186" s="284" t="s">
        <v>7595</v>
      </c>
      <c r="B186" s="157"/>
      <c r="C186" s="157"/>
      <c r="D186" s="157"/>
      <c r="E186" s="6"/>
      <c r="F186" s="6"/>
      <c r="G186" s="2"/>
      <c r="H186" s="157"/>
      <c r="I186" s="157"/>
      <c r="J186" s="2"/>
      <c r="K186" s="157"/>
      <c r="L186" s="3"/>
      <c r="M186" s="3"/>
      <c r="N186" s="3"/>
      <c r="O186" s="2"/>
      <c r="P186" s="277"/>
    </row>
    <row r="187" spans="1:16" ht="30" customHeight="1" x14ac:dyDescent="0.15">
      <c r="A187" s="284" t="s">
        <v>7596</v>
      </c>
      <c r="B187" s="157"/>
      <c r="C187" s="157"/>
      <c r="D187" s="157"/>
      <c r="E187" s="6"/>
      <c r="F187" s="6"/>
      <c r="G187" s="2"/>
      <c r="H187" s="157"/>
      <c r="I187" s="157"/>
      <c r="J187" s="2"/>
      <c r="K187" s="157"/>
      <c r="L187" s="3"/>
      <c r="M187" s="3"/>
      <c r="N187" s="3"/>
      <c r="O187" s="2"/>
      <c r="P187" s="277"/>
    </row>
    <row r="188" spans="1:16" ht="30" customHeight="1" x14ac:dyDescent="0.15">
      <c r="A188" s="284" t="s">
        <v>7597</v>
      </c>
      <c r="B188" s="157"/>
      <c r="C188" s="157"/>
      <c r="D188" s="157"/>
      <c r="E188" s="6"/>
      <c r="F188" s="6"/>
      <c r="G188" s="2"/>
      <c r="H188" s="157"/>
      <c r="I188" s="157"/>
      <c r="J188" s="2"/>
      <c r="K188" s="157"/>
      <c r="L188" s="3"/>
      <c r="M188" s="3"/>
      <c r="N188" s="3"/>
      <c r="O188" s="2"/>
      <c r="P188" s="277"/>
    </row>
    <row r="189" spans="1:16" ht="30" customHeight="1" x14ac:dyDescent="0.15">
      <c r="A189" s="284" t="s">
        <v>7598</v>
      </c>
      <c r="B189" s="157"/>
      <c r="C189" s="157"/>
      <c r="D189" s="157"/>
      <c r="E189" s="6"/>
      <c r="F189" s="6"/>
      <c r="G189" s="2"/>
      <c r="H189" s="157"/>
      <c r="I189" s="157"/>
      <c r="J189" s="2"/>
      <c r="K189" s="157"/>
      <c r="L189" s="3"/>
      <c r="M189" s="3"/>
      <c r="N189" s="3"/>
      <c r="O189" s="2"/>
      <c r="P189" s="277"/>
    </row>
    <row r="190" spans="1:16" ht="30" customHeight="1" x14ac:dyDescent="0.15">
      <c r="A190" s="284" t="s">
        <v>7599</v>
      </c>
      <c r="B190" s="157"/>
      <c r="C190" s="157"/>
      <c r="D190" s="157"/>
      <c r="E190" s="6"/>
      <c r="F190" s="6"/>
      <c r="G190" s="2"/>
      <c r="H190" s="157"/>
      <c r="I190" s="157"/>
      <c r="J190" s="2"/>
      <c r="K190" s="157"/>
      <c r="L190" s="3"/>
      <c r="M190" s="3"/>
      <c r="N190" s="3"/>
      <c r="O190" s="2"/>
      <c r="P190" s="277"/>
    </row>
    <row r="191" spans="1:16" ht="30" customHeight="1" x14ac:dyDescent="0.15">
      <c r="A191" s="284" t="s">
        <v>7600</v>
      </c>
      <c r="B191" s="157"/>
      <c r="C191" s="157"/>
      <c r="D191" s="157"/>
      <c r="E191" s="6"/>
      <c r="F191" s="6"/>
      <c r="G191" s="2"/>
      <c r="H191" s="157"/>
      <c r="I191" s="157"/>
      <c r="J191" s="2"/>
      <c r="K191" s="157"/>
      <c r="L191" s="3"/>
      <c r="M191" s="3"/>
      <c r="N191" s="3"/>
      <c r="O191" s="2"/>
      <c r="P191" s="277"/>
    </row>
    <row r="192" spans="1:16" ht="30" customHeight="1" x14ac:dyDescent="0.15">
      <c r="A192" s="284" t="s">
        <v>7601</v>
      </c>
      <c r="B192" s="157"/>
      <c r="C192" s="157"/>
      <c r="D192" s="157"/>
      <c r="E192" s="6"/>
      <c r="F192" s="6"/>
      <c r="G192" s="2"/>
      <c r="H192" s="157"/>
      <c r="I192" s="157"/>
      <c r="J192" s="2"/>
      <c r="K192" s="157"/>
      <c r="L192" s="3"/>
      <c r="M192" s="3"/>
      <c r="N192" s="3"/>
      <c r="O192" s="2"/>
      <c r="P192" s="277"/>
    </row>
    <row r="193" spans="1:16" ht="30" customHeight="1" x14ac:dyDescent="0.15">
      <c r="A193" s="284" t="s">
        <v>7602</v>
      </c>
      <c r="B193" s="157"/>
      <c r="C193" s="157"/>
      <c r="D193" s="157"/>
      <c r="E193" s="6"/>
      <c r="F193" s="6"/>
      <c r="G193" s="2"/>
      <c r="H193" s="157"/>
      <c r="I193" s="157"/>
      <c r="J193" s="2"/>
      <c r="K193" s="157"/>
      <c r="L193" s="3"/>
      <c r="M193" s="3"/>
      <c r="N193" s="3"/>
      <c r="O193" s="2"/>
      <c r="P193" s="277"/>
    </row>
    <row r="194" spans="1:16" ht="30" customHeight="1" x14ac:dyDescent="0.15">
      <c r="A194" s="284" t="s">
        <v>7603</v>
      </c>
      <c r="B194" s="157"/>
      <c r="C194" s="157"/>
      <c r="D194" s="157"/>
      <c r="E194" s="6"/>
      <c r="F194" s="6"/>
      <c r="G194" s="2"/>
      <c r="H194" s="157"/>
      <c r="I194" s="157"/>
      <c r="J194" s="2"/>
      <c r="K194" s="157"/>
      <c r="L194" s="3"/>
      <c r="M194" s="3"/>
      <c r="N194" s="3"/>
      <c r="O194" s="2"/>
      <c r="P194" s="277"/>
    </row>
    <row r="195" spans="1:16" ht="30" customHeight="1" x14ac:dyDescent="0.15">
      <c r="A195" s="284" t="s">
        <v>7604</v>
      </c>
      <c r="B195" s="157"/>
      <c r="C195" s="157"/>
      <c r="D195" s="157"/>
      <c r="E195" s="6"/>
      <c r="F195" s="6"/>
      <c r="G195" s="2"/>
      <c r="H195" s="157"/>
      <c r="I195" s="157"/>
      <c r="J195" s="2"/>
      <c r="K195" s="157"/>
      <c r="L195" s="3"/>
      <c r="M195" s="3"/>
      <c r="N195" s="3"/>
      <c r="O195" s="2"/>
      <c r="P195" s="277"/>
    </row>
    <row r="196" spans="1:16" ht="30" customHeight="1" x14ac:dyDescent="0.15">
      <c r="A196" s="284" t="s">
        <v>7605</v>
      </c>
      <c r="B196" s="157"/>
      <c r="C196" s="157"/>
      <c r="D196" s="157"/>
      <c r="E196" s="6"/>
      <c r="F196" s="6"/>
      <c r="G196" s="2"/>
      <c r="H196" s="157"/>
      <c r="I196" s="157"/>
      <c r="J196" s="2"/>
      <c r="K196" s="157"/>
      <c r="L196" s="3"/>
      <c r="M196" s="3"/>
      <c r="N196" s="3"/>
      <c r="O196" s="2"/>
      <c r="P196" s="277"/>
    </row>
    <row r="197" spans="1:16" ht="30" customHeight="1" x14ac:dyDescent="0.15">
      <c r="A197" s="284" t="s">
        <v>7606</v>
      </c>
      <c r="B197" s="157"/>
      <c r="C197" s="157"/>
      <c r="D197" s="157"/>
      <c r="E197" s="6"/>
      <c r="F197" s="6"/>
      <c r="G197" s="2"/>
      <c r="H197" s="157"/>
      <c r="I197" s="157"/>
      <c r="J197" s="2"/>
      <c r="K197" s="157"/>
      <c r="L197" s="3"/>
      <c r="M197" s="3"/>
      <c r="N197" s="3"/>
      <c r="O197" s="2"/>
      <c r="P197" s="277"/>
    </row>
    <row r="198" spans="1:16" ht="30" customHeight="1" x14ac:dyDescent="0.15">
      <c r="A198" s="284" t="s">
        <v>7607</v>
      </c>
      <c r="B198" s="157"/>
      <c r="C198" s="157"/>
      <c r="D198" s="157"/>
      <c r="E198" s="6"/>
      <c r="F198" s="6"/>
      <c r="G198" s="2"/>
      <c r="H198" s="157"/>
      <c r="I198" s="157"/>
      <c r="J198" s="2"/>
      <c r="K198" s="157"/>
      <c r="L198" s="3"/>
      <c r="M198" s="3"/>
      <c r="N198" s="3"/>
      <c r="O198" s="2"/>
      <c r="P198" s="277"/>
    </row>
    <row r="199" spans="1:16" ht="30" customHeight="1" x14ac:dyDescent="0.15">
      <c r="A199" s="284" t="s">
        <v>7608</v>
      </c>
      <c r="B199" s="157"/>
      <c r="C199" s="157"/>
      <c r="D199" s="157"/>
      <c r="E199" s="6"/>
      <c r="F199" s="6"/>
      <c r="G199" s="2"/>
      <c r="H199" s="157"/>
      <c r="I199" s="157"/>
      <c r="J199" s="2"/>
      <c r="K199" s="157"/>
      <c r="L199" s="3"/>
      <c r="M199" s="3"/>
      <c r="N199" s="3"/>
      <c r="O199" s="2"/>
      <c r="P199" s="277"/>
    </row>
    <row r="200" spans="1:16" ht="30" customHeight="1" x14ac:dyDescent="0.15">
      <c r="A200" s="284" t="s">
        <v>7609</v>
      </c>
      <c r="B200" s="157"/>
      <c r="C200" s="157"/>
      <c r="D200" s="157"/>
      <c r="E200" s="6"/>
      <c r="F200" s="6"/>
      <c r="G200" s="2"/>
      <c r="H200" s="157"/>
      <c r="I200" s="157"/>
      <c r="J200" s="2"/>
      <c r="K200" s="157"/>
      <c r="L200" s="3"/>
      <c r="M200" s="3"/>
      <c r="N200" s="3"/>
      <c r="O200" s="2"/>
      <c r="P200" s="277"/>
    </row>
    <row r="201" spans="1:16" ht="30" customHeight="1" x14ac:dyDescent="0.15">
      <c r="A201" s="284" t="s">
        <v>7610</v>
      </c>
      <c r="B201" s="157"/>
      <c r="C201" s="157"/>
      <c r="D201" s="157"/>
      <c r="E201" s="6"/>
      <c r="F201" s="6"/>
      <c r="G201" s="2"/>
      <c r="H201" s="157"/>
      <c r="I201" s="157"/>
      <c r="J201" s="2"/>
      <c r="K201" s="157"/>
      <c r="L201" s="3"/>
      <c r="M201" s="3"/>
      <c r="N201" s="3"/>
      <c r="O201" s="2"/>
      <c r="P201" s="277"/>
    </row>
    <row r="202" spans="1:16" ht="30" customHeight="1" x14ac:dyDescent="0.15">
      <c r="A202" s="284" t="s">
        <v>7611</v>
      </c>
      <c r="B202" s="157"/>
      <c r="C202" s="157"/>
      <c r="D202" s="157"/>
      <c r="E202" s="6"/>
      <c r="F202" s="6"/>
      <c r="G202" s="2"/>
      <c r="H202" s="157"/>
      <c r="I202" s="157"/>
      <c r="J202" s="2"/>
      <c r="K202" s="157"/>
      <c r="L202" s="3"/>
      <c r="M202" s="3"/>
      <c r="N202" s="3"/>
      <c r="O202" s="2"/>
      <c r="P202" s="277"/>
    </row>
    <row r="203" spans="1:16" ht="30" customHeight="1" x14ac:dyDescent="0.15">
      <c r="A203" s="284" t="s">
        <v>7612</v>
      </c>
      <c r="B203" s="157"/>
      <c r="C203" s="157"/>
      <c r="D203" s="157"/>
      <c r="E203" s="6"/>
      <c r="F203" s="6"/>
      <c r="G203" s="2"/>
      <c r="H203" s="157"/>
      <c r="I203" s="157"/>
      <c r="J203" s="2"/>
      <c r="K203" s="157"/>
      <c r="L203" s="3"/>
      <c r="M203" s="3"/>
      <c r="N203" s="3"/>
      <c r="O203" s="2"/>
      <c r="P203" s="277"/>
    </row>
    <row r="204" spans="1:16" ht="30" customHeight="1" x14ac:dyDescent="0.15">
      <c r="A204" s="284" t="s">
        <v>7613</v>
      </c>
      <c r="B204" s="157"/>
      <c r="C204" s="157"/>
      <c r="D204" s="157"/>
      <c r="E204" s="6"/>
      <c r="F204" s="6"/>
      <c r="G204" s="2"/>
      <c r="H204" s="157"/>
      <c r="I204" s="157"/>
      <c r="J204" s="2"/>
      <c r="K204" s="157"/>
      <c r="L204" s="3"/>
      <c r="M204" s="3"/>
      <c r="N204" s="3"/>
      <c r="O204" s="2"/>
      <c r="P204" s="277"/>
    </row>
    <row r="205" spans="1:16" ht="30" customHeight="1" x14ac:dyDescent="0.15">
      <c r="A205" s="284" t="s">
        <v>7614</v>
      </c>
      <c r="B205" s="157"/>
      <c r="C205" s="157"/>
      <c r="D205" s="157"/>
      <c r="E205" s="6"/>
      <c r="F205" s="6"/>
      <c r="G205" s="2"/>
      <c r="H205" s="157"/>
      <c r="I205" s="157"/>
      <c r="J205" s="2"/>
      <c r="K205" s="157"/>
      <c r="L205" s="3"/>
      <c r="M205" s="3"/>
      <c r="N205" s="3"/>
      <c r="O205" s="2"/>
      <c r="P205" s="277"/>
    </row>
    <row r="206" spans="1:16" ht="30" customHeight="1" x14ac:dyDescent="0.15">
      <c r="A206" s="284" t="s">
        <v>7615</v>
      </c>
      <c r="B206" s="157"/>
      <c r="C206" s="157"/>
      <c r="D206" s="157"/>
      <c r="E206" s="6"/>
      <c r="F206" s="6"/>
      <c r="G206" s="2"/>
      <c r="H206" s="157"/>
      <c r="I206" s="157"/>
      <c r="J206" s="2"/>
      <c r="K206" s="157"/>
      <c r="L206" s="3"/>
      <c r="M206" s="3"/>
      <c r="N206" s="3"/>
      <c r="O206" s="2"/>
      <c r="P206" s="277"/>
    </row>
    <row r="207" spans="1:16" ht="30" customHeight="1" x14ac:dyDescent="0.15">
      <c r="A207" s="284" t="s">
        <v>7616</v>
      </c>
      <c r="B207" s="157"/>
      <c r="C207" s="157"/>
      <c r="D207" s="157"/>
      <c r="E207" s="6"/>
      <c r="F207" s="6"/>
      <c r="G207" s="2"/>
      <c r="H207" s="157"/>
      <c r="I207" s="157"/>
      <c r="J207" s="2"/>
      <c r="K207" s="157"/>
      <c r="L207" s="3"/>
      <c r="M207" s="3"/>
      <c r="N207" s="3"/>
      <c r="O207" s="2"/>
      <c r="P207" s="277"/>
    </row>
    <row r="208" spans="1:16" ht="30" customHeight="1" x14ac:dyDescent="0.15">
      <c r="A208" s="284" t="s">
        <v>7617</v>
      </c>
      <c r="B208" s="157"/>
      <c r="C208" s="157"/>
      <c r="D208" s="157"/>
      <c r="E208" s="6"/>
      <c r="F208" s="6"/>
      <c r="G208" s="2"/>
      <c r="H208" s="157"/>
      <c r="I208" s="157"/>
      <c r="J208" s="2"/>
      <c r="K208" s="157"/>
      <c r="L208" s="3"/>
      <c r="M208" s="3"/>
      <c r="N208" s="3"/>
      <c r="O208" s="2"/>
      <c r="P208" s="277"/>
    </row>
    <row r="209" spans="1:16" ht="30" customHeight="1" x14ac:dyDescent="0.15">
      <c r="A209" s="284" t="s">
        <v>7618</v>
      </c>
      <c r="B209" s="157"/>
      <c r="C209" s="157"/>
      <c r="D209" s="157"/>
      <c r="E209" s="6"/>
      <c r="F209" s="6"/>
      <c r="G209" s="2"/>
      <c r="H209" s="157"/>
      <c r="I209" s="157"/>
      <c r="J209" s="2"/>
      <c r="K209" s="157"/>
      <c r="L209" s="3"/>
      <c r="M209" s="3"/>
      <c r="N209" s="3"/>
      <c r="O209" s="2"/>
      <c r="P209" s="277"/>
    </row>
    <row r="210" spans="1:16" ht="30" customHeight="1" x14ac:dyDescent="0.15">
      <c r="A210" s="284" t="s">
        <v>7619</v>
      </c>
      <c r="B210" s="157"/>
      <c r="C210" s="157"/>
      <c r="D210" s="157"/>
      <c r="E210" s="6"/>
      <c r="F210" s="6"/>
      <c r="G210" s="2"/>
      <c r="H210" s="157"/>
      <c r="I210" s="157"/>
      <c r="J210" s="2"/>
      <c r="K210" s="157"/>
      <c r="L210" s="3"/>
      <c r="M210" s="3"/>
      <c r="N210" s="3"/>
      <c r="O210" s="2"/>
      <c r="P210" s="277"/>
    </row>
    <row r="211" spans="1:16" ht="30" customHeight="1" x14ac:dyDescent="0.15">
      <c r="A211" s="284" t="s">
        <v>7620</v>
      </c>
      <c r="B211" s="157"/>
      <c r="C211" s="157"/>
      <c r="D211" s="157"/>
      <c r="E211" s="6"/>
      <c r="F211" s="6"/>
      <c r="G211" s="2"/>
      <c r="H211" s="157"/>
      <c r="I211" s="157"/>
      <c r="J211" s="2"/>
      <c r="K211" s="157"/>
      <c r="L211" s="3"/>
      <c r="M211" s="3"/>
      <c r="N211" s="3"/>
      <c r="O211" s="2"/>
      <c r="P211" s="277"/>
    </row>
    <row r="212" spans="1:16" ht="30" customHeight="1" x14ac:dyDescent="0.15">
      <c r="A212" s="284" t="s">
        <v>7621</v>
      </c>
      <c r="B212" s="157"/>
      <c r="C212" s="157"/>
      <c r="D212" s="157"/>
      <c r="E212" s="6"/>
      <c r="F212" s="6"/>
      <c r="G212" s="2"/>
      <c r="H212" s="157"/>
      <c r="I212" s="157"/>
      <c r="J212" s="2"/>
      <c r="K212" s="157"/>
      <c r="L212" s="3"/>
      <c r="M212" s="3"/>
      <c r="N212" s="3"/>
      <c r="O212" s="2"/>
      <c r="P212" s="277"/>
    </row>
    <row r="213" spans="1:16" ht="30" customHeight="1" x14ac:dyDescent="0.15">
      <c r="A213" s="284" t="s">
        <v>7622</v>
      </c>
      <c r="B213" s="157"/>
      <c r="C213" s="157"/>
      <c r="D213" s="157"/>
      <c r="E213" s="6"/>
      <c r="F213" s="6"/>
      <c r="G213" s="2"/>
      <c r="H213" s="157"/>
      <c r="I213" s="157"/>
      <c r="J213" s="2"/>
      <c r="K213" s="157"/>
      <c r="L213" s="3"/>
      <c r="M213" s="3"/>
      <c r="N213" s="3"/>
      <c r="O213" s="2"/>
      <c r="P213" s="277"/>
    </row>
    <row r="214" spans="1:16" ht="30" customHeight="1" x14ac:dyDescent="0.15">
      <c r="A214" s="284" t="s">
        <v>7623</v>
      </c>
      <c r="B214" s="157"/>
      <c r="C214" s="157"/>
      <c r="D214" s="157"/>
      <c r="E214" s="6"/>
      <c r="F214" s="6"/>
      <c r="G214" s="2"/>
      <c r="H214" s="157"/>
      <c r="I214" s="157"/>
      <c r="J214" s="2"/>
      <c r="K214" s="157"/>
      <c r="L214" s="3"/>
      <c r="M214" s="3"/>
      <c r="N214" s="3"/>
      <c r="O214" s="2"/>
      <c r="P214" s="277"/>
    </row>
    <row r="215" spans="1:16" ht="30" customHeight="1" x14ac:dyDescent="0.15">
      <c r="A215" s="284" t="s">
        <v>7624</v>
      </c>
      <c r="B215" s="157"/>
      <c r="C215" s="157"/>
      <c r="D215" s="157"/>
      <c r="E215" s="6"/>
      <c r="F215" s="6"/>
      <c r="G215" s="2"/>
      <c r="H215" s="157"/>
      <c r="I215" s="157"/>
      <c r="J215" s="2"/>
      <c r="K215" s="157"/>
      <c r="L215" s="3"/>
      <c r="M215" s="3"/>
      <c r="N215" s="3"/>
      <c r="O215" s="2"/>
      <c r="P215" s="277"/>
    </row>
    <row r="216" spans="1:16" ht="30" customHeight="1" x14ac:dyDescent="0.15">
      <c r="A216" s="284" t="s">
        <v>7625</v>
      </c>
      <c r="B216" s="157"/>
      <c r="C216" s="157"/>
      <c r="D216" s="157"/>
      <c r="E216" s="6"/>
      <c r="F216" s="6"/>
      <c r="G216" s="2"/>
      <c r="H216" s="157"/>
      <c r="I216" s="157"/>
      <c r="J216" s="2"/>
      <c r="K216" s="157"/>
      <c r="L216" s="3"/>
      <c r="M216" s="3"/>
      <c r="N216" s="3"/>
      <c r="O216" s="2"/>
      <c r="P216" s="277"/>
    </row>
    <row r="217" spans="1:16" ht="30" customHeight="1" x14ac:dyDescent="0.15">
      <c r="A217" s="284" t="s">
        <v>7626</v>
      </c>
      <c r="B217" s="157"/>
      <c r="C217" s="157"/>
      <c r="D217" s="157"/>
      <c r="E217" s="6"/>
      <c r="F217" s="6"/>
      <c r="G217" s="2"/>
      <c r="H217" s="157"/>
      <c r="I217" s="157"/>
      <c r="J217" s="2"/>
      <c r="K217" s="157"/>
      <c r="L217" s="3"/>
      <c r="M217" s="3"/>
      <c r="N217" s="3"/>
      <c r="O217" s="2"/>
      <c r="P217" s="277"/>
    </row>
    <row r="218" spans="1:16" ht="30" customHeight="1" x14ac:dyDescent="0.15">
      <c r="A218" s="284" t="s">
        <v>7627</v>
      </c>
      <c r="B218" s="157"/>
      <c r="C218" s="157"/>
      <c r="D218" s="157"/>
      <c r="E218" s="6"/>
      <c r="F218" s="6"/>
      <c r="G218" s="2"/>
      <c r="H218" s="157"/>
      <c r="I218" s="157"/>
      <c r="J218" s="2"/>
      <c r="K218" s="157"/>
      <c r="L218" s="3"/>
      <c r="M218" s="3"/>
      <c r="N218" s="3"/>
      <c r="O218" s="2"/>
      <c r="P218" s="277"/>
    </row>
    <row r="219" spans="1:16" ht="30" customHeight="1" x14ac:dyDescent="0.15">
      <c r="A219" s="284" t="s">
        <v>7628</v>
      </c>
      <c r="B219" s="157"/>
      <c r="C219" s="157"/>
      <c r="D219" s="157"/>
      <c r="E219" s="6"/>
      <c r="F219" s="6"/>
      <c r="G219" s="2"/>
      <c r="H219" s="157"/>
      <c r="I219" s="157"/>
      <c r="J219" s="2"/>
      <c r="K219" s="157"/>
      <c r="L219" s="3"/>
      <c r="M219" s="3"/>
      <c r="N219" s="3"/>
      <c r="O219" s="2"/>
      <c r="P219" s="277"/>
    </row>
    <row r="220" spans="1:16" ht="30" customHeight="1" x14ac:dyDescent="0.15">
      <c r="A220" s="284" t="s">
        <v>7629</v>
      </c>
      <c r="B220" s="157"/>
      <c r="C220" s="157"/>
      <c r="D220" s="157"/>
      <c r="E220" s="6"/>
      <c r="F220" s="6"/>
      <c r="G220" s="2"/>
      <c r="H220" s="157"/>
      <c r="I220" s="157"/>
      <c r="J220" s="2"/>
      <c r="K220" s="157"/>
      <c r="L220" s="3"/>
      <c r="M220" s="3"/>
      <c r="N220" s="3"/>
      <c r="O220" s="2"/>
      <c r="P220" s="277"/>
    </row>
    <row r="221" spans="1:16" ht="30" customHeight="1" x14ac:dyDescent="0.15">
      <c r="A221" s="284" t="s">
        <v>7630</v>
      </c>
      <c r="B221" s="157"/>
      <c r="C221" s="157"/>
      <c r="D221" s="157"/>
      <c r="E221" s="6"/>
      <c r="F221" s="6"/>
      <c r="G221" s="2"/>
      <c r="H221" s="157"/>
      <c r="I221" s="157"/>
      <c r="J221" s="2"/>
      <c r="K221" s="157"/>
      <c r="L221" s="3"/>
      <c r="M221" s="3"/>
      <c r="N221" s="3"/>
      <c r="O221" s="2"/>
      <c r="P221" s="277"/>
    </row>
    <row r="222" spans="1:16" ht="30" customHeight="1" x14ac:dyDescent="0.15">
      <c r="A222" s="284" t="s">
        <v>7631</v>
      </c>
      <c r="B222" s="157"/>
      <c r="C222" s="157"/>
      <c r="D222" s="157"/>
      <c r="E222" s="6"/>
      <c r="F222" s="6"/>
      <c r="G222" s="2"/>
      <c r="H222" s="157"/>
      <c r="I222" s="157"/>
      <c r="J222" s="2"/>
      <c r="K222" s="157"/>
      <c r="L222" s="3"/>
      <c r="M222" s="3"/>
      <c r="N222" s="3"/>
      <c r="O222" s="2"/>
      <c r="P222" s="277"/>
    </row>
    <row r="223" spans="1:16" ht="30" customHeight="1" x14ac:dyDescent="0.15">
      <c r="A223" s="284" t="s">
        <v>7632</v>
      </c>
      <c r="B223" s="157"/>
      <c r="C223" s="157"/>
      <c r="D223" s="157"/>
      <c r="E223" s="6"/>
      <c r="F223" s="6"/>
      <c r="G223" s="2"/>
      <c r="H223" s="157"/>
      <c r="I223" s="157"/>
      <c r="J223" s="2"/>
      <c r="K223" s="157"/>
      <c r="L223" s="3"/>
      <c r="M223" s="3"/>
      <c r="N223" s="3"/>
      <c r="O223" s="2"/>
      <c r="P223" s="277"/>
    </row>
    <row r="224" spans="1:16" ht="30" customHeight="1" x14ac:dyDescent="0.15">
      <c r="A224" s="284" t="s">
        <v>7633</v>
      </c>
      <c r="B224" s="157"/>
      <c r="C224" s="157"/>
      <c r="D224" s="157"/>
      <c r="E224" s="6"/>
      <c r="F224" s="6"/>
      <c r="G224" s="2"/>
      <c r="H224" s="157"/>
      <c r="I224" s="157"/>
      <c r="J224" s="2"/>
      <c r="K224" s="157"/>
      <c r="L224" s="3"/>
      <c r="M224" s="3"/>
      <c r="N224" s="3"/>
      <c r="O224" s="2"/>
      <c r="P224" s="277"/>
    </row>
    <row r="225" spans="1:16" ht="30" customHeight="1" x14ac:dyDescent="0.15">
      <c r="A225" s="284" t="s">
        <v>7634</v>
      </c>
      <c r="B225" s="157"/>
      <c r="C225" s="157"/>
      <c r="D225" s="157"/>
      <c r="E225" s="6"/>
      <c r="F225" s="6"/>
      <c r="G225" s="2"/>
      <c r="H225" s="157"/>
      <c r="I225" s="157"/>
      <c r="J225" s="2"/>
      <c r="K225" s="157"/>
      <c r="L225" s="3"/>
      <c r="M225" s="3"/>
      <c r="N225" s="3"/>
      <c r="O225" s="2"/>
      <c r="P225" s="277"/>
    </row>
    <row r="226" spans="1:16" ht="30" customHeight="1" x14ac:dyDescent="0.15">
      <c r="A226" s="284" t="s">
        <v>7635</v>
      </c>
      <c r="B226" s="157"/>
      <c r="C226" s="157"/>
      <c r="D226" s="157"/>
      <c r="E226" s="6"/>
      <c r="F226" s="6"/>
      <c r="G226" s="2"/>
      <c r="H226" s="157"/>
      <c r="I226" s="157"/>
      <c r="J226" s="2"/>
      <c r="K226" s="157"/>
      <c r="L226" s="3"/>
      <c r="M226" s="3"/>
      <c r="N226" s="3"/>
      <c r="O226" s="2"/>
      <c r="P226" s="277"/>
    </row>
    <row r="227" spans="1:16" ht="30" customHeight="1" x14ac:dyDescent="0.15">
      <c r="A227" s="284" t="s">
        <v>7636</v>
      </c>
      <c r="B227" s="157"/>
      <c r="C227" s="157"/>
      <c r="D227" s="157"/>
      <c r="E227" s="6"/>
      <c r="F227" s="6"/>
      <c r="G227" s="2"/>
      <c r="H227" s="157"/>
      <c r="I227" s="157"/>
      <c r="J227" s="2"/>
      <c r="K227" s="157"/>
      <c r="L227" s="3"/>
      <c r="M227" s="3"/>
      <c r="N227" s="3"/>
      <c r="O227" s="2"/>
      <c r="P227" s="277"/>
    </row>
    <row r="228" spans="1:16" ht="30" customHeight="1" x14ac:dyDescent="0.15">
      <c r="A228" s="284" t="s">
        <v>7637</v>
      </c>
      <c r="B228" s="157"/>
      <c r="C228" s="157"/>
      <c r="D228" s="157"/>
      <c r="E228" s="6"/>
      <c r="F228" s="6"/>
      <c r="G228" s="2"/>
      <c r="H228" s="157"/>
      <c r="I228" s="157"/>
      <c r="J228" s="2"/>
      <c r="K228" s="157"/>
      <c r="L228" s="3"/>
      <c r="M228" s="3"/>
      <c r="N228" s="3"/>
      <c r="O228" s="2"/>
      <c r="P228" s="277"/>
    </row>
    <row r="229" spans="1:16" ht="30" customHeight="1" x14ac:dyDescent="0.15">
      <c r="A229" s="284" t="s">
        <v>7638</v>
      </c>
      <c r="B229" s="157"/>
      <c r="C229" s="157"/>
      <c r="D229" s="157"/>
      <c r="E229" s="6"/>
      <c r="F229" s="6"/>
      <c r="G229" s="2"/>
      <c r="H229" s="157"/>
      <c r="I229" s="157"/>
      <c r="J229" s="2"/>
      <c r="K229" s="157"/>
      <c r="L229" s="3"/>
      <c r="M229" s="3"/>
      <c r="N229" s="3"/>
      <c r="O229" s="2"/>
      <c r="P229" s="277"/>
    </row>
    <row r="230" spans="1:16" ht="30" customHeight="1" x14ac:dyDescent="0.15">
      <c r="A230" s="284" t="s">
        <v>7639</v>
      </c>
      <c r="B230" s="157"/>
      <c r="C230" s="157"/>
      <c r="D230" s="157"/>
      <c r="E230" s="6"/>
      <c r="F230" s="6"/>
      <c r="G230" s="2"/>
      <c r="H230" s="157"/>
      <c r="I230" s="157"/>
      <c r="J230" s="2"/>
      <c r="K230" s="157"/>
      <c r="L230" s="3"/>
      <c r="M230" s="3"/>
      <c r="N230" s="3"/>
      <c r="O230" s="2"/>
      <c r="P230" s="277"/>
    </row>
    <row r="231" spans="1:16" ht="30" customHeight="1" x14ac:dyDescent="0.15">
      <c r="A231" s="284" t="s">
        <v>7640</v>
      </c>
      <c r="B231" s="157"/>
      <c r="C231" s="157"/>
      <c r="D231" s="157"/>
      <c r="E231" s="6"/>
      <c r="F231" s="6"/>
      <c r="G231" s="2"/>
      <c r="H231" s="157"/>
      <c r="I231" s="157"/>
      <c r="J231" s="2"/>
      <c r="K231" s="157"/>
      <c r="L231" s="3"/>
      <c r="M231" s="3"/>
      <c r="N231" s="3"/>
      <c r="O231" s="2"/>
      <c r="P231" s="277"/>
    </row>
    <row r="232" spans="1:16" ht="30" customHeight="1" x14ac:dyDescent="0.15">
      <c r="A232" s="284" t="s">
        <v>7641</v>
      </c>
      <c r="B232" s="157"/>
      <c r="C232" s="157"/>
      <c r="D232" s="157"/>
      <c r="E232" s="6"/>
      <c r="F232" s="6"/>
      <c r="G232" s="2"/>
      <c r="H232" s="157"/>
      <c r="I232" s="157"/>
      <c r="J232" s="2"/>
      <c r="K232" s="157"/>
      <c r="L232" s="3"/>
      <c r="M232" s="3"/>
      <c r="N232" s="3"/>
      <c r="O232" s="2"/>
      <c r="P232" s="277"/>
    </row>
    <row r="233" spans="1:16" ht="30" customHeight="1" x14ac:dyDescent="0.15">
      <c r="A233" s="284" t="s">
        <v>7642</v>
      </c>
      <c r="B233" s="157"/>
      <c r="C233" s="157"/>
      <c r="D233" s="157"/>
      <c r="E233" s="6"/>
      <c r="F233" s="6"/>
      <c r="G233" s="2"/>
      <c r="H233" s="157"/>
      <c r="I233" s="157"/>
      <c r="J233" s="2"/>
      <c r="K233" s="157"/>
      <c r="L233" s="3"/>
      <c r="M233" s="3"/>
      <c r="N233" s="3"/>
      <c r="O233" s="2"/>
      <c r="P233" s="277"/>
    </row>
    <row r="234" spans="1:16" ht="30" customHeight="1" x14ac:dyDescent="0.15">
      <c r="A234" s="284" t="s">
        <v>7643</v>
      </c>
      <c r="B234" s="157"/>
      <c r="C234" s="157"/>
      <c r="D234" s="157"/>
      <c r="E234" s="6"/>
      <c r="F234" s="6"/>
      <c r="G234" s="2"/>
      <c r="H234" s="157"/>
      <c r="I234" s="157"/>
      <c r="J234" s="2"/>
      <c r="K234" s="157"/>
      <c r="L234" s="3"/>
      <c r="M234" s="3"/>
      <c r="N234" s="3"/>
      <c r="O234" s="2"/>
      <c r="P234" s="277"/>
    </row>
    <row r="235" spans="1:16" ht="30" customHeight="1" x14ac:dyDescent="0.15">
      <c r="A235" s="284" t="s">
        <v>7644</v>
      </c>
      <c r="B235" s="157"/>
      <c r="C235" s="157"/>
      <c r="D235" s="157"/>
      <c r="E235" s="6"/>
      <c r="F235" s="6"/>
      <c r="G235" s="2"/>
      <c r="H235" s="157"/>
      <c r="I235" s="157"/>
      <c r="J235" s="2"/>
      <c r="K235" s="157"/>
      <c r="L235" s="3"/>
      <c r="M235" s="3"/>
      <c r="N235" s="3"/>
      <c r="O235" s="2"/>
      <c r="P235" s="277"/>
    </row>
    <row r="236" spans="1:16" ht="30" customHeight="1" x14ac:dyDescent="0.15">
      <c r="A236" s="284" t="s">
        <v>7645</v>
      </c>
      <c r="B236" s="157"/>
      <c r="C236" s="157"/>
      <c r="D236" s="157"/>
      <c r="E236" s="6"/>
      <c r="F236" s="6"/>
      <c r="G236" s="2"/>
      <c r="H236" s="157"/>
      <c r="I236" s="157"/>
      <c r="J236" s="2"/>
      <c r="K236" s="157"/>
      <c r="L236" s="3"/>
      <c r="M236" s="3"/>
      <c r="N236" s="3"/>
      <c r="O236" s="2"/>
      <c r="P236" s="277"/>
    </row>
    <row r="237" spans="1:16" ht="30" customHeight="1" x14ac:dyDescent="0.15">
      <c r="A237" s="284" t="s">
        <v>7646</v>
      </c>
      <c r="B237" s="157"/>
      <c r="C237" s="157"/>
      <c r="D237" s="157"/>
      <c r="E237" s="6"/>
      <c r="F237" s="6"/>
      <c r="G237" s="2"/>
      <c r="H237" s="157"/>
      <c r="I237" s="157"/>
      <c r="J237" s="2"/>
      <c r="K237" s="157"/>
      <c r="L237" s="3"/>
      <c r="M237" s="3"/>
      <c r="N237" s="3"/>
      <c r="O237" s="2"/>
      <c r="P237" s="277"/>
    </row>
    <row r="238" spans="1:16" ht="30" customHeight="1" x14ac:dyDescent="0.15">
      <c r="A238" s="284" t="s">
        <v>7647</v>
      </c>
      <c r="B238" s="157"/>
      <c r="C238" s="157"/>
      <c r="D238" s="157"/>
      <c r="E238" s="6"/>
      <c r="F238" s="6"/>
      <c r="G238" s="2"/>
      <c r="H238" s="157"/>
      <c r="I238" s="157"/>
      <c r="J238" s="2"/>
      <c r="K238" s="157"/>
      <c r="L238" s="3"/>
      <c r="M238" s="3"/>
      <c r="N238" s="3"/>
      <c r="O238" s="2"/>
      <c r="P238" s="277"/>
    </row>
    <row r="239" spans="1:16" ht="30" customHeight="1" x14ac:dyDescent="0.15">
      <c r="A239" s="284" t="s">
        <v>7648</v>
      </c>
      <c r="B239" s="157"/>
      <c r="C239" s="157"/>
      <c r="D239" s="157"/>
      <c r="E239" s="6"/>
      <c r="F239" s="6"/>
      <c r="G239" s="2"/>
      <c r="H239" s="157"/>
      <c r="I239" s="157"/>
      <c r="J239" s="2"/>
      <c r="K239" s="157"/>
      <c r="L239" s="3"/>
      <c r="M239" s="3"/>
      <c r="N239" s="3"/>
      <c r="O239" s="2"/>
      <c r="P239" s="277"/>
    </row>
    <row r="240" spans="1:16" ht="30" customHeight="1" x14ac:dyDescent="0.15">
      <c r="A240" s="284" t="s">
        <v>7649</v>
      </c>
      <c r="B240" s="157"/>
      <c r="C240" s="157"/>
      <c r="D240" s="157"/>
      <c r="E240" s="6"/>
      <c r="F240" s="6"/>
      <c r="G240" s="2"/>
      <c r="H240" s="157"/>
      <c r="I240" s="157"/>
      <c r="J240" s="2"/>
      <c r="K240" s="157"/>
      <c r="L240" s="3"/>
      <c r="M240" s="3"/>
      <c r="N240" s="3"/>
      <c r="O240" s="2"/>
      <c r="P240" s="277"/>
    </row>
    <row r="241" spans="1:16" ht="30" customHeight="1" x14ac:dyDescent="0.15">
      <c r="A241" s="284" t="s">
        <v>7650</v>
      </c>
      <c r="B241" s="157"/>
      <c r="C241" s="157"/>
      <c r="D241" s="157"/>
      <c r="E241" s="6"/>
      <c r="F241" s="6"/>
      <c r="G241" s="2"/>
      <c r="H241" s="157"/>
      <c r="I241" s="157"/>
      <c r="J241" s="2"/>
      <c r="K241" s="157"/>
      <c r="L241" s="3"/>
      <c r="M241" s="3"/>
      <c r="N241" s="3"/>
      <c r="O241" s="2"/>
      <c r="P241" s="277"/>
    </row>
    <row r="242" spans="1:16" ht="30" customHeight="1" x14ac:dyDescent="0.15">
      <c r="A242" s="284" t="s">
        <v>7651</v>
      </c>
      <c r="B242" s="157"/>
      <c r="C242" s="157"/>
      <c r="D242" s="157"/>
      <c r="E242" s="6"/>
      <c r="F242" s="6"/>
      <c r="G242" s="2"/>
      <c r="H242" s="157"/>
      <c r="I242" s="157"/>
      <c r="J242" s="2"/>
      <c r="K242" s="157"/>
      <c r="L242" s="3"/>
      <c r="M242" s="3"/>
      <c r="N242" s="3"/>
      <c r="O242" s="2"/>
      <c r="P242" s="277"/>
    </row>
    <row r="243" spans="1:16" ht="30" customHeight="1" x14ac:dyDescent="0.15">
      <c r="A243" s="284" t="s">
        <v>7652</v>
      </c>
      <c r="B243" s="157"/>
      <c r="C243" s="157"/>
      <c r="D243" s="157"/>
      <c r="E243" s="6"/>
      <c r="F243" s="6"/>
      <c r="G243" s="2"/>
      <c r="H243" s="157"/>
      <c r="I243" s="157"/>
      <c r="J243" s="2"/>
      <c r="K243" s="157"/>
      <c r="L243" s="3"/>
      <c r="M243" s="3"/>
      <c r="N243" s="3"/>
      <c r="O243" s="2"/>
      <c r="P243" s="277"/>
    </row>
    <row r="244" spans="1:16" ht="30" customHeight="1" x14ac:dyDescent="0.15">
      <c r="A244" s="284" t="s">
        <v>7653</v>
      </c>
      <c r="B244" s="157"/>
      <c r="C244" s="157"/>
      <c r="D244" s="157"/>
      <c r="E244" s="6"/>
      <c r="F244" s="6"/>
      <c r="G244" s="2"/>
      <c r="H244" s="157"/>
      <c r="I244" s="157"/>
      <c r="J244" s="2"/>
      <c r="K244" s="157"/>
      <c r="L244" s="3"/>
      <c r="M244" s="3"/>
      <c r="N244" s="3"/>
      <c r="O244" s="2"/>
      <c r="P244" s="277"/>
    </row>
    <row r="245" spans="1:16" ht="30" customHeight="1" x14ac:dyDescent="0.15">
      <c r="A245" s="284" t="s">
        <v>7654</v>
      </c>
      <c r="B245" s="157"/>
      <c r="C245" s="157"/>
      <c r="D245" s="157"/>
      <c r="E245" s="6"/>
      <c r="F245" s="6"/>
      <c r="G245" s="2"/>
      <c r="H245" s="157"/>
      <c r="I245" s="157"/>
      <c r="J245" s="2"/>
      <c r="K245" s="157"/>
      <c r="L245" s="3"/>
      <c r="M245" s="3"/>
      <c r="N245" s="3"/>
      <c r="O245" s="2"/>
      <c r="P245" s="277"/>
    </row>
    <row r="246" spans="1:16" ht="30" customHeight="1" x14ac:dyDescent="0.15">
      <c r="A246" s="284" t="s">
        <v>7655</v>
      </c>
      <c r="B246" s="157"/>
      <c r="C246" s="157"/>
      <c r="D246" s="157"/>
      <c r="E246" s="6"/>
      <c r="F246" s="6"/>
      <c r="G246" s="2"/>
      <c r="H246" s="157"/>
      <c r="I246" s="157"/>
      <c r="J246" s="2"/>
      <c r="K246" s="157"/>
      <c r="L246" s="3"/>
      <c r="M246" s="3"/>
      <c r="N246" s="3"/>
      <c r="O246" s="2"/>
      <c r="P246" s="277"/>
    </row>
    <row r="247" spans="1:16" ht="30" customHeight="1" x14ac:dyDescent="0.15">
      <c r="A247" s="284" t="s">
        <v>7656</v>
      </c>
      <c r="B247" s="157"/>
      <c r="C247" s="157"/>
      <c r="D247" s="157"/>
      <c r="E247" s="6"/>
      <c r="F247" s="6"/>
      <c r="G247" s="2"/>
      <c r="H247" s="157"/>
      <c r="I247" s="157"/>
      <c r="J247" s="2"/>
      <c r="K247" s="157"/>
      <c r="L247" s="3"/>
      <c r="M247" s="3"/>
      <c r="N247" s="3"/>
      <c r="O247" s="2"/>
      <c r="P247" s="277"/>
    </row>
    <row r="248" spans="1:16" ht="30" customHeight="1" x14ac:dyDescent="0.15">
      <c r="A248" s="284" t="s">
        <v>7657</v>
      </c>
      <c r="B248" s="157"/>
      <c r="C248" s="157"/>
      <c r="D248" s="157"/>
      <c r="E248" s="6"/>
      <c r="F248" s="6"/>
      <c r="G248" s="2"/>
      <c r="H248" s="157"/>
      <c r="I248" s="157"/>
      <c r="J248" s="2"/>
      <c r="K248" s="157"/>
      <c r="L248" s="3"/>
      <c r="M248" s="3"/>
      <c r="N248" s="3"/>
      <c r="O248" s="2"/>
      <c r="P248" s="277"/>
    </row>
    <row r="249" spans="1:16" ht="30" customHeight="1" x14ac:dyDescent="0.15">
      <c r="A249" s="284" t="s">
        <v>7658</v>
      </c>
      <c r="B249" s="157"/>
      <c r="C249" s="157"/>
      <c r="D249" s="157"/>
      <c r="E249" s="6"/>
      <c r="F249" s="6"/>
      <c r="G249" s="2"/>
      <c r="H249" s="157"/>
      <c r="I249" s="157"/>
      <c r="J249" s="2"/>
      <c r="K249" s="157"/>
      <c r="L249" s="3"/>
      <c r="M249" s="3"/>
      <c r="N249" s="3"/>
      <c r="O249" s="2"/>
      <c r="P249" s="277"/>
    </row>
    <row r="250" spans="1:16" ht="30" customHeight="1" x14ac:dyDescent="0.15">
      <c r="A250" s="284" t="s">
        <v>7659</v>
      </c>
      <c r="B250" s="157"/>
      <c r="C250" s="157"/>
      <c r="D250" s="157"/>
      <c r="E250" s="6"/>
      <c r="F250" s="6"/>
      <c r="G250" s="2"/>
      <c r="H250" s="157"/>
      <c r="I250" s="157"/>
      <c r="J250" s="2"/>
      <c r="K250" s="157"/>
      <c r="L250" s="3"/>
      <c r="M250" s="3"/>
      <c r="N250" s="3"/>
      <c r="O250" s="2"/>
      <c r="P250" s="277"/>
    </row>
    <row r="251" spans="1:16" ht="30" customHeight="1" x14ac:dyDescent="0.15">
      <c r="A251" s="284" t="s">
        <v>7660</v>
      </c>
      <c r="B251" s="157"/>
      <c r="C251" s="157"/>
      <c r="D251" s="157"/>
      <c r="E251" s="6"/>
      <c r="F251" s="6"/>
      <c r="G251" s="2"/>
      <c r="H251" s="157"/>
      <c r="I251" s="157"/>
      <c r="J251" s="2"/>
      <c r="K251" s="157"/>
      <c r="L251" s="3"/>
      <c r="M251" s="3"/>
      <c r="N251" s="3"/>
      <c r="O251" s="2"/>
      <c r="P251" s="277"/>
    </row>
    <row r="252" spans="1:16" ht="30" customHeight="1" x14ac:dyDescent="0.15">
      <c r="A252" s="284" t="s">
        <v>7661</v>
      </c>
      <c r="B252" s="157"/>
      <c r="C252" s="157"/>
      <c r="D252" s="157"/>
      <c r="E252" s="6"/>
      <c r="F252" s="6"/>
      <c r="G252" s="2"/>
      <c r="H252" s="157"/>
      <c r="I252" s="157"/>
      <c r="J252" s="2"/>
      <c r="K252" s="157"/>
      <c r="L252" s="3"/>
      <c r="M252" s="3"/>
      <c r="N252" s="3"/>
      <c r="O252" s="2"/>
      <c r="P252" s="277"/>
    </row>
    <row r="253" spans="1:16" ht="30" customHeight="1" x14ac:dyDescent="0.15">
      <c r="A253" s="284" t="s">
        <v>7662</v>
      </c>
      <c r="B253" s="157"/>
      <c r="C253" s="157"/>
      <c r="D253" s="157"/>
      <c r="E253" s="6"/>
      <c r="F253" s="6"/>
      <c r="G253" s="2"/>
      <c r="H253" s="157"/>
      <c r="I253" s="157"/>
      <c r="J253" s="2"/>
      <c r="K253" s="157"/>
      <c r="L253" s="3"/>
      <c r="M253" s="3"/>
      <c r="N253" s="3"/>
      <c r="O253" s="2"/>
      <c r="P253" s="277"/>
    </row>
    <row r="254" spans="1:16" ht="30" customHeight="1" x14ac:dyDescent="0.15">
      <c r="A254" s="284" t="s">
        <v>7663</v>
      </c>
      <c r="B254" s="157"/>
      <c r="C254" s="157"/>
      <c r="D254" s="157"/>
      <c r="E254" s="6"/>
      <c r="F254" s="6"/>
      <c r="G254" s="2"/>
      <c r="H254" s="157"/>
      <c r="I254" s="157"/>
      <c r="J254" s="2"/>
      <c r="K254" s="157"/>
      <c r="L254" s="3"/>
      <c r="M254" s="3"/>
      <c r="N254" s="3"/>
      <c r="O254" s="2"/>
      <c r="P254" s="277"/>
    </row>
    <row r="255" spans="1:16" ht="30" customHeight="1" x14ac:dyDescent="0.15">
      <c r="A255" s="284" t="s">
        <v>7664</v>
      </c>
      <c r="B255" s="157"/>
      <c r="C255" s="157"/>
      <c r="D255" s="157"/>
      <c r="E255" s="6"/>
      <c r="F255" s="6"/>
      <c r="G255" s="2"/>
      <c r="H255" s="157"/>
      <c r="I255" s="157"/>
      <c r="J255" s="2"/>
      <c r="K255" s="157"/>
      <c r="L255" s="3"/>
      <c r="M255" s="3"/>
      <c r="N255" s="3"/>
      <c r="O255" s="2"/>
      <c r="P255" s="277"/>
    </row>
    <row r="256" spans="1:16" ht="30" customHeight="1" x14ac:dyDescent="0.15">
      <c r="A256" s="284" t="s">
        <v>7665</v>
      </c>
      <c r="B256" s="157"/>
      <c r="C256" s="157"/>
      <c r="D256" s="157"/>
      <c r="E256" s="6"/>
      <c r="F256" s="6"/>
      <c r="G256" s="2"/>
      <c r="H256" s="157"/>
      <c r="I256" s="157"/>
      <c r="J256" s="2"/>
      <c r="K256" s="157"/>
      <c r="L256" s="3"/>
      <c r="M256" s="3"/>
      <c r="N256" s="3"/>
      <c r="O256" s="2"/>
      <c r="P256" s="277"/>
    </row>
    <row r="257" spans="1:16" ht="30" customHeight="1" x14ac:dyDescent="0.15">
      <c r="A257" s="284" t="s">
        <v>7666</v>
      </c>
      <c r="B257" s="157"/>
      <c r="C257" s="157"/>
      <c r="D257" s="157"/>
      <c r="E257" s="6"/>
      <c r="F257" s="6"/>
      <c r="G257" s="2"/>
      <c r="H257" s="157"/>
      <c r="I257" s="157"/>
      <c r="J257" s="2"/>
      <c r="K257" s="157"/>
      <c r="L257" s="3"/>
      <c r="M257" s="3"/>
      <c r="N257" s="3"/>
      <c r="O257" s="2"/>
      <c r="P257" s="277"/>
    </row>
    <row r="258" spans="1:16" ht="30" customHeight="1" x14ac:dyDescent="0.15">
      <c r="A258" s="284" t="s">
        <v>7667</v>
      </c>
      <c r="B258" s="157"/>
      <c r="C258" s="157"/>
      <c r="D258" s="157"/>
      <c r="E258" s="6"/>
      <c r="F258" s="6"/>
      <c r="G258" s="2"/>
      <c r="H258" s="157"/>
      <c r="I258" s="157"/>
      <c r="J258" s="2"/>
      <c r="K258" s="157"/>
      <c r="L258" s="3"/>
      <c r="M258" s="3"/>
      <c r="N258" s="3"/>
      <c r="O258" s="2"/>
      <c r="P258" s="277"/>
    </row>
    <row r="259" spans="1:16" ht="30" customHeight="1" x14ac:dyDescent="0.15">
      <c r="A259" s="284" t="s">
        <v>7668</v>
      </c>
      <c r="B259" s="157"/>
      <c r="C259" s="157"/>
      <c r="D259" s="157"/>
      <c r="E259" s="6"/>
      <c r="F259" s="6"/>
      <c r="G259" s="2"/>
      <c r="H259" s="157"/>
      <c r="I259" s="157"/>
      <c r="J259" s="2"/>
      <c r="K259" s="157"/>
      <c r="L259" s="3"/>
      <c r="M259" s="3"/>
      <c r="N259" s="3"/>
      <c r="O259" s="2"/>
      <c r="P259" s="277"/>
    </row>
    <row r="260" spans="1:16" ht="30" customHeight="1" x14ac:dyDescent="0.15">
      <c r="A260" s="284" t="s">
        <v>7669</v>
      </c>
      <c r="B260" s="157"/>
      <c r="C260" s="157"/>
      <c r="D260" s="157"/>
      <c r="E260" s="6"/>
      <c r="F260" s="6"/>
      <c r="G260" s="2"/>
      <c r="H260" s="157"/>
      <c r="I260" s="157"/>
      <c r="J260" s="2"/>
      <c r="K260" s="157"/>
      <c r="L260" s="3"/>
      <c r="M260" s="3"/>
      <c r="N260" s="3"/>
      <c r="O260" s="2"/>
      <c r="P260" s="277"/>
    </row>
    <row r="261" spans="1:16" ht="30" customHeight="1" x14ac:dyDescent="0.15">
      <c r="A261" s="284" t="s">
        <v>7670</v>
      </c>
      <c r="B261" s="157"/>
      <c r="C261" s="157"/>
      <c r="D261" s="157"/>
      <c r="E261" s="6"/>
      <c r="F261" s="6"/>
      <c r="G261" s="2"/>
      <c r="H261" s="157"/>
      <c r="I261" s="157"/>
      <c r="J261" s="2"/>
      <c r="K261" s="157"/>
      <c r="L261" s="3"/>
      <c r="M261" s="3"/>
      <c r="N261" s="3"/>
      <c r="O261" s="2"/>
      <c r="P261" s="277"/>
    </row>
    <row r="262" spans="1:16" ht="30" customHeight="1" x14ac:dyDescent="0.15">
      <c r="A262" s="284" t="s">
        <v>7671</v>
      </c>
      <c r="B262" s="157"/>
      <c r="C262" s="157"/>
      <c r="D262" s="157"/>
      <c r="E262" s="6"/>
      <c r="F262" s="6"/>
      <c r="G262" s="2"/>
      <c r="H262" s="157"/>
      <c r="I262" s="157"/>
      <c r="J262" s="2"/>
      <c r="K262" s="157"/>
      <c r="L262" s="3"/>
      <c r="M262" s="3"/>
      <c r="N262" s="3"/>
      <c r="O262" s="2"/>
      <c r="P262" s="277"/>
    </row>
    <row r="263" spans="1:16" ht="30" customHeight="1" x14ac:dyDescent="0.15">
      <c r="A263" s="284" t="s">
        <v>7672</v>
      </c>
      <c r="B263" s="157"/>
      <c r="C263" s="157"/>
      <c r="D263" s="157"/>
      <c r="E263" s="6"/>
      <c r="F263" s="6"/>
      <c r="G263" s="2"/>
      <c r="H263" s="157"/>
      <c r="I263" s="157"/>
      <c r="J263" s="2"/>
      <c r="K263" s="157"/>
      <c r="L263" s="3"/>
      <c r="M263" s="3"/>
      <c r="N263" s="3"/>
      <c r="O263" s="2"/>
      <c r="P263" s="277"/>
    </row>
    <row r="264" spans="1:16" ht="30" customHeight="1" x14ac:dyDescent="0.15">
      <c r="A264" s="284" t="s">
        <v>7673</v>
      </c>
      <c r="B264" s="157"/>
      <c r="C264" s="157"/>
      <c r="D264" s="157"/>
      <c r="E264" s="6"/>
      <c r="F264" s="6"/>
      <c r="G264" s="2"/>
      <c r="H264" s="157"/>
      <c r="I264" s="157"/>
      <c r="J264" s="2"/>
      <c r="K264" s="157"/>
      <c r="L264" s="3"/>
      <c r="M264" s="3"/>
      <c r="N264" s="3"/>
      <c r="O264" s="2"/>
      <c r="P264" s="277"/>
    </row>
    <row r="265" spans="1:16" ht="30" customHeight="1" x14ac:dyDescent="0.15">
      <c r="A265" s="284" t="s">
        <v>7674</v>
      </c>
      <c r="B265" s="157"/>
      <c r="C265" s="157"/>
      <c r="D265" s="157"/>
      <c r="E265" s="6"/>
      <c r="F265" s="6"/>
      <c r="G265" s="2"/>
      <c r="H265" s="157"/>
      <c r="I265" s="157"/>
      <c r="J265" s="2"/>
      <c r="K265" s="157"/>
      <c r="L265" s="3"/>
      <c r="M265" s="3"/>
      <c r="N265" s="3"/>
      <c r="O265" s="2"/>
      <c r="P265" s="277"/>
    </row>
    <row r="266" spans="1:16" ht="30" customHeight="1" x14ac:dyDescent="0.15">
      <c r="A266" s="284" t="s">
        <v>7675</v>
      </c>
      <c r="B266" s="157"/>
      <c r="C266" s="157"/>
      <c r="D266" s="157"/>
      <c r="E266" s="6"/>
      <c r="F266" s="6"/>
      <c r="G266" s="2"/>
      <c r="H266" s="157"/>
      <c r="I266" s="157"/>
      <c r="J266" s="2"/>
      <c r="K266" s="157"/>
      <c r="L266" s="3"/>
      <c r="M266" s="3"/>
      <c r="N266" s="3"/>
      <c r="O266" s="2"/>
      <c r="P266" s="277"/>
    </row>
    <row r="267" spans="1:16" ht="30" customHeight="1" x14ac:dyDescent="0.15">
      <c r="A267" s="284" t="s">
        <v>7676</v>
      </c>
      <c r="B267" s="157"/>
      <c r="C267" s="157"/>
      <c r="D267" s="157"/>
      <c r="E267" s="6"/>
      <c r="F267" s="6"/>
      <c r="G267" s="2"/>
      <c r="H267" s="157"/>
      <c r="I267" s="157"/>
      <c r="J267" s="2"/>
      <c r="K267" s="157"/>
      <c r="L267" s="3"/>
      <c r="M267" s="3"/>
      <c r="N267" s="3"/>
      <c r="O267" s="2"/>
      <c r="P267" s="277"/>
    </row>
    <row r="268" spans="1:16" ht="30" customHeight="1" x14ac:dyDescent="0.15">
      <c r="A268" s="284" t="s">
        <v>7677</v>
      </c>
      <c r="B268" s="157"/>
      <c r="C268" s="157"/>
      <c r="D268" s="157"/>
      <c r="E268" s="6"/>
      <c r="F268" s="6"/>
      <c r="G268" s="2"/>
      <c r="H268" s="157"/>
      <c r="I268" s="157"/>
      <c r="J268" s="2"/>
      <c r="K268" s="157"/>
      <c r="L268" s="3"/>
      <c r="M268" s="3"/>
      <c r="N268" s="3"/>
      <c r="O268" s="2"/>
      <c r="P268" s="277"/>
    </row>
    <row r="269" spans="1:16" ht="30" customHeight="1" x14ac:dyDescent="0.15">
      <c r="A269" s="284" t="s">
        <v>7678</v>
      </c>
      <c r="B269" s="157"/>
      <c r="C269" s="157"/>
      <c r="D269" s="157"/>
      <c r="E269" s="6"/>
      <c r="F269" s="6"/>
      <c r="G269" s="2"/>
      <c r="H269" s="157"/>
      <c r="I269" s="157"/>
      <c r="J269" s="2"/>
      <c r="K269" s="157"/>
      <c r="L269" s="3"/>
      <c r="M269" s="3"/>
      <c r="N269" s="3"/>
      <c r="O269" s="2"/>
      <c r="P269" s="277"/>
    </row>
    <row r="270" spans="1:16" ht="30" customHeight="1" x14ac:dyDescent="0.15">
      <c r="A270" s="284" t="s">
        <v>7679</v>
      </c>
      <c r="B270" s="157"/>
      <c r="C270" s="157"/>
      <c r="D270" s="157"/>
      <c r="E270" s="6"/>
      <c r="F270" s="6"/>
      <c r="G270" s="2"/>
      <c r="H270" s="157"/>
      <c r="I270" s="157"/>
      <c r="J270" s="2"/>
      <c r="K270" s="157"/>
      <c r="L270" s="3"/>
      <c r="M270" s="3"/>
      <c r="N270" s="3"/>
      <c r="O270" s="2"/>
      <c r="P270" s="277"/>
    </row>
    <row r="271" spans="1:16" ht="30" customHeight="1" x14ac:dyDescent="0.15">
      <c r="A271" s="284" t="s">
        <v>7680</v>
      </c>
      <c r="B271" s="157"/>
      <c r="C271" s="157"/>
      <c r="D271" s="157"/>
      <c r="E271" s="6"/>
      <c r="F271" s="6"/>
      <c r="G271" s="2"/>
      <c r="H271" s="157"/>
      <c r="I271" s="157"/>
      <c r="J271" s="2"/>
      <c r="K271" s="157"/>
      <c r="L271" s="3"/>
      <c r="M271" s="3"/>
      <c r="N271" s="3"/>
      <c r="O271" s="2"/>
      <c r="P271" s="277"/>
    </row>
    <row r="272" spans="1:16" ht="30" customHeight="1" x14ac:dyDescent="0.15">
      <c r="A272" s="284" t="s">
        <v>7681</v>
      </c>
      <c r="B272" s="157"/>
      <c r="C272" s="157"/>
      <c r="D272" s="157"/>
      <c r="E272" s="6"/>
      <c r="F272" s="6"/>
      <c r="G272" s="2"/>
      <c r="H272" s="157"/>
      <c r="I272" s="157"/>
      <c r="J272" s="2"/>
      <c r="K272" s="157"/>
      <c r="L272" s="3"/>
      <c r="M272" s="3"/>
      <c r="N272" s="3"/>
      <c r="O272" s="2"/>
      <c r="P272" s="277"/>
    </row>
    <row r="273" spans="1:16" ht="30" customHeight="1" x14ac:dyDescent="0.15">
      <c r="A273" s="284" t="s">
        <v>7682</v>
      </c>
      <c r="B273" s="157"/>
      <c r="C273" s="157"/>
      <c r="D273" s="157"/>
      <c r="E273" s="6"/>
      <c r="F273" s="6"/>
      <c r="G273" s="2"/>
      <c r="H273" s="157"/>
      <c r="I273" s="157"/>
      <c r="J273" s="2"/>
      <c r="K273" s="157"/>
      <c r="L273" s="3"/>
      <c r="M273" s="3"/>
      <c r="N273" s="3"/>
      <c r="O273" s="2"/>
      <c r="P273" s="277"/>
    </row>
    <row r="274" spans="1:16" ht="30" customHeight="1" x14ac:dyDescent="0.15">
      <c r="A274" s="284" t="s">
        <v>7683</v>
      </c>
      <c r="B274" s="157"/>
      <c r="C274" s="157"/>
      <c r="D274" s="157"/>
      <c r="E274" s="6"/>
      <c r="F274" s="6"/>
      <c r="G274" s="2"/>
      <c r="H274" s="157"/>
      <c r="I274" s="157"/>
      <c r="J274" s="2"/>
      <c r="K274" s="157"/>
      <c r="L274" s="3"/>
      <c r="M274" s="3"/>
      <c r="N274" s="3"/>
      <c r="O274" s="2"/>
      <c r="P274" s="277"/>
    </row>
    <row r="275" spans="1:16" ht="30" customHeight="1" x14ac:dyDescent="0.15">
      <c r="A275" s="284" t="s">
        <v>7684</v>
      </c>
      <c r="B275" s="157"/>
      <c r="C275" s="157"/>
      <c r="D275" s="157"/>
      <c r="E275" s="6"/>
      <c r="F275" s="6"/>
      <c r="G275" s="2"/>
      <c r="H275" s="157"/>
      <c r="I275" s="157"/>
      <c r="J275" s="2"/>
      <c r="K275" s="157"/>
      <c r="L275" s="3"/>
      <c r="M275" s="3"/>
      <c r="N275" s="3"/>
      <c r="O275" s="2"/>
      <c r="P275" s="277"/>
    </row>
    <row r="276" spans="1:16" ht="30" customHeight="1" x14ac:dyDescent="0.15">
      <c r="A276" s="284" t="s">
        <v>7685</v>
      </c>
      <c r="B276" s="157"/>
      <c r="C276" s="157"/>
      <c r="D276" s="157"/>
      <c r="E276" s="6"/>
      <c r="F276" s="6"/>
      <c r="G276" s="2"/>
      <c r="H276" s="157"/>
      <c r="I276" s="157"/>
      <c r="J276" s="2"/>
      <c r="K276" s="157"/>
      <c r="L276" s="3"/>
      <c r="M276" s="3"/>
      <c r="N276" s="3"/>
      <c r="O276" s="2"/>
      <c r="P276" s="277"/>
    </row>
    <row r="277" spans="1:16" ht="30" customHeight="1" x14ac:dyDescent="0.15">
      <c r="A277" s="284" t="s">
        <v>7686</v>
      </c>
      <c r="B277" s="157"/>
      <c r="C277" s="157"/>
      <c r="D277" s="157"/>
      <c r="E277" s="6"/>
      <c r="F277" s="6"/>
      <c r="G277" s="2"/>
      <c r="H277" s="157"/>
      <c r="I277" s="157"/>
      <c r="J277" s="2"/>
      <c r="K277" s="157"/>
      <c r="L277" s="3"/>
      <c r="M277" s="3"/>
      <c r="N277" s="3"/>
      <c r="O277" s="2"/>
      <c r="P277" s="277"/>
    </row>
    <row r="278" spans="1:16" ht="30" customHeight="1" x14ac:dyDescent="0.15">
      <c r="A278" s="284" t="s">
        <v>7687</v>
      </c>
      <c r="B278" s="157"/>
      <c r="C278" s="157"/>
      <c r="D278" s="157"/>
      <c r="E278" s="6"/>
      <c r="F278" s="6"/>
      <c r="G278" s="2"/>
      <c r="H278" s="157"/>
      <c r="I278" s="157"/>
      <c r="J278" s="2"/>
      <c r="K278" s="157"/>
      <c r="L278" s="3"/>
      <c r="M278" s="3"/>
      <c r="N278" s="3"/>
      <c r="O278" s="2"/>
      <c r="P278" s="277"/>
    </row>
    <row r="279" spans="1:16" ht="30" customHeight="1" x14ac:dyDescent="0.15">
      <c r="A279" s="284" t="s">
        <v>7688</v>
      </c>
      <c r="B279" s="157"/>
      <c r="C279" s="157"/>
      <c r="D279" s="157"/>
      <c r="E279" s="6"/>
      <c r="F279" s="6"/>
      <c r="G279" s="2"/>
      <c r="H279" s="157"/>
      <c r="I279" s="157"/>
      <c r="J279" s="2"/>
      <c r="K279" s="157"/>
      <c r="L279" s="3"/>
      <c r="M279" s="3"/>
      <c r="N279" s="3"/>
      <c r="O279" s="2"/>
      <c r="P279" s="277"/>
    </row>
    <row r="280" spans="1:16" ht="30" customHeight="1" x14ac:dyDescent="0.15">
      <c r="A280" s="284" t="s">
        <v>7689</v>
      </c>
      <c r="B280" s="157"/>
      <c r="C280" s="157"/>
      <c r="D280" s="157"/>
      <c r="E280" s="6"/>
      <c r="F280" s="6"/>
      <c r="G280" s="2"/>
      <c r="H280" s="157"/>
      <c r="I280" s="157"/>
      <c r="J280" s="2"/>
      <c r="K280" s="157"/>
      <c r="L280" s="3"/>
      <c r="M280" s="3"/>
      <c r="N280" s="3"/>
      <c r="O280" s="2"/>
      <c r="P280" s="277"/>
    </row>
    <row r="281" spans="1:16" ht="30" customHeight="1" x14ac:dyDescent="0.15">
      <c r="A281" s="284" t="s">
        <v>7690</v>
      </c>
      <c r="B281" s="157"/>
      <c r="C281" s="157"/>
      <c r="D281" s="157"/>
      <c r="E281" s="6"/>
      <c r="F281" s="6"/>
      <c r="G281" s="2"/>
      <c r="H281" s="157"/>
      <c r="I281" s="157"/>
      <c r="J281" s="2"/>
      <c r="K281" s="157"/>
      <c r="L281" s="3"/>
      <c r="M281" s="3"/>
      <c r="N281" s="3"/>
      <c r="O281" s="2"/>
      <c r="P281" s="277"/>
    </row>
    <row r="282" spans="1:16" ht="30" customHeight="1" x14ac:dyDescent="0.15">
      <c r="A282" s="284" t="s">
        <v>7691</v>
      </c>
      <c r="B282" s="157"/>
      <c r="C282" s="157"/>
      <c r="D282" s="157"/>
      <c r="E282" s="6"/>
      <c r="F282" s="6"/>
      <c r="G282" s="2"/>
      <c r="H282" s="157"/>
      <c r="I282" s="157"/>
      <c r="J282" s="2"/>
      <c r="K282" s="157"/>
      <c r="L282" s="3"/>
      <c r="M282" s="3"/>
      <c r="N282" s="3"/>
      <c r="O282" s="2"/>
      <c r="P282" s="277"/>
    </row>
    <row r="283" spans="1:16" ht="30" customHeight="1" x14ac:dyDescent="0.15">
      <c r="A283" s="284" t="s">
        <v>7692</v>
      </c>
      <c r="B283" s="157"/>
      <c r="C283" s="157"/>
      <c r="D283" s="157"/>
      <c r="E283" s="6"/>
      <c r="F283" s="6"/>
      <c r="G283" s="2"/>
      <c r="H283" s="157"/>
      <c r="I283" s="157"/>
      <c r="J283" s="2"/>
      <c r="K283" s="157"/>
      <c r="L283" s="3"/>
      <c r="M283" s="3"/>
      <c r="N283" s="3"/>
      <c r="O283" s="2"/>
      <c r="P283" s="277"/>
    </row>
    <row r="284" spans="1:16" ht="30" customHeight="1" x14ac:dyDescent="0.15">
      <c r="A284" s="284" t="s">
        <v>7693</v>
      </c>
      <c r="B284" s="157"/>
      <c r="C284" s="157"/>
      <c r="D284" s="157"/>
      <c r="E284" s="6"/>
      <c r="F284" s="6"/>
      <c r="G284" s="2"/>
      <c r="H284" s="157"/>
      <c r="I284" s="157"/>
      <c r="J284" s="2"/>
      <c r="K284" s="157"/>
      <c r="L284" s="3"/>
      <c r="M284" s="3"/>
      <c r="N284" s="3"/>
      <c r="O284" s="2"/>
      <c r="P284" s="277"/>
    </row>
    <row r="285" spans="1:16" ht="30" customHeight="1" x14ac:dyDescent="0.15">
      <c r="A285" s="284" t="s">
        <v>7694</v>
      </c>
      <c r="B285" s="157"/>
      <c r="C285" s="157"/>
      <c r="D285" s="157"/>
      <c r="E285" s="6"/>
      <c r="F285" s="6"/>
      <c r="G285" s="2"/>
      <c r="H285" s="157"/>
      <c r="I285" s="157"/>
      <c r="J285" s="2"/>
      <c r="K285" s="157"/>
      <c r="L285" s="3"/>
      <c r="M285" s="3"/>
      <c r="N285" s="3"/>
      <c r="O285" s="2"/>
      <c r="P285" s="277"/>
    </row>
    <row r="286" spans="1:16" ht="30" customHeight="1" x14ac:dyDescent="0.15">
      <c r="A286" s="284" t="s">
        <v>7695</v>
      </c>
      <c r="B286" s="157"/>
      <c r="C286" s="157"/>
      <c r="D286" s="157"/>
      <c r="E286" s="6"/>
      <c r="F286" s="6"/>
      <c r="G286" s="2"/>
      <c r="H286" s="157"/>
      <c r="I286" s="157"/>
      <c r="J286" s="2"/>
      <c r="K286" s="157"/>
      <c r="L286" s="3"/>
      <c r="M286" s="3"/>
      <c r="N286" s="3"/>
      <c r="O286" s="2"/>
      <c r="P286" s="277"/>
    </row>
    <row r="287" spans="1:16" ht="30" customHeight="1" x14ac:dyDescent="0.15">
      <c r="A287" s="284" t="s">
        <v>7696</v>
      </c>
      <c r="B287" s="157"/>
      <c r="C287" s="157"/>
      <c r="D287" s="157"/>
      <c r="E287" s="6"/>
      <c r="F287" s="6"/>
      <c r="G287" s="2"/>
      <c r="H287" s="157"/>
      <c r="I287" s="157"/>
      <c r="J287" s="2"/>
      <c r="K287" s="157"/>
      <c r="L287" s="3"/>
      <c r="M287" s="3"/>
      <c r="N287" s="3"/>
      <c r="O287" s="2"/>
      <c r="P287" s="277"/>
    </row>
    <row r="288" spans="1:16" ht="30" customHeight="1" x14ac:dyDescent="0.15">
      <c r="A288" s="284" t="s">
        <v>7697</v>
      </c>
      <c r="B288" s="157"/>
      <c r="C288" s="157"/>
      <c r="D288" s="157"/>
      <c r="E288" s="6"/>
      <c r="F288" s="6"/>
      <c r="G288" s="2"/>
      <c r="H288" s="157"/>
      <c r="I288" s="157"/>
      <c r="J288" s="2"/>
      <c r="K288" s="157"/>
      <c r="L288" s="3"/>
      <c r="M288" s="3"/>
      <c r="N288" s="3"/>
      <c r="O288" s="2"/>
      <c r="P288" s="277"/>
    </row>
    <row r="289" spans="1:16" ht="30" customHeight="1" x14ac:dyDescent="0.15">
      <c r="A289" s="284" t="s">
        <v>7698</v>
      </c>
      <c r="B289" s="157"/>
      <c r="C289" s="157"/>
      <c r="D289" s="157"/>
      <c r="E289" s="6"/>
      <c r="F289" s="6"/>
      <c r="G289" s="2"/>
      <c r="H289" s="157"/>
      <c r="I289" s="157"/>
      <c r="J289" s="2"/>
      <c r="K289" s="157"/>
      <c r="L289" s="3"/>
      <c r="M289" s="3"/>
      <c r="N289" s="3"/>
      <c r="O289" s="2"/>
      <c r="P289" s="277"/>
    </row>
    <row r="290" spans="1:16" ht="30" customHeight="1" x14ac:dyDescent="0.15">
      <c r="A290" s="284" t="s">
        <v>7699</v>
      </c>
      <c r="B290" s="157"/>
      <c r="C290" s="157"/>
      <c r="D290" s="157"/>
      <c r="E290" s="6"/>
      <c r="F290" s="6"/>
      <c r="G290" s="2"/>
      <c r="H290" s="157"/>
      <c r="I290" s="157"/>
      <c r="J290" s="2"/>
      <c r="K290" s="157"/>
      <c r="L290" s="3"/>
      <c r="M290" s="3"/>
      <c r="N290" s="3"/>
      <c r="O290" s="2"/>
      <c r="P290" s="277"/>
    </row>
    <row r="291" spans="1:16" ht="30" customHeight="1" x14ac:dyDescent="0.15">
      <c r="A291" s="284" t="s">
        <v>7700</v>
      </c>
      <c r="B291" s="157"/>
      <c r="C291" s="157"/>
      <c r="D291" s="157"/>
      <c r="E291" s="6"/>
      <c r="F291" s="6"/>
      <c r="G291" s="2"/>
      <c r="H291" s="157"/>
      <c r="I291" s="157"/>
      <c r="J291" s="2"/>
      <c r="K291" s="157"/>
      <c r="L291" s="3"/>
      <c r="M291" s="3"/>
      <c r="N291" s="3"/>
      <c r="O291" s="2"/>
      <c r="P291" s="277"/>
    </row>
    <row r="292" spans="1:16" ht="30" customHeight="1" x14ac:dyDescent="0.15">
      <c r="A292" s="284" t="s">
        <v>7701</v>
      </c>
      <c r="B292" s="157"/>
      <c r="C292" s="157"/>
      <c r="D292" s="157"/>
      <c r="E292" s="6"/>
      <c r="F292" s="6"/>
      <c r="G292" s="2"/>
      <c r="H292" s="157"/>
      <c r="I292" s="157"/>
      <c r="J292" s="2"/>
      <c r="K292" s="157"/>
      <c r="L292" s="3"/>
      <c r="M292" s="3"/>
      <c r="N292" s="3"/>
      <c r="O292" s="2"/>
      <c r="P292" s="277"/>
    </row>
    <row r="293" spans="1:16" ht="30" customHeight="1" x14ac:dyDescent="0.15">
      <c r="A293" s="284" t="s">
        <v>7702</v>
      </c>
      <c r="B293" s="157"/>
      <c r="C293" s="157"/>
      <c r="D293" s="157"/>
      <c r="E293" s="6"/>
      <c r="F293" s="6"/>
      <c r="G293" s="2"/>
      <c r="H293" s="157"/>
      <c r="I293" s="157"/>
      <c r="J293" s="2"/>
      <c r="K293" s="157"/>
      <c r="L293" s="3"/>
      <c r="M293" s="3"/>
      <c r="N293" s="3"/>
      <c r="O293" s="2"/>
      <c r="P293" s="277"/>
    </row>
    <row r="294" spans="1:16" ht="30" customHeight="1" x14ac:dyDescent="0.15">
      <c r="A294" s="284" t="s">
        <v>7703</v>
      </c>
      <c r="B294" s="157"/>
      <c r="C294" s="157"/>
      <c r="D294" s="157"/>
      <c r="E294" s="6"/>
      <c r="F294" s="6"/>
      <c r="G294" s="2"/>
      <c r="H294" s="157"/>
      <c r="I294" s="157"/>
      <c r="J294" s="2"/>
      <c r="K294" s="157"/>
      <c r="L294" s="3"/>
      <c r="M294" s="3"/>
      <c r="N294" s="3"/>
      <c r="O294" s="2"/>
      <c r="P294" s="277"/>
    </row>
    <row r="295" spans="1:16" ht="30" customHeight="1" x14ac:dyDescent="0.15">
      <c r="A295" s="284" t="s">
        <v>7704</v>
      </c>
      <c r="B295" s="157"/>
      <c r="C295" s="157"/>
      <c r="D295" s="157"/>
      <c r="E295" s="6"/>
      <c r="F295" s="6"/>
      <c r="G295" s="2"/>
      <c r="H295" s="157"/>
      <c r="I295" s="157"/>
      <c r="J295" s="2"/>
      <c r="K295" s="157"/>
      <c r="L295" s="3"/>
      <c r="M295" s="3"/>
      <c r="N295" s="3"/>
      <c r="O295" s="2"/>
      <c r="P295" s="277"/>
    </row>
    <row r="296" spans="1:16" ht="30" customHeight="1" x14ac:dyDescent="0.15">
      <c r="A296" s="284" t="s">
        <v>7705</v>
      </c>
      <c r="B296" s="157"/>
      <c r="C296" s="157"/>
      <c r="D296" s="157"/>
      <c r="E296" s="6"/>
      <c r="F296" s="6"/>
      <c r="G296" s="2"/>
      <c r="H296" s="157"/>
      <c r="I296" s="157"/>
      <c r="J296" s="2"/>
      <c r="K296" s="157"/>
      <c r="L296" s="3"/>
      <c r="M296" s="3"/>
      <c r="N296" s="3"/>
      <c r="O296" s="2"/>
      <c r="P296" s="277"/>
    </row>
    <row r="297" spans="1:16" ht="30" customHeight="1" x14ac:dyDescent="0.15">
      <c r="A297" s="284" t="s">
        <v>7706</v>
      </c>
      <c r="B297" s="157"/>
      <c r="C297" s="157"/>
      <c r="D297" s="157"/>
      <c r="E297" s="6"/>
      <c r="F297" s="6"/>
      <c r="G297" s="2"/>
      <c r="H297" s="157"/>
      <c r="I297" s="157"/>
      <c r="J297" s="2"/>
      <c r="K297" s="157"/>
      <c r="L297" s="3"/>
      <c r="M297" s="3"/>
      <c r="N297" s="3"/>
      <c r="O297" s="2"/>
      <c r="P297" s="277"/>
    </row>
    <row r="298" spans="1:16" ht="30" customHeight="1" x14ac:dyDescent="0.15">
      <c r="A298" s="284" t="s">
        <v>7707</v>
      </c>
      <c r="B298" s="157"/>
      <c r="C298" s="157"/>
      <c r="D298" s="157"/>
      <c r="E298" s="6"/>
      <c r="F298" s="6"/>
      <c r="G298" s="2"/>
      <c r="H298" s="157"/>
      <c r="I298" s="157"/>
      <c r="J298" s="2"/>
      <c r="K298" s="157"/>
      <c r="L298" s="3"/>
      <c r="M298" s="3"/>
      <c r="N298" s="3"/>
      <c r="O298" s="2"/>
      <c r="P298" s="277"/>
    </row>
    <row r="299" spans="1:16" ht="30" customHeight="1" x14ac:dyDescent="0.15">
      <c r="A299" s="284" t="s">
        <v>7708</v>
      </c>
      <c r="B299" s="157"/>
      <c r="C299" s="157"/>
      <c r="D299" s="157"/>
      <c r="E299" s="6"/>
      <c r="F299" s="6"/>
      <c r="G299" s="2"/>
      <c r="H299" s="157"/>
      <c r="I299" s="157"/>
      <c r="J299" s="2"/>
      <c r="K299" s="157"/>
      <c r="L299" s="3"/>
      <c r="M299" s="3"/>
      <c r="N299" s="3"/>
      <c r="O299" s="2"/>
      <c r="P299" s="277"/>
    </row>
    <row r="300" spans="1:16" ht="30" customHeight="1" x14ac:dyDescent="0.15">
      <c r="A300" s="284" t="s">
        <v>7709</v>
      </c>
      <c r="B300" s="157"/>
      <c r="C300" s="157"/>
      <c r="D300" s="157"/>
      <c r="E300" s="6"/>
      <c r="F300" s="6"/>
      <c r="G300" s="2"/>
      <c r="H300" s="157"/>
      <c r="I300" s="157"/>
      <c r="J300" s="2"/>
      <c r="K300" s="157"/>
      <c r="L300" s="3"/>
      <c r="M300" s="3"/>
      <c r="N300" s="3"/>
      <c r="O300" s="2"/>
      <c r="P300" s="277"/>
    </row>
    <row r="301" spans="1:16" ht="30" customHeight="1" x14ac:dyDescent="0.15">
      <c r="A301" s="284" t="s">
        <v>7710</v>
      </c>
      <c r="B301" s="157"/>
      <c r="C301" s="157"/>
      <c r="D301" s="157"/>
      <c r="E301" s="6"/>
      <c r="F301" s="6"/>
      <c r="G301" s="2"/>
      <c r="H301" s="157"/>
      <c r="I301" s="157"/>
      <c r="J301" s="2"/>
      <c r="K301" s="157"/>
      <c r="L301" s="3"/>
      <c r="M301" s="3"/>
      <c r="N301" s="3"/>
      <c r="O301" s="2"/>
      <c r="P301" s="277"/>
    </row>
    <row r="302" spans="1:16" ht="30" customHeight="1" x14ac:dyDescent="0.15">
      <c r="A302" s="284" t="s">
        <v>7711</v>
      </c>
      <c r="B302" s="157"/>
      <c r="C302" s="157"/>
      <c r="D302" s="157"/>
      <c r="E302" s="6"/>
      <c r="F302" s="6"/>
      <c r="G302" s="2"/>
      <c r="H302" s="157"/>
      <c r="I302" s="157"/>
      <c r="J302" s="2"/>
      <c r="K302" s="157"/>
      <c r="L302" s="3"/>
      <c r="M302" s="3"/>
      <c r="N302" s="3"/>
      <c r="O302" s="2"/>
      <c r="P302" s="277"/>
    </row>
    <row r="303" spans="1:16" ht="30" customHeight="1" x14ac:dyDescent="0.15">
      <c r="A303" s="284" t="s">
        <v>7712</v>
      </c>
      <c r="B303" s="157"/>
      <c r="C303" s="157"/>
      <c r="D303" s="157"/>
      <c r="E303" s="6"/>
      <c r="F303" s="6"/>
      <c r="G303" s="2"/>
      <c r="H303" s="157"/>
      <c r="I303" s="157"/>
      <c r="J303" s="2"/>
      <c r="K303" s="157"/>
      <c r="L303" s="3"/>
      <c r="M303" s="3"/>
      <c r="N303" s="3"/>
      <c r="O303" s="2"/>
      <c r="P303" s="277"/>
    </row>
    <row r="304" spans="1:16" ht="30" customHeight="1" x14ac:dyDescent="0.15">
      <c r="A304" s="284" t="s">
        <v>7713</v>
      </c>
      <c r="B304" s="157"/>
      <c r="C304" s="157"/>
      <c r="D304" s="157"/>
      <c r="E304" s="6"/>
      <c r="F304" s="6"/>
      <c r="G304" s="2"/>
      <c r="H304" s="157"/>
      <c r="I304" s="157"/>
      <c r="J304" s="2"/>
      <c r="K304" s="157"/>
      <c r="L304" s="3"/>
      <c r="M304" s="3"/>
      <c r="N304" s="3"/>
      <c r="O304" s="2"/>
      <c r="P304" s="277"/>
    </row>
    <row r="305" spans="1:16" ht="30" customHeight="1" x14ac:dyDescent="0.15">
      <c r="A305" s="284" t="s">
        <v>7714</v>
      </c>
      <c r="B305" s="157"/>
      <c r="C305" s="157"/>
      <c r="D305" s="157"/>
      <c r="E305" s="6"/>
      <c r="F305" s="6"/>
      <c r="G305" s="2"/>
      <c r="H305" s="157"/>
      <c r="I305" s="157"/>
      <c r="J305" s="2"/>
      <c r="K305" s="157"/>
      <c r="L305" s="3"/>
      <c r="M305" s="3"/>
      <c r="N305" s="3"/>
      <c r="O305" s="2"/>
      <c r="P305" s="277"/>
    </row>
    <row r="306" spans="1:16" ht="30" customHeight="1" x14ac:dyDescent="0.15">
      <c r="A306" s="284" t="s">
        <v>7715</v>
      </c>
      <c r="B306" s="157"/>
      <c r="C306" s="157"/>
      <c r="D306" s="157"/>
      <c r="E306" s="6"/>
      <c r="F306" s="6"/>
      <c r="G306" s="2"/>
      <c r="H306" s="157"/>
      <c r="I306" s="157"/>
      <c r="J306" s="2"/>
      <c r="K306" s="157"/>
      <c r="L306" s="3"/>
      <c r="M306" s="3"/>
      <c r="N306" s="3"/>
      <c r="O306" s="2"/>
      <c r="P306" s="277"/>
    </row>
    <row r="307" spans="1:16" ht="30" customHeight="1" x14ac:dyDescent="0.15">
      <c r="A307" s="284" t="s">
        <v>7716</v>
      </c>
      <c r="B307" s="157"/>
      <c r="C307" s="157"/>
      <c r="D307" s="157"/>
      <c r="E307" s="6"/>
      <c r="F307" s="6"/>
      <c r="G307" s="2"/>
      <c r="H307" s="157"/>
      <c r="I307" s="157"/>
      <c r="J307" s="2"/>
      <c r="K307" s="157"/>
      <c r="L307" s="3"/>
      <c r="M307" s="3"/>
      <c r="N307" s="3"/>
      <c r="O307" s="2"/>
      <c r="P307" s="277"/>
    </row>
    <row r="308" spans="1:16" ht="30" customHeight="1" x14ac:dyDescent="0.15">
      <c r="A308" s="284" t="s">
        <v>7717</v>
      </c>
      <c r="B308" s="157"/>
      <c r="C308" s="157"/>
      <c r="D308" s="157"/>
      <c r="E308" s="6"/>
      <c r="F308" s="6"/>
      <c r="G308" s="2"/>
      <c r="H308" s="157"/>
      <c r="I308" s="157"/>
      <c r="J308" s="2"/>
      <c r="K308" s="157"/>
      <c r="L308" s="3"/>
      <c r="M308" s="3"/>
      <c r="N308" s="3"/>
      <c r="O308" s="2"/>
      <c r="P308" s="277"/>
    </row>
    <row r="309" spans="1:16" ht="30" customHeight="1" x14ac:dyDescent="0.15">
      <c r="A309" s="284" t="s">
        <v>7718</v>
      </c>
      <c r="B309" s="157"/>
      <c r="C309" s="157"/>
      <c r="D309" s="157"/>
      <c r="E309" s="6"/>
      <c r="F309" s="6"/>
      <c r="G309" s="2"/>
      <c r="H309" s="157"/>
      <c r="I309" s="157"/>
      <c r="J309" s="2"/>
      <c r="K309" s="157"/>
      <c r="L309" s="3"/>
      <c r="M309" s="3"/>
      <c r="N309" s="3"/>
      <c r="O309" s="2"/>
      <c r="P309" s="277"/>
    </row>
    <row r="310" spans="1:16" ht="30" customHeight="1" x14ac:dyDescent="0.15">
      <c r="A310" s="284" t="s">
        <v>7719</v>
      </c>
      <c r="B310" s="157"/>
      <c r="C310" s="157"/>
      <c r="D310" s="157"/>
      <c r="E310" s="6"/>
      <c r="F310" s="6"/>
      <c r="G310" s="2"/>
      <c r="H310" s="157"/>
      <c r="I310" s="157"/>
      <c r="J310" s="2"/>
      <c r="K310" s="157"/>
      <c r="L310" s="3"/>
      <c r="M310" s="3"/>
      <c r="N310" s="3"/>
      <c r="O310" s="2"/>
      <c r="P310" s="277"/>
    </row>
    <row r="311" spans="1:16" ht="30" customHeight="1" x14ac:dyDescent="0.15">
      <c r="A311" s="284" t="s">
        <v>7720</v>
      </c>
      <c r="B311" s="157"/>
      <c r="C311" s="157"/>
      <c r="D311" s="157"/>
      <c r="E311" s="6"/>
      <c r="F311" s="6"/>
      <c r="G311" s="2"/>
      <c r="H311" s="157"/>
      <c r="I311" s="157"/>
      <c r="J311" s="2"/>
      <c r="K311" s="157"/>
      <c r="L311" s="3"/>
      <c r="M311" s="3"/>
      <c r="N311" s="3"/>
      <c r="O311" s="2"/>
      <c r="P311" s="277"/>
    </row>
    <row r="312" spans="1:16" ht="30" customHeight="1" x14ac:dyDescent="0.15">
      <c r="A312" s="284" t="s">
        <v>7721</v>
      </c>
      <c r="B312" s="157"/>
      <c r="C312" s="157"/>
      <c r="D312" s="157"/>
      <c r="E312" s="6"/>
      <c r="F312" s="6"/>
      <c r="G312" s="2"/>
      <c r="H312" s="157"/>
      <c r="I312" s="157"/>
      <c r="J312" s="2"/>
      <c r="K312" s="157"/>
      <c r="L312" s="3"/>
      <c r="M312" s="3"/>
      <c r="N312" s="3"/>
      <c r="O312" s="2"/>
      <c r="P312" s="277"/>
    </row>
    <row r="313" spans="1:16" ht="30" customHeight="1" x14ac:dyDescent="0.15">
      <c r="A313" s="284" t="s">
        <v>7722</v>
      </c>
      <c r="B313" s="157"/>
      <c r="C313" s="157"/>
      <c r="D313" s="157"/>
      <c r="E313" s="6"/>
      <c r="F313" s="6"/>
      <c r="G313" s="2"/>
      <c r="H313" s="157"/>
      <c r="I313" s="157"/>
      <c r="J313" s="2"/>
      <c r="K313" s="157"/>
      <c r="L313" s="3"/>
      <c r="M313" s="3"/>
      <c r="N313" s="3"/>
      <c r="O313" s="2"/>
      <c r="P313" s="277"/>
    </row>
    <row r="314" spans="1:16" ht="30" customHeight="1" x14ac:dyDescent="0.15">
      <c r="A314" s="284" t="s">
        <v>7723</v>
      </c>
      <c r="B314" s="157"/>
      <c r="C314" s="157"/>
      <c r="D314" s="157"/>
      <c r="E314" s="6"/>
      <c r="F314" s="6"/>
      <c r="G314" s="2"/>
      <c r="H314" s="157"/>
      <c r="I314" s="157"/>
      <c r="J314" s="2"/>
      <c r="K314" s="157"/>
      <c r="L314" s="3"/>
      <c r="M314" s="3"/>
      <c r="N314" s="3"/>
      <c r="O314" s="2"/>
      <c r="P314" s="277"/>
    </row>
    <row r="315" spans="1:16" ht="30" customHeight="1" x14ac:dyDescent="0.15">
      <c r="A315" s="284" t="s">
        <v>7724</v>
      </c>
      <c r="B315" s="157"/>
      <c r="C315" s="157"/>
      <c r="D315" s="157"/>
      <c r="E315" s="6"/>
      <c r="F315" s="6"/>
      <c r="G315" s="2"/>
      <c r="H315" s="157"/>
      <c r="I315" s="157"/>
      <c r="J315" s="2"/>
      <c r="K315" s="157"/>
      <c r="L315" s="3"/>
      <c r="M315" s="3"/>
      <c r="N315" s="3"/>
      <c r="O315" s="2"/>
      <c r="P315" s="277"/>
    </row>
    <row r="316" spans="1:16" ht="30" customHeight="1" x14ac:dyDescent="0.15">
      <c r="A316" s="284" t="s">
        <v>7725</v>
      </c>
      <c r="B316" s="157"/>
      <c r="C316" s="157"/>
      <c r="D316" s="157"/>
      <c r="E316" s="6"/>
      <c r="F316" s="6"/>
      <c r="G316" s="2"/>
      <c r="H316" s="157"/>
      <c r="I316" s="157"/>
      <c r="J316" s="2"/>
      <c r="K316" s="157"/>
      <c r="L316" s="3"/>
      <c r="M316" s="3"/>
      <c r="N316" s="3"/>
      <c r="O316" s="2"/>
      <c r="P316" s="277"/>
    </row>
    <row r="317" spans="1:16" ht="30" customHeight="1" x14ac:dyDescent="0.15">
      <c r="A317" s="284" t="s">
        <v>7726</v>
      </c>
      <c r="B317" s="157"/>
      <c r="C317" s="157"/>
      <c r="D317" s="157"/>
      <c r="E317" s="6"/>
      <c r="F317" s="6"/>
      <c r="G317" s="2"/>
      <c r="H317" s="157"/>
      <c r="I317" s="157"/>
      <c r="J317" s="2"/>
      <c r="K317" s="157"/>
      <c r="L317" s="3"/>
      <c r="M317" s="3"/>
      <c r="N317" s="3"/>
      <c r="O317" s="2"/>
      <c r="P317" s="277"/>
    </row>
    <row r="318" spans="1:16" ht="30" customHeight="1" x14ac:dyDescent="0.15">
      <c r="A318" s="284" t="s">
        <v>7727</v>
      </c>
      <c r="B318" s="157"/>
      <c r="C318" s="157"/>
      <c r="D318" s="157"/>
      <c r="E318" s="6"/>
      <c r="F318" s="6"/>
      <c r="G318" s="2"/>
      <c r="H318" s="157"/>
      <c r="I318" s="157"/>
      <c r="J318" s="2"/>
      <c r="K318" s="157"/>
      <c r="L318" s="3"/>
      <c r="M318" s="3"/>
      <c r="N318" s="3"/>
      <c r="O318" s="2"/>
      <c r="P318" s="277"/>
    </row>
    <row r="319" spans="1:16" ht="30" customHeight="1" x14ac:dyDescent="0.15">
      <c r="A319" s="284" t="s">
        <v>7728</v>
      </c>
      <c r="B319" s="157"/>
      <c r="C319" s="157"/>
      <c r="D319" s="157"/>
      <c r="E319" s="6"/>
      <c r="F319" s="6"/>
      <c r="G319" s="2"/>
      <c r="H319" s="157"/>
      <c r="I319" s="157"/>
      <c r="J319" s="2"/>
      <c r="K319" s="157"/>
      <c r="L319" s="3"/>
      <c r="M319" s="3"/>
      <c r="N319" s="3"/>
      <c r="O319" s="2"/>
      <c r="P319" s="277"/>
    </row>
    <row r="320" spans="1:16" ht="30" customHeight="1" x14ac:dyDescent="0.15">
      <c r="A320" s="284" t="s">
        <v>7729</v>
      </c>
      <c r="B320" s="157"/>
      <c r="C320" s="157"/>
      <c r="D320" s="157"/>
      <c r="E320" s="6"/>
      <c r="F320" s="6"/>
      <c r="G320" s="2"/>
      <c r="H320" s="157"/>
      <c r="I320" s="157"/>
      <c r="J320" s="2"/>
      <c r="K320" s="157"/>
      <c r="L320" s="3"/>
      <c r="M320" s="3"/>
      <c r="N320" s="3"/>
      <c r="O320" s="2"/>
      <c r="P320" s="277"/>
    </row>
    <row r="321" spans="1:16" ht="30" customHeight="1" x14ac:dyDescent="0.15">
      <c r="A321" s="284" t="s">
        <v>7730</v>
      </c>
      <c r="B321" s="157"/>
      <c r="C321" s="157"/>
      <c r="D321" s="157"/>
      <c r="E321" s="6"/>
      <c r="F321" s="6"/>
      <c r="G321" s="2"/>
      <c r="H321" s="157"/>
      <c r="I321" s="157"/>
      <c r="J321" s="2"/>
      <c r="K321" s="157"/>
      <c r="L321" s="3"/>
      <c r="M321" s="3"/>
      <c r="N321" s="3"/>
      <c r="O321" s="2"/>
      <c r="P321" s="277"/>
    </row>
    <row r="322" spans="1:16" ht="30" customHeight="1" x14ac:dyDescent="0.15">
      <c r="A322" s="284" t="s">
        <v>7731</v>
      </c>
      <c r="B322" s="157"/>
      <c r="C322" s="157"/>
      <c r="D322" s="157"/>
      <c r="E322" s="6"/>
      <c r="F322" s="6"/>
      <c r="G322" s="2"/>
      <c r="H322" s="157"/>
      <c r="I322" s="157"/>
      <c r="J322" s="2"/>
      <c r="K322" s="157"/>
      <c r="L322" s="3"/>
      <c r="M322" s="3"/>
      <c r="N322" s="3"/>
      <c r="O322" s="2"/>
      <c r="P322" s="277"/>
    </row>
    <row r="323" spans="1:16" ht="30" customHeight="1" x14ac:dyDescent="0.15">
      <c r="A323" s="284" t="s">
        <v>7732</v>
      </c>
      <c r="B323" s="157"/>
      <c r="C323" s="157"/>
      <c r="D323" s="157"/>
      <c r="E323" s="6"/>
      <c r="F323" s="6"/>
      <c r="G323" s="2"/>
      <c r="H323" s="157"/>
      <c r="I323" s="157"/>
      <c r="J323" s="2"/>
      <c r="K323" s="157"/>
      <c r="L323" s="3"/>
      <c r="M323" s="3"/>
      <c r="N323" s="3"/>
      <c r="O323" s="2"/>
      <c r="P323" s="277"/>
    </row>
    <row r="324" spans="1:16" ht="30" customHeight="1" x14ac:dyDescent="0.15">
      <c r="A324" s="284" t="s">
        <v>7733</v>
      </c>
      <c r="B324" s="157"/>
      <c r="C324" s="157"/>
      <c r="D324" s="157"/>
      <c r="E324" s="6"/>
      <c r="F324" s="6"/>
      <c r="G324" s="2"/>
      <c r="H324" s="157"/>
      <c r="I324" s="157"/>
      <c r="J324" s="2"/>
      <c r="K324" s="157"/>
      <c r="L324" s="3"/>
      <c r="M324" s="3"/>
      <c r="N324" s="3"/>
      <c r="O324" s="2"/>
      <c r="P324" s="277"/>
    </row>
    <row r="325" spans="1:16" ht="30" customHeight="1" x14ac:dyDescent="0.15">
      <c r="A325" s="284" t="s">
        <v>7734</v>
      </c>
      <c r="B325" s="157"/>
      <c r="C325" s="157"/>
      <c r="D325" s="157"/>
      <c r="E325" s="6"/>
      <c r="F325" s="6"/>
      <c r="G325" s="2"/>
      <c r="H325" s="157"/>
      <c r="I325" s="157"/>
      <c r="J325" s="2"/>
      <c r="K325" s="157"/>
      <c r="L325" s="3"/>
      <c r="M325" s="3"/>
      <c r="N325" s="3"/>
      <c r="O325" s="2"/>
      <c r="P325" s="277"/>
    </row>
    <row r="326" spans="1:16" ht="30" customHeight="1" x14ac:dyDescent="0.15">
      <c r="A326" s="284" t="s">
        <v>7735</v>
      </c>
      <c r="B326" s="157"/>
      <c r="C326" s="157"/>
      <c r="D326" s="157"/>
      <c r="E326" s="6"/>
      <c r="F326" s="6"/>
      <c r="G326" s="2"/>
      <c r="H326" s="157"/>
      <c r="I326" s="157"/>
      <c r="J326" s="2"/>
      <c r="K326" s="157"/>
      <c r="L326" s="3"/>
      <c r="M326" s="3"/>
      <c r="N326" s="3"/>
      <c r="O326" s="2"/>
      <c r="P326" s="277"/>
    </row>
    <row r="327" spans="1:16" ht="30" customHeight="1" x14ac:dyDescent="0.15">
      <c r="A327" s="284" t="s">
        <v>7736</v>
      </c>
      <c r="B327" s="157"/>
      <c r="C327" s="157"/>
      <c r="D327" s="157"/>
      <c r="E327" s="6"/>
      <c r="F327" s="6"/>
      <c r="G327" s="2"/>
      <c r="H327" s="157"/>
      <c r="I327" s="157"/>
      <c r="J327" s="2"/>
      <c r="K327" s="157"/>
      <c r="L327" s="3"/>
      <c r="M327" s="3"/>
      <c r="N327" s="3"/>
      <c r="O327" s="2"/>
      <c r="P327" s="277"/>
    </row>
    <row r="328" spans="1:16" ht="30" customHeight="1" x14ac:dyDescent="0.15">
      <c r="A328" s="284" t="s">
        <v>7737</v>
      </c>
      <c r="B328" s="157"/>
      <c r="C328" s="157"/>
      <c r="D328" s="157"/>
      <c r="E328" s="6"/>
      <c r="F328" s="6"/>
      <c r="G328" s="2"/>
      <c r="H328" s="157"/>
      <c r="I328" s="157"/>
      <c r="J328" s="2"/>
      <c r="K328" s="157"/>
      <c r="L328" s="3"/>
      <c r="M328" s="3"/>
      <c r="N328" s="3"/>
      <c r="O328" s="2"/>
      <c r="P328" s="277"/>
    </row>
    <row r="329" spans="1:16" ht="30" customHeight="1" x14ac:dyDescent="0.15">
      <c r="A329" s="284" t="s">
        <v>7738</v>
      </c>
      <c r="B329" s="157"/>
      <c r="C329" s="157"/>
      <c r="D329" s="157"/>
      <c r="E329" s="6"/>
      <c r="F329" s="6"/>
      <c r="G329" s="2"/>
      <c r="H329" s="157"/>
      <c r="I329" s="157"/>
      <c r="J329" s="2"/>
      <c r="K329" s="157"/>
      <c r="L329" s="3"/>
      <c r="M329" s="3"/>
      <c r="N329" s="3"/>
      <c r="O329" s="2"/>
      <c r="P329" s="277"/>
    </row>
    <row r="330" spans="1:16" ht="30" customHeight="1" x14ac:dyDescent="0.15">
      <c r="A330" s="284" t="s">
        <v>7739</v>
      </c>
      <c r="B330" s="157"/>
      <c r="C330" s="157"/>
      <c r="D330" s="157"/>
      <c r="E330" s="6"/>
      <c r="F330" s="6"/>
      <c r="G330" s="2"/>
      <c r="H330" s="157"/>
      <c r="I330" s="157"/>
      <c r="J330" s="2"/>
      <c r="K330" s="157"/>
      <c r="L330" s="3"/>
      <c r="M330" s="3"/>
      <c r="N330" s="3"/>
      <c r="O330" s="2"/>
      <c r="P330" s="277"/>
    </row>
    <row r="331" spans="1:16" ht="30" customHeight="1" x14ac:dyDescent="0.15">
      <c r="A331" s="284" t="s">
        <v>7740</v>
      </c>
      <c r="B331" s="157"/>
      <c r="C331" s="157"/>
      <c r="D331" s="157"/>
      <c r="E331" s="6"/>
      <c r="F331" s="6"/>
      <c r="G331" s="2"/>
      <c r="H331" s="157"/>
      <c r="I331" s="157"/>
      <c r="J331" s="2"/>
      <c r="K331" s="157"/>
      <c r="L331" s="3"/>
      <c r="M331" s="3"/>
      <c r="N331" s="3"/>
      <c r="O331" s="2"/>
      <c r="P331" s="277"/>
    </row>
    <row r="332" spans="1:16" ht="30" customHeight="1" x14ac:dyDescent="0.15">
      <c r="A332" s="284" t="s">
        <v>7741</v>
      </c>
      <c r="B332" s="157"/>
      <c r="C332" s="157"/>
      <c r="D332" s="157"/>
      <c r="E332" s="6"/>
      <c r="F332" s="6"/>
      <c r="G332" s="2"/>
      <c r="H332" s="157"/>
      <c r="I332" s="157"/>
      <c r="J332" s="2"/>
      <c r="K332" s="157"/>
      <c r="L332" s="3"/>
      <c r="M332" s="3"/>
      <c r="N332" s="3"/>
      <c r="O332" s="2"/>
      <c r="P332" s="277"/>
    </row>
    <row r="333" spans="1:16" ht="30" customHeight="1" x14ac:dyDescent="0.15">
      <c r="A333" s="284" t="s">
        <v>7742</v>
      </c>
      <c r="B333" s="157"/>
      <c r="C333" s="157"/>
      <c r="D333" s="157"/>
      <c r="E333" s="6"/>
      <c r="F333" s="6"/>
      <c r="G333" s="2"/>
      <c r="H333" s="157"/>
      <c r="I333" s="157"/>
      <c r="J333" s="2"/>
      <c r="K333" s="157"/>
      <c r="L333" s="3"/>
      <c r="M333" s="3"/>
      <c r="N333" s="3"/>
      <c r="O333" s="2"/>
      <c r="P333" s="277"/>
    </row>
    <row r="334" spans="1:16" ht="30" customHeight="1" x14ac:dyDescent="0.15">
      <c r="A334" s="284" t="s">
        <v>7743</v>
      </c>
      <c r="B334" s="157"/>
      <c r="C334" s="157"/>
      <c r="D334" s="157"/>
      <c r="E334" s="6"/>
      <c r="F334" s="6"/>
      <c r="G334" s="2"/>
      <c r="H334" s="157"/>
      <c r="I334" s="157"/>
      <c r="J334" s="2"/>
      <c r="K334" s="157"/>
      <c r="L334" s="3"/>
      <c r="M334" s="3"/>
      <c r="N334" s="3"/>
      <c r="O334" s="2"/>
      <c r="P334" s="277"/>
    </row>
    <row r="335" spans="1:16" ht="30" customHeight="1" x14ac:dyDescent="0.15">
      <c r="A335" s="284" t="s">
        <v>7744</v>
      </c>
      <c r="B335" s="157"/>
      <c r="C335" s="157"/>
      <c r="D335" s="157"/>
      <c r="E335" s="6"/>
      <c r="F335" s="6"/>
      <c r="G335" s="2"/>
      <c r="H335" s="157"/>
      <c r="I335" s="157"/>
      <c r="J335" s="2"/>
      <c r="K335" s="157"/>
      <c r="L335" s="3"/>
      <c r="M335" s="3"/>
      <c r="N335" s="3"/>
      <c r="O335" s="2"/>
      <c r="P335" s="277"/>
    </row>
    <row r="336" spans="1:16" ht="30" customHeight="1" x14ac:dyDescent="0.15">
      <c r="A336" s="284" t="s">
        <v>7745</v>
      </c>
      <c r="B336" s="157"/>
      <c r="C336" s="157"/>
      <c r="D336" s="157"/>
      <c r="E336" s="6"/>
      <c r="F336" s="6"/>
      <c r="G336" s="2"/>
      <c r="H336" s="157"/>
      <c r="I336" s="157"/>
      <c r="J336" s="2"/>
      <c r="K336" s="157"/>
      <c r="L336" s="3"/>
      <c r="M336" s="3"/>
      <c r="N336" s="3"/>
      <c r="O336" s="2"/>
      <c r="P336" s="277"/>
    </row>
    <row r="337" spans="1:16" ht="30" customHeight="1" x14ac:dyDescent="0.15">
      <c r="A337" s="284" t="s">
        <v>7746</v>
      </c>
      <c r="B337" s="157"/>
      <c r="C337" s="157"/>
      <c r="D337" s="157"/>
      <c r="E337" s="6"/>
      <c r="F337" s="6"/>
      <c r="G337" s="2"/>
      <c r="H337" s="157"/>
      <c r="I337" s="157"/>
      <c r="J337" s="2"/>
      <c r="K337" s="157"/>
      <c r="L337" s="3"/>
      <c r="M337" s="3"/>
      <c r="N337" s="3"/>
      <c r="O337" s="2"/>
      <c r="P337" s="277"/>
    </row>
    <row r="338" spans="1:16" ht="30" customHeight="1" x14ac:dyDescent="0.15">
      <c r="A338" s="284" t="s">
        <v>7747</v>
      </c>
      <c r="B338" s="157"/>
      <c r="C338" s="157"/>
      <c r="D338" s="157"/>
      <c r="E338" s="6"/>
      <c r="F338" s="6"/>
      <c r="G338" s="2"/>
      <c r="H338" s="157"/>
      <c r="I338" s="157"/>
      <c r="J338" s="2"/>
      <c r="K338" s="157"/>
      <c r="L338" s="3"/>
      <c r="M338" s="3"/>
      <c r="N338" s="3"/>
      <c r="O338" s="2"/>
      <c r="P338" s="277"/>
    </row>
    <row r="339" spans="1:16" ht="30" customHeight="1" x14ac:dyDescent="0.15">
      <c r="A339" s="284" t="s">
        <v>7748</v>
      </c>
      <c r="B339" s="157"/>
      <c r="C339" s="157"/>
      <c r="D339" s="157"/>
      <c r="E339" s="6"/>
      <c r="F339" s="6"/>
      <c r="G339" s="2"/>
      <c r="H339" s="157"/>
      <c r="I339" s="157"/>
      <c r="J339" s="2"/>
      <c r="K339" s="157"/>
      <c r="L339" s="3"/>
      <c r="M339" s="3"/>
      <c r="N339" s="3"/>
      <c r="O339" s="2"/>
      <c r="P339" s="277"/>
    </row>
    <row r="340" spans="1:16" ht="30" customHeight="1" x14ac:dyDescent="0.15">
      <c r="A340" s="284" t="s">
        <v>7749</v>
      </c>
      <c r="B340" s="157"/>
      <c r="C340" s="157"/>
      <c r="D340" s="157"/>
      <c r="E340" s="6"/>
      <c r="F340" s="6"/>
      <c r="G340" s="2"/>
      <c r="H340" s="157"/>
      <c r="I340" s="157"/>
      <c r="J340" s="2"/>
      <c r="K340" s="157"/>
      <c r="L340" s="3"/>
      <c r="M340" s="3"/>
      <c r="N340" s="3"/>
      <c r="O340" s="2"/>
      <c r="P340" s="277"/>
    </row>
    <row r="341" spans="1:16" ht="30" customHeight="1" x14ac:dyDescent="0.15">
      <c r="A341" s="284" t="s">
        <v>7750</v>
      </c>
      <c r="B341" s="157"/>
      <c r="C341" s="157"/>
      <c r="D341" s="157"/>
      <c r="E341" s="6"/>
      <c r="F341" s="6"/>
      <c r="G341" s="2"/>
      <c r="H341" s="157"/>
      <c r="I341" s="157"/>
      <c r="J341" s="2"/>
      <c r="K341" s="157"/>
      <c r="L341" s="3"/>
      <c r="M341" s="3"/>
      <c r="N341" s="3"/>
      <c r="O341" s="2"/>
      <c r="P341" s="277"/>
    </row>
    <row r="342" spans="1:16" ht="30" customHeight="1" x14ac:dyDescent="0.15">
      <c r="A342" s="284" t="s">
        <v>7751</v>
      </c>
      <c r="B342" s="157"/>
      <c r="C342" s="157"/>
      <c r="D342" s="157"/>
      <c r="E342" s="6"/>
      <c r="F342" s="6"/>
      <c r="G342" s="2"/>
      <c r="H342" s="157"/>
      <c r="I342" s="157"/>
      <c r="J342" s="2"/>
      <c r="K342" s="157"/>
      <c r="L342" s="3"/>
      <c r="M342" s="3"/>
      <c r="N342" s="3"/>
      <c r="O342" s="2"/>
      <c r="P342" s="277"/>
    </row>
    <row r="343" spans="1:16" ht="30" customHeight="1" x14ac:dyDescent="0.15">
      <c r="A343" s="284" t="s">
        <v>7752</v>
      </c>
      <c r="B343" s="157"/>
      <c r="C343" s="157"/>
      <c r="D343" s="157"/>
      <c r="E343" s="6"/>
      <c r="F343" s="6"/>
      <c r="G343" s="2"/>
      <c r="H343" s="157"/>
      <c r="I343" s="157"/>
      <c r="J343" s="2"/>
      <c r="K343" s="157"/>
      <c r="L343" s="3"/>
      <c r="M343" s="3"/>
      <c r="N343" s="3"/>
      <c r="O343" s="2"/>
      <c r="P343" s="277"/>
    </row>
    <row r="344" spans="1:16" ht="30" customHeight="1" x14ac:dyDescent="0.15">
      <c r="A344" s="284" t="s">
        <v>7753</v>
      </c>
      <c r="B344" s="157"/>
      <c r="C344" s="157"/>
      <c r="D344" s="157"/>
      <c r="E344" s="6"/>
      <c r="F344" s="6"/>
      <c r="G344" s="2"/>
      <c r="H344" s="157"/>
      <c r="I344" s="157"/>
      <c r="J344" s="2"/>
      <c r="K344" s="157"/>
      <c r="L344" s="3"/>
      <c r="M344" s="3"/>
      <c r="N344" s="3"/>
      <c r="O344" s="2"/>
      <c r="P344" s="277"/>
    </row>
    <row r="345" spans="1:16" ht="30" customHeight="1" x14ac:dyDescent="0.15">
      <c r="A345" s="284" t="s">
        <v>7754</v>
      </c>
      <c r="B345" s="157"/>
      <c r="C345" s="157"/>
      <c r="D345" s="157"/>
      <c r="E345" s="6"/>
      <c r="F345" s="6"/>
      <c r="G345" s="2"/>
      <c r="H345" s="157"/>
      <c r="I345" s="157"/>
      <c r="J345" s="2"/>
      <c r="K345" s="157"/>
      <c r="L345" s="3"/>
      <c r="M345" s="3"/>
      <c r="N345" s="3"/>
      <c r="O345" s="2"/>
      <c r="P345" s="277"/>
    </row>
    <row r="346" spans="1:16" ht="30" customHeight="1" x14ac:dyDescent="0.15">
      <c r="A346" s="284" t="s">
        <v>7755</v>
      </c>
      <c r="B346" s="157"/>
      <c r="C346" s="157"/>
      <c r="D346" s="157"/>
      <c r="E346" s="6"/>
      <c r="F346" s="6"/>
      <c r="G346" s="2"/>
      <c r="H346" s="157"/>
      <c r="I346" s="157"/>
      <c r="J346" s="2"/>
      <c r="K346" s="157"/>
      <c r="L346" s="3"/>
      <c r="M346" s="3"/>
      <c r="N346" s="3"/>
      <c r="O346" s="2"/>
      <c r="P346" s="277"/>
    </row>
    <row r="347" spans="1:16" ht="30" customHeight="1" x14ac:dyDescent="0.15">
      <c r="A347" s="284" t="s">
        <v>7756</v>
      </c>
      <c r="B347" s="157"/>
      <c r="C347" s="157"/>
      <c r="D347" s="157"/>
      <c r="E347" s="6"/>
      <c r="F347" s="6"/>
      <c r="G347" s="2"/>
      <c r="H347" s="157"/>
      <c r="I347" s="157"/>
      <c r="J347" s="2"/>
      <c r="K347" s="157"/>
      <c r="L347" s="3"/>
      <c r="M347" s="3"/>
      <c r="N347" s="3"/>
      <c r="O347" s="2"/>
      <c r="P347" s="277"/>
    </row>
    <row r="348" spans="1:16" ht="30" customHeight="1" x14ac:dyDescent="0.15">
      <c r="A348" s="284" t="s">
        <v>7757</v>
      </c>
      <c r="B348" s="157"/>
      <c r="C348" s="157"/>
      <c r="D348" s="157"/>
      <c r="E348" s="6"/>
      <c r="F348" s="6"/>
      <c r="G348" s="2"/>
      <c r="H348" s="157"/>
      <c r="I348" s="157"/>
      <c r="J348" s="2"/>
      <c r="K348" s="157"/>
      <c r="L348" s="3"/>
      <c r="M348" s="3"/>
      <c r="N348" s="3"/>
      <c r="O348" s="2"/>
      <c r="P348" s="277"/>
    </row>
    <row r="349" spans="1:16" ht="30" customHeight="1" x14ac:dyDescent="0.15">
      <c r="A349" s="284" t="s">
        <v>7758</v>
      </c>
      <c r="B349" s="157"/>
      <c r="C349" s="157"/>
      <c r="D349" s="157"/>
      <c r="E349" s="6"/>
      <c r="F349" s="6"/>
      <c r="G349" s="2"/>
      <c r="H349" s="157"/>
      <c r="I349" s="157"/>
      <c r="J349" s="2"/>
      <c r="K349" s="157"/>
      <c r="L349" s="3"/>
      <c r="M349" s="3"/>
      <c r="N349" s="3"/>
      <c r="O349" s="2"/>
      <c r="P349" s="277"/>
    </row>
    <row r="350" spans="1:16" ht="30" customHeight="1" x14ac:dyDescent="0.15">
      <c r="A350" s="284" t="s">
        <v>7759</v>
      </c>
      <c r="B350" s="157"/>
      <c r="C350" s="157"/>
      <c r="D350" s="157"/>
      <c r="E350" s="6"/>
      <c r="F350" s="6"/>
      <c r="G350" s="2"/>
      <c r="H350" s="157"/>
      <c r="I350" s="157"/>
      <c r="J350" s="2"/>
      <c r="K350" s="157"/>
      <c r="L350" s="3"/>
      <c r="M350" s="3"/>
      <c r="N350" s="3"/>
      <c r="O350" s="2"/>
      <c r="P350" s="277"/>
    </row>
    <row r="351" spans="1:16" ht="30" customHeight="1" x14ac:dyDescent="0.15">
      <c r="A351" s="284" t="s">
        <v>7760</v>
      </c>
      <c r="B351" s="157"/>
      <c r="C351" s="157"/>
      <c r="D351" s="157"/>
      <c r="E351" s="6"/>
      <c r="F351" s="6"/>
      <c r="G351" s="2"/>
      <c r="H351" s="157"/>
      <c r="I351" s="157"/>
      <c r="J351" s="2"/>
      <c r="K351" s="157"/>
      <c r="L351" s="3"/>
      <c r="M351" s="3"/>
      <c r="N351" s="3"/>
      <c r="O351" s="2"/>
      <c r="P351" s="277"/>
    </row>
    <row r="352" spans="1:16" ht="30" customHeight="1" x14ac:dyDescent="0.15">
      <c r="A352" s="284" t="s">
        <v>7761</v>
      </c>
      <c r="B352" s="157"/>
      <c r="C352" s="157"/>
      <c r="D352" s="157"/>
      <c r="E352" s="6"/>
      <c r="F352" s="6"/>
      <c r="G352" s="2"/>
      <c r="H352" s="157"/>
      <c r="I352" s="157"/>
      <c r="J352" s="2"/>
      <c r="K352" s="157"/>
      <c r="L352" s="3"/>
      <c r="M352" s="3"/>
      <c r="N352" s="3"/>
      <c r="O352" s="2"/>
      <c r="P352" s="277"/>
    </row>
    <row r="353" spans="1:16" ht="30" customHeight="1" x14ac:dyDescent="0.15">
      <c r="A353" s="284" t="s">
        <v>7762</v>
      </c>
      <c r="B353" s="157"/>
      <c r="C353" s="157"/>
      <c r="D353" s="157"/>
      <c r="E353" s="6"/>
      <c r="F353" s="6"/>
      <c r="G353" s="2"/>
      <c r="H353" s="157"/>
      <c r="I353" s="157"/>
      <c r="J353" s="2"/>
      <c r="K353" s="157"/>
      <c r="L353" s="3"/>
      <c r="M353" s="3"/>
      <c r="N353" s="3"/>
      <c r="O353" s="2"/>
      <c r="P353" s="277"/>
    </row>
    <row r="354" spans="1:16" ht="30" customHeight="1" x14ac:dyDescent="0.15">
      <c r="A354" s="284" t="s">
        <v>7763</v>
      </c>
      <c r="B354" s="157"/>
      <c r="C354" s="157"/>
      <c r="D354" s="157"/>
      <c r="E354" s="6"/>
      <c r="F354" s="6"/>
      <c r="G354" s="2"/>
      <c r="H354" s="157"/>
      <c r="I354" s="157"/>
      <c r="J354" s="2"/>
      <c r="K354" s="157"/>
      <c r="L354" s="3"/>
      <c r="M354" s="3"/>
      <c r="N354" s="3"/>
      <c r="O354" s="2"/>
      <c r="P354" s="277"/>
    </row>
    <row r="355" spans="1:16" ht="30" customHeight="1" x14ac:dyDescent="0.15">
      <c r="A355" s="284" t="s">
        <v>7764</v>
      </c>
      <c r="B355" s="157"/>
      <c r="C355" s="157"/>
      <c r="D355" s="157"/>
      <c r="E355" s="6"/>
      <c r="F355" s="6"/>
      <c r="G355" s="2"/>
      <c r="H355" s="157"/>
      <c r="I355" s="157"/>
      <c r="J355" s="2"/>
      <c r="K355" s="157"/>
      <c r="L355" s="3"/>
      <c r="M355" s="3"/>
      <c r="N355" s="3"/>
      <c r="O355" s="2"/>
      <c r="P355" s="277"/>
    </row>
    <row r="356" spans="1:16" ht="30" customHeight="1" x14ac:dyDescent="0.15">
      <c r="A356" s="284" t="s">
        <v>7765</v>
      </c>
      <c r="B356" s="157"/>
      <c r="C356" s="157"/>
      <c r="D356" s="157"/>
      <c r="E356" s="6"/>
      <c r="F356" s="6"/>
      <c r="G356" s="2"/>
      <c r="H356" s="157"/>
      <c r="I356" s="157"/>
      <c r="J356" s="2"/>
      <c r="K356" s="157"/>
      <c r="L356" s="3"/>
      <c r="M356" s="3"/>
      <c r="N356" s="3"/>
      <c r="O356" s="2"/>
      <c r="P356" s="277"/>
    </row>
    <row r="357" spans="1:16" ht="30" customHeight="1" x14ac:dyDescent="0.15">
      <c r="A357" s="284" t="s">
        <v>7766</v>
      </c>
      <c r="B357" s="157"/>
      <c r="C357" s="157"/>
      <c r="D357" s="157"/>
      <c r="E357" s="6"/>
      <c r="F357" s="6"/>
      <c r="G357" s="2"/>
      <c r="H357" s="157"/>
      <c r="I357" s="157"/>
      <c r="J357" s="2"/>
      <c r="K357" s="157"/>
      <c r="L357" s="3"/>
      <c r="M357" s="3"/>
      <c r="N357" s="3"/>
      <c r="O357" s="2"/>
      <c r="P357" s="277"/>
    </row>
    <row r="358" spans="1:16" ht="30" customHeight="1" x14ac:dyDescent="0.15">
      <c r="A358" s="284" t="s">
        <v>7767</v>
      </c>
      <c r="B358" s="157"/>
      <c r="C358" s="157"/>
      <c r="D358" s="157"/>
      <c r="E358" s="6"/>
      <c r="F358" s="6"/>
      <c r="G358" s="2"/>
      <c r="H358" s="157"/>
      <c r="I358" s="157"/>
      <c r="J358" s="2"/>
      <c r="K358" s="157"/>
      <c r="L358" s="3"/>
      <c r="M358" s="3"/>
      <c r="N358" s="3"/>
      <c r="O358" s="2"/>
      <c r="P358" s="277"/>
    </row>
    <row r="359" spans="1:16" ht="30" customHeight="1" x14ac:dyDescent="0.15">
      <c r="A359" s="284" t="s">
        <v>7768</v>
      </c>
      <c r="B359" s="157"/>
      <c r="C359" s="157"/>
      <c r="D359" s="157"/>
      <c r="E359" s="6"/>
      <c r="F359" s="6"/>
      <c r="G359" s="2"/>
      <c r="H359" s="157"/>
      <c r="I359" s="157"/>
      <c r="J359" s="2"/>
      <c r="K359" s="157"/>
      <c r="L359" s="3"/>
      <c r="M359" s="3"/>
      <c r="N359" s="3"/>
      <c r="O359" s="2"/>
      <c r="P359" s="277"/>
    </row>
    <row r="360" spans="1:16" ht="30" customHeight="1" x14ac:dyDescent="0.15">
      <c r="A360" s="284" t="s">
        <v>7769</v>
      </c>
      <c r="B360" s="157"/>
      <c r="C360" s="157"/>
      <c r="D360" s="157"/>
      <c r="E360" s="6"/>
      <c r="F360" s="6"/>
      <c r="G360" s="2"/>
      <c r="H360" s="157"/>
      <c r="I360" s="157"/>
      <c r="J360" s="2"/>
      <c r="K360" s="157"/>
      <c r="L360" s="3"/>
      <c r="M360" s="3"/>
      <c r="N360" s="3"/>
      <c r="O360" s="2"/>
      <c r="P360" s="277"/>
    </row>
    <row r="361" spans="1:16" ht="30" customHeight="1" x14ac:dyDescent="0.15">
      <c r="A361" s="284" t="s">
        <v>7770</v>
      </c>
      <c r="B361" s="157"/>
      <c r="C361" s="157"/>
      <c r="D361" s="157"/>
      <c r="E361" s="6"/>
      <c r="F361" s="6"/>
      <c r="G361" s="2"/>
      <c r="H361" s="157"/>
      <c r="I361" s="157"/>
      <c r="J361" s="2"/>
      <c r="K361" s="157"/>
      <c r="L361" s="3"/>
      <c r="M361" s="3"/>
      <c r="N361" s="3"/>
      <c r="O361" s="2"/>
      <c r="P361" s="277"/>
    </row>
    <row r="362" spans="1:16" ht="30" customHeight="1" x14ac:dyDescent="0.15">
      <c r="A362" s="284" t="s">
        <v>7771</v>
      </c>
      <c r="B362" s="157"/>
      <c r="C362" s="157"/>
      <c r="D362" s="157"/>
      <c r="E362" s="6"/>
      <c r="F362" s="6"/>
      <c r="G362" s="2"/>
      <c r="H362" s="157"/>
      <c r="I362" s="157"/>
      <c r="J362" s="2"/>
      <c r="K362" s="157"/>
      <c r="L362" s="3"/>
      <c r="M362" s="3"/>
      <c r="N362" s="3"/>
      <c r="O362" s="2"/>
      <c r="P362" s="277"/>
    </row>
    <row r="363" spans="1:16" ht="30" customHeight="1" x14ac:dyDescent="0.15">
      <c r="A363" s="284" t="s">
        <v>7772</v>
      </c>
      <c r="B363" s="157"/>
      <c r="C363" s="157"/>
      <c r="D363" s="157"/>
      <c r="E363" s="6"/>
      <c r="F363" s="6"/>
      <c r="G363" s="2"/>
      <c r="H363" s="157"/>
      <c r="I363" s="157"/>
      <c r="J363" s="2"/>
      <c r="K363" s="157"/>
      <c r="L363" s="3"/>
      <c r="M363" s="3"/>
      <c r="N363" s="3"/>
      <c r="O363" s="2"/>
      <c r="P363" s="277"/>
    </row>
    <row r="364" spans="1:16" ht="30" customHeight="1" x14ac:dyDescent="0.15">
      <c r="A364" s="284" t="s">
        <v>7773</v>
      </c>
      <c r="B364" s="157"/>
      <c r="C364" s="157"/>
      <c r="D364" s="157"/>
      <c r="E364" s="6"/>
      <c r="F364" s="6"/>
      <c r="G364" s="2"/>
      <c r="H364" s="157"/>
      <c r="I364" s="157"/>
      <c r="J364" s="2"/>
      <c r="K364" s="157"/>
      <c r="L364" s="3"/>
      <c r="M364" s="3"/>
      <c r="N364" s="3"/>
      <c r="O364" s="2"/>
      <c r="P364" s="277"/>
    </row>
    <row r="365" spans="1:16" ht="30" customHeight="1" x14ac:dyDescent="0.15">
      <c r="A365" s="284" t="s">
        <v>7774</v>
      </c>
      <c r="B365" s="157"/>
      <c r="C365" s="157"/>
      <c r="D365" s="157"/>
      <c r="E365" s="6"/>
      <c r="F365" s="6"/>
      <c r="G365" s="2"/>
      <c r="H365" s="157"/>
      <c r="I365" s="157"/>
      <c r="J365" s="2"/>
      <c r="K365" s="157"/>
      <c r="L365" s="3"/>
      <c r="M365" s="3"/>
      <c r="N365" s="3"/>
      <c r="O365" s="2"/>
      <c r="P365" s="277"/>
    </row>
    <row r="366" spans="1:16" ht="30" customHeight="1" x14ac:dyDescent="0.15">
      <c r="A366" s="284" t="s">
        <v>7775</v>
      </c>
      <c r="B366" s="157"/>
      <c r="C366" s="157"/>
      <c r="D366" s="157"/>
      <c r="E366" s="6"/>
      <c r="F366" s="6"/>
      <c r="G366" s="2"/>
      <c r="H366" s="157"/>
      <c r="I366" s="157"/>
      <c r="J366" s="2"/>
      <c r="K366" s="157"/>
      <c r="L366" s="3"/>
      <c r="M366" s="3"/>
      <c r="N366" s="3"/>
      <c r="O366" s="2"/>
      <c r="P366" s="277"/>
    </row>
    <row r="367" spans="1:16" ht="30" customHeight="1" x14ac:dyDescent="0.15">
      <c r="A367" s="284" t="s">
        <v>7776</v>
      </c>
      <c r="B367" s="157"/>
      <c r="C367" s="157"/>
      <c r="D367" s="157"/>
      <c r="E367" s="6"/>
      <c r="F367" s="6"/>
      <c r="G367" s="2"/>
      <c r="H367" s="157"/>
      <c r="I367" s="157"/>
      <c r="J367" s="2"/>
      <c r="K367" s="157"/>
      <c r="L367" s="3"/>
      <c r="M367" s="3"/>
      <c r="N367" s="3"/>
      <c r="O367" s="2"/>
      <c r="P367" s="277"/>
    </row>
    <row r="368" spans="1:16" ht="30" customHeight="1" x14ac:dyDescent="0.15">
      <c r="A368" s="284" t="s">
        <v>7777</v>
      </c>
      <c r="B368" s="157"/>
      <c r="C368" s="157"/>
      <c r="D368" s="157"/>
      <c r="E368" s="6"/>
      <c r="F368" s="6"/>
      <c r="G368" s="2"/>
      <c r="H368" s="157"/>
      <c r="I368" s="157"/>
      <c r="J368" s="2"/>
      <c r="K368" s="157"/>
      <c r="L368" s="3"/>
      <c r="M368" s="3"/>
      <c r="N368" s="3"/>
      <c r="O368" s="2"/>
      <c r="P368" s="277"/>
    </row>
    <row r="369" spans="1:16" ht="30" customHeight="1" x14ac:dyDescent="0.15">
      <c r="A369" s="284" t="s">
        <v>7778</v>
      </c>
      <c r="B369" s="157"/>
      <c r="C369" s="157"/>
      <c r="D369" s="157"/>
      <c r="E369" s="6"/>
      <c r="F369" s="6"/>
      <c r="G369" s="2"/>
      <c r="H369" s="157"/>
      <c r="I369" s="157"/>
      <c r="J369" s="2"/>
      <c r="K369" s="157"/>
      <c r="L369" s="3"/>
      <c r="M369" s="3"/>
      <c r="N369" s="3"/>
      <c r="O369" s="2"/>
      <c r="P369" s="277"/>
    </row>
    <row r="370" spans="1:16" ht="30" customHeight="1" x14ac:dyDescent="0.15">
      <c r="A370" s="284" t="s">
        <v>7779</v>
      </c>
      <c r="B370" s="157"/>
      <c r="C370" s="157"/>
      <c r="D370" s="157"/>
      <c r="E370" s="6"/>
      <c r="F370" s="6"/>
      <c r="G370" s="2"/>
      <c r="H370" s="157"/>
      <c r="I370" s="157"/>
      <c r="J370" s="2"/>
      <c r="K370" s="157"/>
      <c r="L370" s="3"/>
      <c r="M370" s="3"/>
      <c r="N370" s="3"/>
      <c r="O370" s="2"/>
      <c r="P370" s="277"/>
    </row>
    <row r="371" spans="1:16" ht="30" customHeight="1" x14ac:dyDescent="0.15">
      <c r="A371" s="284" t="s">
        <v>7780</v>
      </c>
      <c r="B371" s="157"/>
      <c r="C371" s="157"/>
      <c r="D371" s="157"/>
      <c r="E371" s="6"/>
      <c r="F371" s="6"/>
      <c r="G371" s="2"/>
      <c r="H371" s="157"/>
      <c r="I371" s="157"/>
      <c r="J371" s="2"/>
      <c r="K371" s="157"/>
      <c r="L371" s="3"/>
      <c r="M371" s="3"/>
      <c r="N371" s="3"/>
      <c r="O371" s="2"/>
      <c r="P371" s="277"/>
    </row>
    <row r="372" spans="1:16" ht="30" customHeight="1" x14ac:dyDescent="0.15">
      <c r="A372" s="284" t="s">
        <v>7781</v>
      </c>
      <c r="B372" s="157"/>
      <c r="C372" s="157"/>
      <c r="D372" s="157"/>
      <c r="E372" s="6"/>
      <c r="F372" s="6"/>
      <c r="G372" s="2"/>
      <c r="H372" s="157"/>
      <c r="I372" s="157"/>
      <c r="J372" s="2"/>
      <c r="K372" s="157"/>
      <c r="L372" s="3"/>
      <c r="M372" s="3"/>
      <c r="N372" s="3"/>
      <c r="O372" s="2"/>
      <c r="P372" s="277"/>
    </row>
    <row r="373" spans="1:16" ht="30" customHeight="1" x14ac:dyDescent="0.15">
      <c r="A373" s="284" t="s">
        <v>7782</v>
      </c>
      <c r="B373" s="157"/>
      <c r="C373" s="157"/>
      <c r="D373" s="157"/>
      <c r="E373" s="6"/>
      <c r="F373" s="6"/>
      <c r="G373" s="2"/>
      <c r="H373" s="157"/>
      <c r="I373" s="157"/>
      <c r="J373" s="2"/>
      <c r="K373" s="157"/>
      <c r="L373" s="3"/>
      <c r="M373" s="3"/>
      <c r="N373" s="3"/>
      <c r="O373" s="2"/>
      <c r="P373" s="277"/>
    </row>
    <row r="374" spans="1:16" ht="30" customHeight="1" x14ac:dyDescent="0.15">
      <c r="A374" s="284" t="s">
        <v>7783</v>
      </c>
      <c r="B374" s="157"/>
      <c r="C374" s="157"/>
      <c r="D374" s="157"/>
      <c r="E374" s="6"/>
      <c r="F374" s="6"/>
      <c r="G374" s="2"/>
      <c r="H374" s="157"/>
      <c r="I374" s="157"/>
      <c r="J374" s="2"/>
      <c r="K374" s="157"/>
      <c r="L374" s="3"/>
      <c r="M374" s="3"/>
      <c r="N374" s="3"/>
      <c r="O374" s="2"/>
      <c r="P374" s="277"/>
    </row>
    <row r="375" spans="1:16" ht="30" customHeight="1" x14ac:dyDescent="0.15">
      <c r="A375" s="284" t="s">
        <v>7784</v>
      </c>
      <c r="B375" s="157"/>
      <c r="C375" s="157"/>
      <c r="D375" s="157"/>
      <c r="E375" s="6"/>
      <c r="F375" s="6"/>
      <c r="G375" s="2"/>
      <c r="H375" s="157"/>
      <c r="I375" s="157"/>
      <c r="J375" s="2"/>
      <c r="K375" s="157"/>
      <c r="L375" s="3"/>
      <c r="M375" s="3"/>
      <c r="N375" s="3"/>
      <c r="O375" s="2"/>
      <c r="P375" s="277"/>
    </row>
    <row r="376" spans="1:16" ht="30" customHeight="1" x14ac:dyDescent="0.15">
      <c r="A376" s="284" t="s">
        <v>7785</v>
      </c>
      <c r="B376" s="157"/>
      <c r="C376" s="157"/>
      <c r="D376" s="157"/>
      <c r="E376" s="6"/>
      <c r="F376" s="6"/>
      <c r="G376" s="2"/>
      <c r="H376" s="157"/>
      <c r="I376" s="157"/>
      <c r="J376" s="2"/>
      <c r="K376" s="157"/>
      <c r="L376" s="3"/>
      <c r="M376" s="3"/>
      <c r="N376" s="3"/>
      <c r="O376" s="2"/>
      <c r="P376" s="277"/>
    </row>
    <row r="377" spans="1:16" ht="30" customHeight="1" x14ac:dyDescent="0.15">
      <c r="A377" s="284" t="s">
        <v>7786</v>
      </c>
      <c r="B377" s="157"/>
      <c r="C377" s="157"/>
      <c r="D377" s="157"/>
      <c r="E377" s="6"/>
      <c r="F377" s="6"/>
      <c r="G377" s="2"/>
      <c r="H377" s="157"/>
      <c r="I377" s="157"/>
      <c r="J377" s="2"/>
      <c r="K377" s="157"/>
      <c r="L377" s="3"/>
      <c r="M377" s="3"/>
      <c r="N377" s="3"/>
      <c r="O377" s="2"/>
      <c r="P377" s="277"/>
    </row>
    <row r="378" spans="1:16" ht="30" customHeight="1" x14ac:dyDescent="0.15">
      <c r="A378" s="284" t="s">
        <v>7787</v>
      </c>
      <c r="B378" s="157"/>
      <c r="C378" s="157"/>
      <c r="D378" s="157"/>
      <c r="E378" s="6"/>
      <c r="F378" s="6"/>
      <c r="G378" s="2"/>
      <c r="H378" s="157"/>
      <c r="I378" s="157"/>
      <c r="J378" s="2"/>
      <c r="K378" s="157"/>
      <c r="L378" s="3"/>
      <c r="M378" s="3"/>
      <c r="N378" s="3"/>
      <c r="O378" s="2"/>
      <c r="P378" s="277"/>
    </row>
    <row r="379" spans="1:16" ht="30" customHeight="1" x14ac:dyDescent="0.15">
      <c r="A379" s="284" t="s">
        <v>7788</v>
      </c>
      <c r="B379" s="157"/>
      <c r="C379" s="157"/>
      <c r="D379" s="157"/>
      <c r="E379" s="6"/>
      <c r="F379" s="6"/>
      <c r="G379" s="2"/>
      <c r="H379" s="157"/>
      <c r="I379" s="157"/>
      <c r="J379" s="2"/>
      <c r="K379" s="157"/>
      <c r="L379" s="3"/>
      <c r="M379" s="3"/>
      <c r="N379" s="3"/>
      <c r="O379" s="2"/>
      <c r="P379" s="277"/>
    </row>
    <row r="380" spans="1:16" ht="30" customHeight="1" x14ac:dyDescent="0.15">
      <c r="A380" s="284" t="s">
        <v>7789</v>
      </c>
      <c r="B380" s="157"/>
      <c r="C380" s="157"/>
      <c r="D380" s="157"/>
      <c r="E380" s="6"/>
      <c r="F380" s="6"/>
      <c r="G380" s="2"/>
      <c r="H380" s="157"/>
      <c r="I380" s="157"/>
      <c r="J380" s="2"/>
      <c r="K380" s="157"/>
      <c r="L380" s="3"/>
      <c r="M380" s="3"/>
      <c r="N380" s="3"/>
      <c r="O380" s="2"/>
      <c r="P380" s="277"/>
    </row>
    <row r="381" spans="1:16" ht="30" customHeight="1" x14ac:dyDescent="0.15">
      <c r="A381" s="284" t="s">
        <v>7790</v>
      </c>
      <c r="B381" s="157"/>
      <c r="C381" s="157"/>
      <c r="D381" s="157"/>
      <c r="E381" s="6"/>
      <c r="F381" s="6"/>
      <c r="G381" s="2"/>
      <c r="H381" s="157"/>
      <c r="I381" s="157"/>
      <c r="J381" s="2"/>
      <c r="K381" s="157"/>
      <c r="L381" s="3"/>
      <c r="M381" s="3"/>
      <c r="N381" s="3"/>
      <c r="O381" s="2"/>
      <c r="P381" s="277"/>
    </row>
    <row r="382" spans="1:16" ht="30" customHeight="1" x14ac:dyDescent="0.15">
      <c r="A382" s="284" t="s">
        <v>7791</v>
      </c>
      <c r="B382" s="157"/>
      <c r="C382" s="157"/>
      <c r="D382" s="157"/>
      <c r="E382" s="6"/>
      <c r="F382" s="6"/>
      <c r="G382" s="2"/>
      <c r="H382" s="157"/>
      <c r="I382" s="157"/>
      <c r="J382" s="2"/>
      <c r="K382" s="157"/>
      <c r="L382" s="3"/>
      <c r="M382" s="3"/>
      <c r="N382" s="3"/>
      <c r="O382" s="2"/>
      <c r="P382" s="277"/>
    </row>
    <row r="383" spans="1:16" ht="30" customHeight="1" x14ac:dyDescent="0.15">
      <c r="A383" s="284" t="s">
        <v>7792</v>
      </c>
      <c r="B383" s="157"/>
      <c r="C383" s="157"/>
      <c r="D383" s="157"/>
      <c r="E383" s="6"/>
      <c r="F383" s="6"/>
      <c r="G383" s="2"/>
      <c r="H383" s="157"/>
      <c r="I383" s="157"/>
      <c r="J383" s="2"/>
      <c r="K383" s="157"/>
      <c r="L383" s="3"/>
      <c r="M383" s="3"/>
      <c r="N383" s="3"/>
      <c r="O383" s="2"/>
      <c r="P383" s="277"/>
    </row>
    <row r="384" spans="1:16" ht="30" customHeight="1" x14ac:dyDescent="0.15">
      <c r="A384" s="284" t="s">
        <v>7793</v>
      </c>
      <c r="B384" s="157"/>
      <c r="C384" s="157"/>
      <c r="D384" s="157"/>
      <c r="E384" s="6"/>
      <c r="F384" s="6"/>
      <c r="G384" s="2"/>
      <c r="H384" s="157"/>
      <c r="I384" s="157"/>
      <c r="J384" s="2"/>
      <c r="K384" s="157"/>
      <c r="L384" s="3"/>
      <c r="M384" s="3"/>
      <c r="N384" s="3"/>
      <c r="O384" s="2"/>
      <c r="P384" s="277"/>
    </row>
    <row r="385" spans="1:16" ht="30" customHeight="1" x14ac:dyDescent="0.15">
      <c r="A385" s="284" t="s">
        <v>7794</v>
      </c>
      <c r="B385" s="157"/>
      <c r="C385" s="157"/>
      <c r="D385" s="157"/>
      <c r="E385" s="6"/>
      <c r="F385" s="6"/>
      <c r="G385" s="2"/>
      <c r="H385" s="157"/>
      <c r="I385" s="157"/>
      <c r="J385" s="2"/>
      <c r="K385" s="157"/>
      <c r="L385" s="3"/>
      <c r="M385" s="3"/>
      <c r="N385" s="3"/>
      <c r="O385" s="2"/>
      <c r="P385" s="277"/>
    </row>
    <row r="386" spans="1:16" ht="30" customHeight="1" x14ac:dyDescent="0.15">
      <c r="A386" s="284" t="s">
        <v>7795</v>
      </c>
      <c r="B386" s="157"/>
      <c r="C386" s="157"/>
      <c r="D386" s="157"/>
      <c r="E386" s="6"/>
      <c r="F386" s="6"/>
      <c r="G386" s="2"/>
      <c r="H386" s="157"/>
      <c r="I386" s="157"/>
      <c r="J386" s="2"/>
      <c r="K386" s="157"/>
      <c r="L386" s="3"/>
      <c r="M386" s="3"/>
      <c r="N386" s="3"/>
      <c r="O386" s="2"/>
      <c r="P386" s="277"/>
    </row>
    <row r="387" spans="1:16" ht="30" customHeight="1" x14ac:dyDescent="0.15">
      <c r="A387" s="284" t="s">
        <v>7796</v>
      </c>
      <c r="B387" s="157"/>
      <c r="C387" s="157"/>
      <c r="D387" s="157"/>
      <c r="E387" s="6"/>
      <c r="F387" s="6"/>
      <c r="G387" s="2"/>
      <c r="H387" s="157"/>
      <c r="I387" s="157"/>
      <c r="J387" s="2"/>
      <c r="K387" s="157"/>
      <c r="L387" s="3"/>
      <c r="M387" s="3"/>
      <c r="N387" s="3"/>
      <c r="O387" s="2"/>
      <c r="P387" s="277"/>
    </row>
    <row r="388" spans="1:16" ht="30" customHeight="1" x14ac:dyDescent="0.15">
      <c r="A388" s="284" t="s">
        <v>7797</v>
      </c>
      <c r="B388" s="157"/>
      <c r="C388" s="157"/>
      <c r="D388" s="157"/>
      <c r="E388" s="6"/>
      <c r="F388" s="6"/>
      <c r="G388" s="2"/>
      <c r="H388" s="157"/>
      <c r="I388" s="157"/>
      <c r="J388" s="2"/>
      <c r="K388" s="157"/>
      <c r="L388" s="3"/>
      <c r="M388" s="3"/>
      <c r="N388" s="3"/>
      <c r="O388" s="2"/>
      <c r="P388" s="277"/>
    </row>
    <row r="389" spans="1:16" ht="30" customHeight="1" x14ac:dyDescent="0.15">
      <c r="A389" s="284" t="s">
        <v>7798</v>
      </c>
      <c r="B389" s="157"/>
      <c r="C389" s="157"/>
      <c r="D389" s="157"/>
      <c r="E389" s="6"/>
      <c r="F389" s="6"/>
      <c r="G389" s="2"/>
      <c r="H389" s="157"/>
      <c r="I389" s="157"/>
      <c r="J389" s="2"/>
      <c r="K389" s="157"/>
      <c r="L389" s="3"/>
      <c r="M389" s="3"/>
      <c r="N389" s="3"/>
      <c r="O389" s="2"/>
      <c r="P389" s="277"/>
    </row>
    <row r="390" spans="1:16" ht="30" customHeight="1" x14ac:dyDescent="0.15">
      <c r="A390" s="284" t="s">
        <v>7799</v>
      </c>
      <c r="B390" s="157"/>
      <c r="C390" s="157"/>
      <c r="D390" s="157"/>
      <c r="E390" s="6"/>
      <c r="F390" s="6"/>
      <c r="G390" s="2"/>
      <c r="H390" s="157"/>
      <c r="I390" s="157"/>
      <c r="J390" s="2"/>
      <c r="K390" s="157"/>
      <c r="L390" s="3"/>
      <c r="M390" s="3"/>
      <c r="N390" s="3"/>
      <c r="O390" s="2"/>
      <c r="P390" s="277"/>
    </row>
    <row r="391" spans="1:16" ht="30" customHeight="1" x14ac:dyDescent="0.15">
      <c r="A391" s="284" t="s">
        <v>7800</v>
      </c>
      <c r="B391" s="157"/>
      <c r="C391" s="157"/>
      <c r="D391" s="157"/>
      <c r="E391" s="6"/>
      <c r="F391" s="6"/>
      <c r="G391" s="2"/>
      <c r="H391" s="157"/>
      <c r="I391" s="157"/>
      <c r="J391" s="2"/>
      <c r="K391" s="157"/>
      <c r="L391" s="3"/>
      <c r="M391" s="3"/>
      <c r="N391" s="3"/>
      <c r="O391" s="2"/>
      <c r="P391" s="277"/>
    </row>
    <row r="392" spans="1:16" ht="30" customHeight="1" x14ac:dyDescent="0.15">
      <c r="A392" s="284" t="s">
        <v>7801</v>
      </c>
      <c r="B392" s="157"/>
      <c r="C392" s="157"/>
      <c r="D392" s="157"/>
      <c r="E392" s="6"/>
      <c r="F392" s="6"/>
      <c r="G392" s="2"/>
      <c r="H392" s="157"/>
      <c r="I392" s="157"/>
      <c r="J392" s="2"/>
      <c r="K392" s="157"/>
      <c r="L392" s="3"/>
      <c r="M392" s="3"/>
      <c r="N392" s="3"/>
      <c r="O392" s="2"/>
      <c r="P392" s="277"/>
    </row>
    <row r="393" spans="1:16" ht="30" customHeight="1" x14ac:dyDescent="0.15">
      <c r="A393" s="284" t="s">
        <v>7802</v>
      </c>
      <c r="B393" s="157"/>
      <c r="C393" s="157"/>
      <c r="D393" s="157"/>
      <c r="E393" s="6"/>
      <c r="F393" s="6"/>
      <c r="G393" s="2"/>
      <c r="H393" s="157"/>
      <c r="I393" s="157"/>
      <c r="J393" s="2"/>
      <c r="K393" s="157"/>
      <c r="L393" s="3"/>
      <c r="M393" s="3"/>
      <c r="N393" s="3"/>
      <c r="O393" s="2"/>
      <c r="P393" s="277"/>
    </row>
    <row r="394" spans="1:16" ht="30" customHeight="1" x14ac:dyDescent="0.15">
      <c r="A394" s="284" t="s">
        <v>7803</v>
      </c>
      <c r="B394" s="157"/>
      <c r="C394" s="157"/>
      <c r="D394" s="157"/>
      <c r="E394" s="6"/>
      <c r="F394" s="6"/>
      <c r="G394" s="2"/>
      <c r="H394" s="157"/>
      <c r="I394" s="157"/>
      <c r="J394" s="2"/>
      <c r="K394" s="157"/>
      <c r="L394" s="3"/>
      <c r="M394" s="3"/>
      <c r="N394" s="3"/>
      <c r="O394" s="2"/>
      <c r="P394" s="277"/>
    </row>
    <row r="395" spans="1:16" ht="30" customHeight="1" x14ac:dyDescent="0.15">
      <c r="A395" s="284" t="s">
        <v>7804</v>
      </c>
      <c r="B395" s="157"/>
      <c r="C395" s="157"/>
      <c r="D395" s="157"/>
      <c r="E395" s="6"/>
      <c r="F395" s="6"/>
      <c r="G395" s="2"/>
      <c r="H395" s="157"/>
      <c r="I395" s="157"/>
      <c r="J395" s="2"/>
      <c r="K395" s="157"/>
      <c r="L395" s="3"/>
      <c r="M395" s="3"/>
      <c r="N395" s="3"/>
      <c r="O395" s="2"/>
      <c r="P395" s="277"/>
    </row>
    <row r="396" spans="1:16" ht="30" customHeight="1" x14ac:dyDescent="0.15">
      <c r="A396" s="284" t="s">
        <v>7805</v>
      </c>
      <c r="B396" s="157"/>
      <c r="C396" s="157"/>
      <c r="D396" s="157"/>
      <c r="E396" s="6"/>
      <c r="F396" s="6"/>
      <c r="G396" s="2"/>
      <c r="H396" s="157"/>
      <c r="I396" s="157"/>
      <c r="J396" s="2"/>
      <c r="K396" s="157"/>
      <c r="L396" s="3"/>
      <c r="M396" s="3"/>
      <c r="N396" s="3"/>
      <c r="O396" s="2"/>
      <c r="P396" s="277"/>
    </row>
    <row r="397" spans="1:16" ht="30" customHeight="1" x14ac:dyDescent="0.15">
      <c r="A397" s="284" t="s">
        <v>7806</v>
      </c>
      <c r="B397" s="157"/>
      <c r="C397" s="157"/>
      <c r="D397" s="157"/>
      <c r="E397" s="6"/>
      <c r="F397" s="6"/>
      <c r="G397" s="2"/>
      <c r="H397" s="157"/>
      <c r="I397" s="157"/>
      <c r="J397" s="2"/>
      <c r="K397" s="157"/>
      <c r="L397" s="3"/>
      <c r="M397" s="3"/>
      <c r="N397" s="3"/>
      <c r="O397" s="2"/>
      <c r="P397" s="277"/>
    </row>
    <row r="398" spans="1:16" ht="30" customHeight="1" x14ac:dyDescent="0.15">
      <c r="A398" s="284" t="s">
        <v>7807</v>
      </c>
      <c r="B398" s="157"/>
      <c r="C398" s="157"/>
      <c r="D398" s="157"/>
      <c r="E398" s="6"/>
      <c r="F398" s="6"/>
      <c r="G398" s="2"/>
      <c r="H398" s="157"/>
      <c r="I398" s="157"/>
      <c r="J398" s="2"/>
      <c r="K398" s="157"/>
      <c r="L398" s="3"/>
      <c r="M398" s="3"/>
      <c r="N398" s="3"/>
      <c r="O398" s="2"/>
      <c r="P398" s="277"/>
    </row>
    <row r="399" spans="1:16" ht="30" customHeight="1" x14ac:dyDescent="0.15">
      <c r="A399" s="284" t="s">
        <v>7808</v>
      </c>
      <c r="B399" s="157"/>
      <c r="C399" s="157"/>
      <c r="D399" s="157"/>
      <c r="E399" s="6"/>
      <c r="F399" s="6"/>
      <c r="G399" s="2"/>
      <c r="H399" s="157"/>
      <c r="I399" s="157"/>
      <c r="J399" s="2"/>
      <c r="K399" s="157"/>
      <c r="L399" s="3"/>
      <c r="M399" s="3"/>
      <c r="N399" s="3"/>
      <c r="O399" s="2"/>
      <c r="P399" s="277"/>
    </row>
    <row r="400" spans="1:16" ht="30" customHeight="1" x14ac:dyDescent="0.15">
      <c r="A400" s="284" t="s">
        <v>7809</v>
      </c>
      <c r="B400" s="157"/>
      <c r="C400" s="157"/>
      <c r="D400" s="157"/>
      <c r="E400" s="6"/>
      <c r="F400" s="6"/>
      <c r="G400" s="2"/>
      <c r="H400" s="157"/>
      <c r="I400" s="157"/>
      <c r="J400" s="2"/>
      <c r="K400" s="157"/>
      <c r="L400" s="3"/>
      <c r="M400" s="3"/>
      <c r="N400" s="3"/>
      <c r="O400" s="2"/>
      <c r="P400" s="277"/>
    </row>
    <row r="401" spans="1:16" ht="30" customHeight="1" x14ac:dyDescent="0.15">
      <c r="A401" s="284" t="s">
        <v>7810</v>
      </c>
      <c r="B401" s="157"/>
      <c r="C401" s="157"/>
      <c r="D401" s="157"/>
      <c r="E401" s="6"/>
      <c r="F401" s="6"/>
      <c r="G401" s="2"/>
      <c r="H401" s="157"/>
      <c r="I401" s="157"/>
      <c r="J401" s="2"/>
      <c r="K401" s="157"/>
      <c r="L401" s="3"/>
      <c r="M401" s="3"/>
      <c r="N401" s="3"/>
      <c r="O401" s="2"/>
      <c r="P401" s="277"/>
    </row>
    <row r="402" spans="1:16" ht="30" customHeight="1" x14ac:dyDescent="0.15">
      <c r="A402" s="284" t="s">
        <v>7811</v>
      </c>
      <c r="B402" s="157"/>
      <c r="C402" s="157"/>
      <c r="D402" s="157"/>
      <c r="E402" s="6"/>
      <c r="F402" s="6"/>
      <c r="G402" s="2"/>
      <c r="H402" s="157"/>
      <c r="I402" s="157"/>
      <c r="J402" s="2"/>
      <c r="K402" s="157"/>
      <c r="L402" s="3"/>
      <c r="M402" s="3"/>
      <c r="N402" s="3"/>
      <c r="O402" s="2"/>
      <c r="P402" s="277"/>
    </row>
    <row r="403" spans="1:16" ht="30" customHeight="1" x14ac:dyDescent="0.15">
      <c r="A403" s="284" t="s">
        <v>7812</v>
      </c>
      <c r="B403" s="157"/>
      <c r="C403" s="157"/>
      <c r="D403" s="157"/>
      <c r="E403" s="6"/>
      <c r="F403" s="6"/>
      <c r="G403" s="2"/>
      <c r="H403" s="157"/>
      <c r="I403" s="157"/>
      <c r="J403" s="2"/>
      <c r="K403" s="157"/>
      <c r="L403" s="3"/>
      <c r="M403" s="3"/>
      <c r="N403" s="3"/>
      <c r="O403" s="2"/>
      <c r="P403" s="277"/>
    </row>
    <row r="404" spans="1:16" ht="30" customHeight="1" x14ac:dyDescent="0.15">
      <c r="A404" s="284" t="s">
        <v>7813</v>
      </c>
      <c r="B404" s="157"/>
      <c r="C404" s="157"/>
      <c r="D404" s="157"/>
      <c r="E404" s="6"/>
      <c r="F404" s="6"/>
      <c r="G404" s="2"/>
      <c r="H404" s="157"/>
      <c r="I404" s="157"/>
      <c r="J404" s="2"/>
      <c r="K404" s="157"/>
      <c r="L404" s="3"/>
      <c r="M404" s="3"/>
      <c r="N404" s="3"/>
      <c r="O404" s="2"/>
      <c r="P404" s="277"/>
    </row>
    <row r="405" spans="1:16" ht="30" customHeight="1" x14ac:dyDescent="0.15">
      <c r="A405" s="284" t="s">
        <v>7814</v>
      </c>
      <c r="B405" s="157"/>
      <c r="C405" s="157"/>
      <c r="D405" s="157"/>
      <c r="E405" s="6"/>
      <c r="F405" s="6"/>
      <c r="G405" s="2"/>
      <c r="H405" s="157"/>
      <c r="I405" s="157"/>
      <c r="J405" s="2"/>
      <c r="K405" s="157"/>
      <c r="L405" s="3"/>
      <c r="M405" s="3"/>
      <c r="N405" s="3"/>
      <c r="O405" s="2"/>
      <c r="P405" s="277"/>
    </row>
    <row r="406" spans="1:16" ht="30" customHeight="1" x14ac:dyDescent="0.15">
      <c r="A406" s="284" t="s">
        <v>7815</v>
      </c>
      <c r="B406" s="157"/>
      <c r="C406" s="157"/>
      <c r="D406" s="157"/>
      <c r="E406" s="6"/>
      <c r="F406" s="6"/>
      <c r="G406" s="2"/>
      <c r="H406" s="157"/>
      <c r="I406" s="157"/>
      <c r="J406" s="2"/>
      <c r="K406" s="157"/>
      <c r="L406" s="3"/>
      <c r="M406" s="3"/>
      <c r="N406" s="3"/>
      <c r="O406" s="2"/>
      <c r="P406" s="277"/>
    </row>
    <row r="407" spans="1:16" ht="30" customHeight="1" x14ac:dyDescent="0.15">
      <c r="A407" s="284" t="s">
        <v>7816</v>
      </c>
      <c r="B407" s="157"/>
      <c r="C407" s="157"/>
      <c r="D407" s="157"/>
      <c r="E407" s="6"/>
      <c r="F407" s="6"/>
      <c r="G407" s="2"/>
      <c r="H407" s="157"/>
      <c r="I407" s="157"/>
      <c r="J407" s="2"/>
      <c r="K407" s="157"/>
      <c r="L407" s="3"/>
      <c r="M407" s="3"/>
      <c r="N407" s="3"/>
      <c r="O407" s="2"/>
      <c r="P407" s="277"/>
    </row>
    <row r="408" spans="1:16" ht="30" customHeight="1" x14ac:dyDescent="0.15">
      <c r="A408" s="284" t="s">
        <v>7817</v>
      </c>
      <c r="B408" s="157"/>
      <c r="C408" s="157"/>
      <c r="D408" s="157"/>
      <c r="E408" s="6"/>
      <c r="F408" s="6"/>
      <c r="G408" s="2"/>
      <c r="H408" s="157"/>
      <c r="I408" s="157"/>
      <c r="J408" s="2"/>
      <c r="K408" s="157"/>
      <c r="L408" s="3"/>
      <c r="M408" s="3"/>
      <c r="N408" s="3"/>
      <c r="O408" s="2"/>
      <c r="P408" s="277"/>
    </row>
    <row r="409" spans="1:16" ht="30" customHeight="1" x14ac:dyDescent="0.15">
      <c r="A409" s="284" t="s">
        <v>7818</v>
      </c>
      <c r="B409" s="157"/>
      <c r="C409" s="157"/>
      <c r="D409" s="157"/>
      <c r="E409" s="6"/>
      <c r="F409" s="6"/>
      <c r="G409" s="2"/>
      <c r="H409" s="157"/>
      <c r="I409" s="157"/>
      <c r="J409" s="2"/>
      <c r="K409" s="157"/>
      <c r="L409" s="3"/>
      <c r="M409" s="3"/>
      <c r="N409" s="3"/>
      <c r="O409" s="2"/>
      <c r="P409" s="277"/>
    </row>
    <row r="410" spans="1:16" ht="30" customHeight="1" x14ac:dyDescent="0.15">
      <c r="A410" s="284" t="s">
        <v>7819</v>
      </c>
      <c r="B410" s="157"/>
      <c r="C410" s="157"/>
      <c r="D410" s="157"/>
      <c r="E410" s="6"/>
      <c r="F410" s="6"/>
      <c r="G410" s="2"/>
      <c r="H410" s="157"/>
      <c r="I410" s="157"/>
      <c r="J410" s="2"/>
      <c r="K410" s="157"/>
      <c r="L410" s="3"/>
      <c r="M410" s="3"/>
      <c r="N410" s="3"/>
      <c r="O410" s="2"/>
      <c r="P410" s="277"/>
    </row>
    <row r="411" spans="1:16" ht="30" customHeight="1" x14ac:dyDescent="0.15">
      <c r="A411" s="284" t="s">
        <v>7820</v>
      </c>
      <c r="B411" s="157"/>
      <c r="C411" s="157"/>
      <c r="D411" s="157"/>
      <c r="E411" s="6"/>
      <c r="F411" s="6"/>
      <c r="G411" s="2"/>
      <c r="H411" s="157"/>
      <c r="I411" s="157"/>
      <c r="J411" s="2"/>
      <c r="K411" s="157"/>
      <c r="L411" s="3"/>
      <c r="M411" s="3"/>
      <c r="N411" s="3"/>
      <c r="O411" s="2"/>
      <c r="P411" s="277"/>
    </row>
    <row r="412" spans="1:16" ht="30" customHeight="1" x14ac:dyDescent="0.15">
      <c r="A412" s="284" t="s">
        <v>7821</v>
      </c>
      <c r="B412" s="157"/>
      <c r="C412" s="157"/>
      <c r="D412" s="157"/>
      <c r="E412" s="6"/>
      <c r="F412" s="6"/>
      <c r="G412" s="2"/>
      <c r="H412" s="157"/>
      <c r="I412" s="157"/>
      <c r="J412" s="2"/>
      <c r="K412" s="157"/>
      <c r="L412" s="3"/>
      <c r="M412" s="3"/>
      <c r="N412" s="3"/>
      <c r="O412" s="2"/>
      <c r="P412" s="277"/>
    </row>
    <row r="413" spans="1:16" ht="30" customHeight="1" x14ac:dyDescent="0.15">
      <c r="A413" s="284" t="s">
        <v>7822</v>
      </c>
      <c r="B413" s="157"/>
      <c r="C413" s="157"/>
      <c r="D413" s="157"/>
      <c r="E413" s="6"/>
      <c r="F413" s="6"/>
      <c r="G413" s="2"/>
      <c r="H413" s="157"/>
      <c r="I413" s="157"/>
      <c r="J413" s="2"/>
      <c r="K413" s="157"/>
      <c r="L413" s="3"/>
      <c r="M413" s="3"/>
      <c r="N413" s="3"/>
      <c r="O413" s="2"/>
      <c r="P413" s="277"/>
    </row>
    <row r="414" spans="1:16" ht="30" customHeight="1" x14ac:dyDescent="0.15">
      <c r="A414" s="284" t="s">
        <v>7823</v>
      </c>
      <c r="B414" s="157"/>
      <c r="C414" s="157"/>
      <c r="D414" s="157"/>
      <c r="E414" s="6"/>
      <c r="F414" s="6"/>
      <c r="G414" s="2"/>
      <c r="H414" s="157"/>
      <c r="I414" s="157"/>
      <c r="J414" s="2"/>
      <c r="K414" s="157"/>
      <c r="L414" s="3"/>
      <c r="M414" s="3"/>
      <c r="N414" s="3"/>
      <c r="O414" s="2"/>
      <c r="P414" s="277"/>
    </row>
    <row r="415" spans="1:16" ht="30" customHeight="1" x14ac:dyDescent="0.15">
      <c r="A415" s="284" t="s">
        <v>7824</v>
      </c>
      <c r="B415" s="157"/>
      <c r="C415" s="157"/>
      <c r="D415" s="157"/>
      <c r="E415" s="6"/>
      <c r="F415" s="6"/>
      <c r="G415" s="2"/>
      <c r="H415" s="157"/>
      <c r="I415" s="157"/>
      <c r="J415" s="2"/>
      <c r="K415" s="157"/>
      <c r="L415" s="3"/>
      <c r="M415" s="3"/>
      <c r="N415" s="3"/>
      <c r="O415" s="2"/>
      <c r="P415" s="277"/>
    </row>
    <row r="416" spans="1:16" ht="30" customHeight="1" x14ac:dyDescent="0.15">
      <c r="A416" s="284" t="s">
        <v>7825</v>
      </c>
      <c r="B416" s="157"/>
      <c r="C416" s="157"/>
      <c r="D416" s="157"/>
      <c r="E416" s="6"/>
      <c r="F416" s="6"/>
      <c r="G416" s="2"/>
      <c r="H416" s="157"/>
      <c r="I416" s="157"/>
      <c r="J416" s="2"/>
      <c r="K416" s="157"/>
      <c r="L416" s="3"/>
      <c r="M416" s="3"/>
      <c r="N416" s="3"/>
      <c r="O416" s="2"/>
      <c r="P416" s="277"/>
    </row>
    <row r="417" spans="1:16" ht="30" customHeight="1" x14ac:dyDescent="0.15">
      <c r="A417" s="284" t="s">
        <v>7826</v>
      </c>
      <c r="B417" s="157"/>
      <c r="C417" s="157"/>
      <c r="D417" s="157"/>
      <c r="E417" s="6"/>
      <c r="F417" s="6"/>
      <c r="G417" s="2"/>
      <c r="H417" s="157"/>
      <c r="I417" s="157"/>
      <c r="J417" s="2"/>
      <c r="K417" s="157"/>
      <c r="L417" s="3"/>
      <c r="M417" s="3"/>
      <c r="N417" s="3"/>
      <c r="O417" s="2"/>
      <c r="P417" s="277"/>
    </row>
    <row r="418" spans="1:16" ht="30" customHeight="1" x14ac:dyDescent="0.15">
      <c r="A418" s="284" t="s">
        <v>7827</v>
      </c>
      <c r="B418" s="157"/>
      <c r="C418" s="157"/>
      <c r="D418" s="157"/>
      <c r="E418" s="6"/>
      <c r="F418" s="6"/>
      <c r="G418" s="2"/>
      <c r="H418" s="157"/>
      <c r="I418" s="157"/>
      <c r="J418" s="2"/>
      <c r="K418" s="157"/>
      <c r="L418" s="3"/>
      <c r="M418" s="3"/>
      <c r="N418" s="3"/>
      <c r="O418" s="2"/>
      <c r="P418" s="277"/>
    </row>
    <row r="419" spans="1:16" ht="30" customHeight="1" x14ac:dyDescent="0.15">
      <c r="A419" s="284" t="s">
        <v>7828</v>
      </c>
      <c r="B419" s="157"/>
      <c r="C419" s="157"/>
      <c r="D419" s="157"/>
      <c r="E419" s="6"/>
      <c r="F419" s="6"/>
      <c r="G419" s="2"/>
      <c r="H419" s="157"/>
      <c r="I419" s="157"/>
      <c r="J419" s="2"/>
      <c r="K419" s="157"/>
      <c r="L419" s="3"/>
      <c r="M419" s="3"/>
      <c r="N419" s="3"/>
      <c r="O419" s="2"/>
      <c r="P419" s="277"/>
    </row>
    <row r="420" spans="1:16" ht="30" customHeight="1" x14ac:dyDescent="0.15">
      <c r="A420" s="284" t="s">
        <v>7829</v>
      </c>
      <c r="B420" s="157"/>
      <c r="C420" s="157"/>
      <c r="D420" s="157"/>
      <c r="E420" s="6"/>
      <c r="F420" s="6"/>
      <c r="G420" s="2"/>
      <c r="H420" s="157"/>
      <c r="I420" s="157"/>
      <c r="J420" s="2"/>
      <c r="K420" s="157"/>
      <c r="L420" s="3"/>
      <c r="M420" s="3"/>
      <c r="N420" s="3"/>
      <c r="O420" s="2"/>
      <c r="P420" s="277"/>
    </row>
    <row r="421" spans="1:16" ht="30" customHeight="1" x14ac:dyDescent="0.15">
      <c r="A421" s="284" t="s">
        <v>7830</v>
      </c>
      <c r="B421" s="157"/>
      <c r="C421" s="157"/>
      <c r="D421" s="157"/>
      <c r="E421" s="6"/>
      <c r="F421" s="6"/>
      <c r="G421" s="2"/>
      <c r="H421" s="157"/>
      <c r="I421" s="157"/>
      <c r="J421" s="2"/>
      <c r="K421" s="157"/>
      <c r="L421" s="3"/>
      <c r="M421" s="3"/>
      <c r="N421" s="3"/>
      <c r="O421" s="2"/>
      <c r="P421" s="277"/>
    </row>
    <row r="422" spans="1:16" ht="30" customHeight="1" x14ac:dyDescent="0.15">
      <c r="A422" s="284" t="s">
        <v>7831</v>
      </c>
      <c r="B422" s="157"/>
      <c r="C422" s="157"/>
      <c r="D422" s="157"/>
      <c r="E422" s="6"/>
      <c r="F422" s="6"/>
      <c r="G422" s="2"/>
      <c r="H422" s="157"/>
      <c r="I422" s="157"/>
      <c r="J422" s="2"/>
      <c r="K422" s="157"/>
      <c r="L422" s="3"/>
      <c r="M422" s="3"/>
      <c r="N422" s="3"/>
      <c r="O422" s="2"/>
      <c r="P422" s="277"/>
    </row>
    <row r="423" spans="1:16" ht="30" customHeight="1" x14ac:dyDescent="0.15">
      <c r="A423" s="284" t="s">
        <v>7832</v>
      </c>
      <c r="B423" s="157"/>
      <c r="C423" s="157"/>
      <c r="D423" s="157"/>
      <c r="E423" s="6"/>
      <c r="F423" s="6"/>
      <c r="G423" s="2"/>
      <c r="H423" s="157"/>
      <c r="I423" s="157"/>
      <c r="J423" s="2"/>
      <c r="K423" s="157"/>
      <c r="L423" s="3"/>
      <c r="M423" s="3"/>
      <c r="N423" s="3"/>
      <c r="O423" s="2"/>
      <c r="P423" s="277"/>
    </row>
    <row r="424" spans="1:16" ht="30" customHeight="1" x14ac:dyDescent="0.15">
      <c r="A424" s="284" t="s">
        <v>7833</v>
      </c>
      <c r="B424" s="157"/>
      <c r="C424" s="157"/>
      <c r="D424" s="157"/>
      <c r="E424" s="6"/>
      <c r="F424" s="6"/>
      <c r="G424" s="2"/>
      <c r="H424" s="157"/>
      <c r="I424" s="157"/>
      <c r="J424" s="2"/>
      <c r="K424" s="157"/>
      <c r="L424" s="3"/>
      <c r="M424" s="3"/>
      <c r="N424" s="3"/>
      <c r="O424" s="2"/>
      <c r="P424" s="277"/>
    </row>
    <row r="425" spans="1:16" ht="30" customHeight="1" x14ac:dyDescent="0.15">
      <c r="A425" s="284" t="s">
        <v>7834</v>
      </c>
      <c r="B425" s="157"/>
      <c r="C425" s="157"/>
      <c r="D425" s="157"/>
      <c r="E425" s="6"/>
      <c r="F425" s="6"/>
      <c r="G425" s="2"/>
      <c r="H425" s="157"/>
      <c r="I425" s="157"/>
      <c r="J425" s="2"/>
      <c r="K425" s="157"/>
      <c r="L425" s="3"/>
      <c r="M425" s="3"/>
      <c r="N425" s="3"/>
      <c r="O425" s="2"/>
      <c r="P425" s="277"/>
    </row>
    <row r="426" spans="1:16" ht="30" customHeight="1" x14ac:dyDescent="0.15">
      <c r="A426" s="284" t="s">
        <v>7835</v>
      </c>
      <c r="B426" s="157"/>
      <c r="C426" s="157"/>
      <c r="D426" s="157"/>
      <c r="E426" s="6"/>
      <c r="F426" s="6"/>
      <c r="G426" s="2"/>
      <c r="H426" s="157"/>
      <c r="I426" s="157"/>
      <c r="J426" s="2"/>
      <c r="K426" s="157"/>
      <c r="L426" s="3"/>
      <c r="M426" s="3"/>
      <c r="N426" s="3"/>
      <c r="O426" s="2"/>
      <c r="P426" s="277"/>
    </row>
    <row r="427" spans="1:16" ht="30" customHeight="1" x14ac:dyDescent="0.15">
      <c r="A427" s="284" t="s">
        <v>7836</v>
      </c>
      <c r="B427" s="157"/>
      <c r="C427" s="157"/>
      <c r="D427" s="157"/>
      <c r="E427" s="6"/>
      <c r="F427" s="6"/>
      <c r="G427" s="2"/>
      <c r="H427" s="157"/>
      <c r="I427" s="157"/>
      <c r="J427" s="2"/>
      <c r="K427" s="157"/>
      <c r="L427" s="3"/>
      <c r="M427" s="3"/>
      <c r="N427" s="3"/>
      <c r="O427" s="2"/>
      <c r="P427" s="277"/>
    </row>
    <row r="428" spans="1:16" ht="30" customHeight="1" x14ac:dyDescent="0.15">
      <c r="A428" s="284" t="s">
        <v>7837</v>
      </c>
      <c r="B428" s="157"/>
      <c r="C428" s="157"/>
      <c r="D428" s="157"/>
      <c r="E428" s="6"/>
      <c r="F428" s="6"/>
      <c r="G428" s="2"/>
      <c r="H428" s="157"/>
      <c r="I428" s="157"/>
      <c r="J428" s="2"/>
      <c r="K428" s="157"/>
      <c r="L428" s="3"/>
      <c r="M428" s="3"/>
      <c r="N428" s="3"/>
      <c r="O428" s="2"/>
      <c r="P428" s="277"/>
    </row>
    <row r="429" spans="1:16" ht="30" customHeight="1" x14ac:dyDescent="0.15">
      <c r="A429" s="284" t="s">
        <v>7838</v>
      </c>
      <c r="B429" s="157"/>
      <c r="C429" s="157"/>
      <c r="D429" s="157"/>
      <c r="E429" s="6"/>
      <c r="F429" s="6"/>
      <c r="G429" s="2"/>
      <c r="H429" s="157"/>
      <c r="I429" s="157"/>
      <c r="J429" s="2"/>
      <c r="K429" s="157"/>
      <c r="L429" s="3"/>
      <c r="M429" s="3"/>
      <c r="N429" s="3"/>
      <c r="O429" s="2"/>
      <c r="P429" s="277"/>
    </row>
    <row r="430" spans="1:16" ht="30" customHeight="1" x14ac:dyDescent="0.15">
      <c r="A430" s="284" t="s">
        <v>7839</v>
      </c>
      <c r="B430" s="157"/>
      <c r="C430" s="157"/>
      <c r="D430" s="157"/>
      <c r="E430" s="6"/>
      <c r="F430" s="6"/>
      <c r="G430" s="2"/>
      <c r="H430" s="157"/>
      <c r="I430" s="157"/>
      <c r="J430" s="2"/>
      <c r="K430" s="157"/>
      <c r="L430" s="3"/>
      <c r="M430" s="3"/>
      <c r="N430" s="3"/>
      <c r="O430" s="2"/>
      <c r="P430" s="277"/>
    </row>
    <row r="431" spans="1:16" ht="30" customHeight="1" x14ac:dyDescent="0.15">
      <c r="A431" s="284" t="s">
        <v>7840</v>
      </c>
      <c r="B431" s="157"/>
      <c r="C431" s="157"/>
      <c r="D431" s="157"/>
      <c r="E431" s="6"/>
      <c r="F431" s="6"/>
      <c r="G431" s="2"/>
      <c r="H431" s="157"/>
      <c r="I431" s="157"/>
      <c r="J431" s="2"/>
      <c r="K431" s="157"/>
      <c r="L431" s="3"/>
      <c r="M431" s="3"/>
      <c r="N431" s="3"/>
      <c r="O431" s="2"/>
      <c r="P431" s="277"/>
    </row>
    <row r="432" spans="1:16" ht="30" customHeight="1" x14ac:dyDescent="0.15">
      <c r="A432" s="284" t="s">
        <v>7841</v>
      </c>
      <c r="B432" s="157"/>
      <c r="C432" s="157"/>
      <c r="D432" s="157"/>
      <c r="E432" s="6"/>
      <c r="F432" s="6"/>
      <c r="G432" s="2"/>
      <c r="H432" s="157"/>
      <c r="I432" s="157"/>
      <c r="J432" s="2"/>
      <c r="K432" s="157"/>
      <c r="L432" s="3"/>
      <c r="M432" s="3"/>
      <c r="N432" s="3"/>
      <c r="O432" s="2"/>
      <c r="P432" s="277"/>
    </row>
    <row r="433" spans="1:16" ht="30" customHeight="1" x14ac:dyDescent="0.15">
      <c r="A433" s="284" t="s">
        <v>7842</v>
      </c>
      <c r="B433" s="157"/>
      <c r="C433" s="157"/>
      <c r="D433" s="157"/>
      <c r="E433" s="6"/>
      <c r="F433" s="6"/>
      <c r="G433" s="2"/>
      <c r="H433" s="157"/>
      <c r="I433" s="157"/>
      <c r="J433" s="2"/>
      <c r="K433" s="157"/>
      <c r="L433" s="3"/>
      <c r="M433" s="3"/>
      <c r="N433" s="3"/>
      <c r="O433" s="2"/>
      <c r="P433" s="277"/>
    </row>
    <row r="434" spans="1:16" ht="30" customHeight="1" x14ac:dyDescent="0.15">
      <c r="A434" s="284" t="s">
        <v>7843</v>
      </c>
      <c r="B434" s="157"/>
      <c r="C434" s="157"/>
      <c r="D434" s="157"/>
      <c r="E434" s="6"/>
      <c r="F434" s="6"/>
      <c r="G434" s="2"/>
      <c r="H434" s="157"/>
      <c r="I434" s="157"/>
      <c r="J434" s="2"/>
      <c r="K434" s="157"/>
      <c r="L434" s="3"/>
      <c r="M434" s="3"/>
      <c r="N434" s="3"/>
      <c r="O434" s="2"/>
      <c r="P434" s="277"/>
    </row>
    <row r="435" spans="1:16" ht="30" customHeight="1" x14ac:dyDescent="0.15">
      <c r="A435" s="284" t="s">
        <v>7844</v>
      </c>
      <c r="B435" s="157"/>
      <c r="C435" s="157"/>
      <c r="D435" s="157"/>
      <c r="E435" s="6"/>
      <c r="F435" s="6"/>
      <c r="G435" s="2"/>
      <c r="H435" s="157"/>
      <c r="I435" s="157"/>
      <c r="J435" s="2"/>
      <c r="K435" s="157"/>
      <c r="L435" s="3"/>
      <c r="M435" s="3"/>
      <c r="N435" s="3"/>
      <c r="O435" s="2"/>
      <c r="P435" s="277"/>
    </row>
    <row r="436" spans="1:16" ht="30" customHeight="1" x14ac:dyDescent="0.15">
      <c r="A436" s="284" t="s">
        <v>7845</v>
      </c>
      <c r="B436" s="157"/>
      <c r="C436" s="157"/>
      <c r="D436" s="157"/>
      <c r="E436" s="6"/>
      <c r="F436" s="6"/>
      <c r="G436" s="2"/>
      <c r="H436" s="157"/>
      <c r="I436" s="157"/>
      <c r="J436" s="2"/>
      <c r="K436" s="157"/>
      <c r="L436" s="3"/>
      <c r="M436" s="3"/>
      <c r="N436" s="3"/>
      <c r="O436" s="2"/>
      <c r="P436" s="277"/>
    </row>
    <row r="437" spans="1:16" ht="30" customHeight="1" x14ac:dyDescent="0.15">
      <c r="A437" s="284" t="s">
        <v>7846</v>
      </c>
      <c r="B437" s="157"/>
      <c r="C437" s="157"/>
      <c r="D437" s="157"/>
      <c r="E437" s="6"/>
      <c r="F437" s="6"/>
      <c r="G437" s="2"/>
      <c r="H437" s="157"/>
      <c r="I437" s="157"/>
      <c r="J437" s="2"/>
      <c r="K437" s="157"/>
      <c r="L437" s="3"/>
      <c r="M437" s="3"/>
      <c r="N437" s="3"/>
      <c r="O437" s="2"/>
      <c r="P437" s="277"/>
    </row>
    <row r="438" spans="1:16" ht="30" customHeight="1" x14ac:dyDescent="0.15">
      <c r="A438" s="284" t="s">
        <v>7847</v>
      </c>
      <c r="B438" s="157"/>
      <c r="C438" s="157"/>
      <c r="D438" s="157"/>
      <c r="E438" s="6"/>
      <c r="F438" s="6"/>
      <c r="G438" s="2"/>
      <c r="H438" s="157"/>
      <c r="I438" s="157"/>
      <c r="J438" s="2"/>
      <c r="K438" s="157"/>
      <c r="L438" s="3"/>
      <c r="M438" s="3"/>
      <c r="N438" s="3"/>
      <c r="O438" s="2"/>
      <c r="P438" s="277"/>
    </row>
    <row r="439" spans="1:16" ht="30" customHeight="1" x14ac:dyDescent="0.15">
      <c r="A439" s="284" t="s">
        <v>7848</v>
      </c>
      <c r="B439" s="157"/>
      <c r="C439" s="157"/>
      <c r="D439" s="157"/>
      <c r="E439" s="6"/>
      <c r="F439" s="6"/>
      <c r="G439" s="2"/>
      <c r="H439" s="157"/>
      <c r="I439" s="157"/>
      <c r="J439" s="2"/>
      <c r="K439" s="157"/>
      <c r="L439" s="3"/>
      <c r="M439" s="3"/>
      <c r="N439" s="3"/>
      <c r="O439" s="2"/>
      <c r="P439" s="277"/>
    </row>
    <row r="440" spans="1:16" ht="30" customHeight="1" x14ac:dyDescent="0.15">
      <c r="A440" s="284" t="s">
        <v>7849</v>
      </c>
      <c r="B440" s="157"/>
      <c r="C440" s="157"/>
      <c r="D440" s="157"/>
      <c r="E440" s="6"/>
      <c r="F440" s="6"/>
      <c r="G440" s="2"/>
      <c r="H440" s="157"/>
      <c r="I440" s="157"/>
      <c r="J440" s="2"/>
      <c r="K440" s="157"/>
      <c r="L440" s="3"/>
      <c r="M440" s="3"/>
      <c r="N440" s="3"/>
      <c r="O440" s="2"/>
      <c r="P440" s="277"/>
    </row>
    <row r="441" spans="1:16" ht="30" customHeight="1" x14ac:dyDescent="0.15">
      <c r="A441" s="284" t="s">
        <v>7850</v>
      </c>
      <c r="B441" s="157"/>
      <c r="C441" s="157"/>
      <c r="D441" s="157"/>
      <c r="E441" s="6"/>
      <c r="F441" s="6"/>
      <c r="G441" s="2"/>
      <c r="H441" s="157"/>
      <c r="I441" s="157"/>
      <c r="J441" s="2"/>
      <c r="K441" s="157"/>
      <c r="L441" s="3"/>
      <c r="M441" s="3"/>
      <c r="N441" s="3"/>
      <c r="O441" s="2"/>
      <c r="P441" s="277"/>
    </row>
    <row r="442" spans="1:16" ht="30" customHeight="1" x14ac:dyDescent="0.15">
      <c r="A442" s="284" t="s">
        <v>7851</v>
      </c>
      <c r="B442" s="157"/>
      <c r="C442" s="157"/>
      <c r="D442" s="157"/>
      <c r="E442" s="6"/>
      <c r="F442" s="6"/>
      <c r="G442" s="2"/>
      <c r="H442" s="157"/>
      <c r="I442" s="157"/>
      <c r="J442" s="2"/>
      <c r="K442" s="157"/>
      <c r="L442" s="3"/>
      <c r="M442" s="3"/>
      <c r="N442" s="3"/>
      <c r="O442" s="2"/>
      <c r="P442" s="277"/>
    </row>
    <row r="443" spans="1:16" ht="30" customHeight="1" x14ac:dyDescent="0.15">
      <c r="A443" s="284" t="s">
        <v>7852</v>
      </c>
      <c r="B443" s="157"/>
      <c r="C443" s="157"/>
      <c r="D443" s="157"/>
      <c r="E443" s="6"/>
      <c r="F443" s="6"/>
      <c r="G443" s="2"/>
      <c r="H443" s="157"/>
      <c r="I443" s="157"/>
      <c r="J443" s="2"/>
      <c r="K443" s="157"/>
      <c r="L443" s="3"/>
      <c r="M443" s="3"/>
      <c r="N443" s="3"/>
      <c r="O443" s="2"/>
      <c r="P443" s="277"/>
    </row>
    <row r="444" spans="1:16" ht="30" customHeight="1" x14ac:dyDescent="0.15">
      <c r="A444" s="284" t="s">
        <v>7853</v>
      </c>
      <c r="B444" s="157"/>
      <c r="C444" s="157"/>
      <c r="D444" s="157"/>
      <c r="E444" s="6"/>
      <c r="F444" s="6"/>
      <c r="G444" s="2"/>
      <c r="H444" s="157"/>
      <c r="I444" s="157"/>
      <c r="J444" s="2"/>
      <c r="K444" s="157"/>
      <c r="L444" s="3"/>
      <c r="M444" s="3"/>
      <c r="N444" s="3"/>
      <c r="O444" s="2"/>
      <c r="P444" s="277"/>
    </row>
    <row r="445" spans="1:16" ht="30" customHeight="1" x14ac:dyDescent="0.15">
      <c r="A445" s="284" t="s">
        <v>7854</v>
      </c>
      <c r="B445" s="157"/>
      <c r="C445" s="157"/>
      <c r="D445" s="157"/>
      <c r="E445" s="6"/>
      <c r="F445" s="6"/>
      <c r="G445" s="2"/>
      <c r="H445" s="157"/>
      <c r="I445" s="157"/>
      <c r="J445" s="2"/>
      <c r="K445" s="157"/>
      <c r="L445" s="3"/>
      <c r="M445" s="3"/>
      <c r="N445" s="3"/>
      <c r="O445" s="2"/>
      <c r="P445" s="277"/>
    </row>
    <row r="446" spans="1:16" ht="30" customHeight="1" x14ac:dyDescent="0.15">
      <c r="A446" s="284" t="s">
        <v>7855</v>
      </c>
      <c r="B446" s="157"/>
      <c r="C446" s="157"/>
      <c r="D446" s="157"/>
      <c r="E446" s="6"/>
      <c r="F446" s="6"/>
      <c r="G446" s="2"/>
      <c r="H446" s="157"/>
      <c r="I446" s="157"/>
      <c r="J446" s="2"/>
      <c r="K446" s="157"/>
      <c r="L446" s="3"/>
      <c r="M446" s="3"/>
      <c r="N446" s="3"/>
      <c r="O446" s="2"/>
      <c r="P446" s="277"/>
    </row>
    <row r="447" spans="1:16" ht="30" customHeight="1" x14ac:dyDescent="0.15">
      <c r="A447" s="284" t="s">
        <v>7856</v>
      </c>
      <c r="B447" s="157"/>
      <c r="C447" s="157"/>
      <c r="D447" s="157"/>
      <c r="E447" s="6"/>
      <c r="F447" s="6"/>
      <c r="G447" s="2"/>
      <c r="H447" s="157"/>
      <c r="I447" s="157"/>
      <c r="J447" s="2"/>
      <c r="K447" s="157"/>
      <c r="L447" s="3"/>
      <c r="M447" s="3"/>
      <c r="N447" s="3"/>
      <c r="O447" s="2"/>
      <c r="P447" s="277"/>
    </row>
    <row r="448" spans="1:16" ht="30" customHeight="1" x14ac:dyDescent="0.15">
      <c r="A448" s="284" t="s">
        <v>7857</v>
      </c>
      <c r="B448" s="157"/>
      <c r="C448" s="157"/>
      <c r="D448" s="157"/>
      <c r="E448" s="6"/>
      <c r="F448" s="6"/>
      <c r="G448" s="2"/>
      <c r="H448" s="157"/>
      <c r="I448" s="157"/>
      <c r="J448" s="2"/>
      <c r="K448" s="157"/>
      <c r="L448" s="3"/>
      <c r="M448" s="3"/>
      <c r="N448" s="3"/>
      <c r="O448" s="2"/>
      <c r="P448" s="277"/>
    </row>
    <row r="449" spans="1:16" ht="30" customHeight="1" x14ac:dyDescent="0.15">
      <c r="A449" s="284" t="s">
        <v>7858</v>
      </c>
      <c r="B449" s="157"/>
      <c r="C449" s="157"/>
      <c r="D449" s="157"/>
      <c r="E449" s="6"/>
      <c r="F449" s="6"/>
      <c r="G449" s="2"/>
      <c r="H449" s="157"/>
      <c r="I449" s="157"/>
      <c r="J449" s="2"/>
      <c r="K449" s="157"/>
      <c r="L449" s="3"/>
      <c r="M449" s="3"/>
      <c r="N449" s="3"/>
      <c r="O449" s="2"/>
      <c r="P449" s="277"/>
    </row>
    <row r="450" spans="1:16" ht="30" customHeight="1" x14ac:dyDescent="0.15">
      <c r="A450" s="284" t="s">
        <v>7859</v>
      </c>
      <c r="B450" s="157"/>
      <c r="C450" s="157"/>
      <c r="D450" s="157"/>
      <c r="E450" s="6"/>
      <c r="F450" s="6"/>
      <c r="G450" s="2"/>
      <c r="H450" s="157"/>
      <c r="I450" s="157"/>
      <c r="J450" s="2"/>
      <c r="K450" s="157"/>
      <c r="L450" s="3"/>
      <c r="M450" s="3"/>
      <c r="N450" s="3"/>
      <c r="O450" s="2"/>
      <c r="P450" s="277"/>
    </row>
    <row r="451" spans="1:16" ht="30" customHeight="1" x14ac:dyDescent="0.15">
      <c r="A451" s="284" t="s">
        <v>7860</v>
      </c>
      <c r="B451" s="157"/>
      <c r="C451" s="157"/>
      <c r="D451" s="157"/>
      <c r="E451" s="6"/>
      <c r="F451" s="6"/>
      <c r="G451" s="2"/>
      <c r="H451" s="157"/>
      <c r="I451" s="157"/>
      <c r="J451" s="2"/>
      <c r="K451" s="157"/>
      <c r="L451" s="3"/>
      <c r="M451" s="3"/>
      <c r="N451" s="3"/>
      <c r="O451" s="2"/>
      <c r="P451" s="277"/>
    </row>
    <row r="452" spans="1:16" ht="30" customHeight="1" x14ac:dyDescent="0.15">
      <c r="A452" s="284" t="s">
        <v>7861</v>
      </c>
      <c r="B452" s="157"/>
      <c r="C452" s="157"/>
      <c r="D452" s="157"/>
      <c r="E452" s="6"/>
      <c r="F452" s="6"/>
      <c r="G452" s="2"/>
      <c r="H452" s="157"/>
      <c r="I452" s="157"/>
      <c r="J452" s="2"/>
      <c r="K452" s="157"/>
      <c r="L452" s="3"/>
      <c r="M452" s="3"/>
      <c r="N452" s="3"/>
      <c r="O452" s="2"/>
      <c r="P452" s="277"/>
    </row>
    <row r="453" spans="1:16" ht="30" customHeight="1" x14ac:dyDescent="0.15">
      <c r="A453" s="284" t="s">
        <v>7862</v>
      </c>
      <c r="B453" s="157"/>
      <c r="C453" s="157"/>
      <c r="D453" s="157"/>
      <c r="E453" s="6"/>
      <c r="F453" s="6"/>
      <c r="G453" s="2"/>
      <c r="H453" s="157"/>
      <c r="I453" s="157"/>
      <c r="J453" s="2"/>
      <c r="K453" s="157"/>
      <c r="L453" s="3"/>
      <c r="M453" s="3"/>
      <c r="N453" s="3"/>
      <c r="O453" s="2"/>
      <c r="P453" s="277"/>
    </row>
    <row r="454" spans="1:16" ht="30" customHeight="1" x14ac:dyDescent="0.15">
      <c r="A454" s="284" t="s">
        <v>7863</v>
      </c>
      <c r="B454" s="157"/>
      <c r="C454" s="157"/>
      <c r="D454" s="157"/>
      <c r="E454" s="6"/>
      <c r="F454" s="6"/>
      <c r="G454" s="2"/>
      <c r="H454" s="157"/>
      <c r="I454" s="157"/>
      <c r="J454" s="2"/>
      <c r="K454" s="157"/>
      <c r="L454" s="3"/>
      <c r="M454" s="3"/>
      <c r="N454" s="3"/>
      <c r="O454" s="2"/>
      <c r="P454" s="277"/>
    </row>
    <row r="455" spans="1:16" ht="30" customHeight="1" x14ac:dyDescent="0.15">
      <c r="A455" s="284" t="s">
        <v>7864</v>
      </c>
      <c r="B455" s="157"/>
      <c r="C455" s="157"/>
      <c r="D455" s="157"/>
      <c r="E455" s="6"/>
      <c r="F455" s="6"/>
      <c r="G455" s="2"/>
      <c r="H455" s="157"/>
      <c r="I455" s="157"/>
      <c r="J455" s="2"/>
      <c r="K455" s="157"/>
      <c r="L455" s="3"/>
      <c r="M455" s="3"/>
      <c r="N455" s="3"/>
      <c r="O455" s="2"/>
      <c r="P455" s="277"/>
    </row>
    <row r="456" spans="1:16" ht="30" customHeight="1" x14ac:dyDescent="0.15">
      <c r="A456" s="284" t="s">
        <v>7865</v>
      </c>
      <c r="B456" s="157"/>
      <c r="C456" s="157"/>
      <c r="D456" s="157"/>
      <c r="E456" s="6"/>
      <c r="F456" s="6"/>
      <c r="G456" s="2"/>
      <c r="H456" s="157"/>
      <c r="I456" s="157"/>
      <c r="J456" s="2"/>
      <c r="K456" s="157"/>
      <c r="L456" s="3"/>
      <c r="M456" s="3"/>
      <c r="N456" s="3"/>
      <c r="O456" s="2"/>
      <c r="P456" s="277"/>
    </row>
    <row r="457" spans="1:16" ht="30" customHeight="1" x14ac:dyDescent="0.15">
      <c r="A457" s="284" t="s">
        <v>7866</v>
      </c>
      <c r="B457" s="157"/>
      <c r="C457" s="157"/>
      <c r="D457" s="157"/>
      <c r="E457" s="6"/>
      <c r="F457" s="6"/>
      <c r="G457" s="2"/>
      <c r="H457" s="157"/>
      <c r="I457" s="157"/>
      <c r="J457" s="2"/>
      <c r="K457" s="157"/>
      <c r="L457" s="3"/>
      <c r="M457" s="3"/>
      <c r="N457" s="3"/>
      <c r="O457" s="2"/>
      <c r="P457" s="277"/>
    </row>
    <row r="458" spans="1:16" ht="30" customHeight="1" x14ac:dyDescent="0.15">
      <c r="A458" s="284" t="s">
        <v>7867</v>
      </c>
      <c r="B458" s="157"/>
      <c r="C458" s="157"/>
      <c r="D458" s="157"/>
      <c r="E458" s="6"/>
      <c r="F458" s="6"/>
      <c r="G458" s="2"/>
      <c r="H458" s="157"/>
      <c r="I458" s="157"/>
      <c r="J458" s="2"/>
      <c r="K458" s="157"/>
      <c r="L458" s="3"/>
      <c r="M458" s="3"/>
      <c r="N458" s="3"/>
      <c r="O458" s="2"/>
      <c r="P458" s="277"/>
    </row>
    <row r="459" spans="1:16" ht="30" customHeight="1" x14ac:dyDescent="0.15">
      <c r="A459" s="284" t="s">
        <v>7868</v>
      </c>
      <c r="B459" s="157"/>
      <c r="C459" s="157"/>
      <c r="D459" s="157"/>
      <c r="E459" s="6"/>
      <c r="F459" s="6"/>
      <c r="G459" s="2"/>
      <c r="H459" s="157"/>
      <c r="I459" s="157"/>
      <c r="J459" s="2"/>
      <c r="K459" s="157"/>
      <c r="L459" s="3"/>
      <c r="M459" s="3"/>
      <c r="N459" s="3"/>
      <c r="O459" s="2"/>
      <c r="P459" s="277"/>
    </row>
    <row r="460" spans="1:16" ht="30" customHeight="1" x14ac:dyDescent="0.15">
      <c r="A460" s="284" t="s">
        <v>7869</v>
      </c>
      <c r="B460" s="157"/>
      <c r="C460" s="157"/>
      <c r="D460" s="157"/>
      <c r="E460" s="6"/>
      <c r="F460" s="6"/>
      <c r="G460" s="2"/>
      <c r="H460" s="157"/>
      <c r="I460" s="157"/>
      <c r="J460" s="2"/>
      <c r="K460" s="157"/>
      <c r="L460" s="3"/>
      <c r="M460" s="3"/>
      <c r="N460" s="3"/>
      <c r="O460" s="2"/>
      <c r="P460" s="277"/>
    </row>
    <row r="461" spans="1:16" ht="30" customHeight="1" x14ac:dyDescent="0.15">
      <c r="A461" s="284" t="s">
        <v>7870</v>
      </c>
      <c r="B461" s="157"/>
      <c r="C461" s="157"/>
      <c r="D461" s="157"/>
      <c r="E461" s="6"/>
      <c r="F461" s="6"/>
      <c r="G461" s="2"/>
      <c r="H461" s="157"/>
      <c r="I461" s="157"/>
      <c r="J461" s="2"/>
      <c r="K461" s="157"/>
      <c r="L461" s="3"/>
      <c r="M461" s="3"/>
      <c r="N461" s="3"/>
      <c r="O461" s="2"/>
      <c r="P461" s="277"/>
    </row>
    <row r="462" spans="1:16" ht="30" customHeight="1" x14ac:dyDescent="0.15">
      <c r="A462" s="284" t="s">
        <v>7871</v>
      </c>
      <c r="B462" s="157"/>
      <c r="C462" s="157"/>
      <c r="D462" s="157"/>
      <c r="E462" s="6"/>
      <c r="F462" s="6"/>
      <c r="G462" s="2"/>
      <c r="H462" s="157"/>
      <c r="I462" s="157"/>
      <c r="J462" s="2"/>
      <c r="K462" s="157"/>
      <c r="L462" s="3"/>
      <c r="M462" s="3"/>
      <c r="N462" s="3"/>
      <c r="O462" s="2"/>
      <c r="P462" s="277"/>
    </row>
    <row r="463" spans="1:16" ht="30" customHeight="1" x14ac:dyDescent="0.15">
      <c r="A463" s="284" t="s">
        <v>7872</v>
      </c>
      <c r="B463" s="157"/>
      <c r="C463" s="157"/>
      <c r="D463" s="157"/>
      <c r="E463" s="6"/>
      <c r="F463" s="6"/>
      <c r="G463" s="2"/>
      <c r="H463" s="157"/>
      <c r="I463" s="157"/>
      <c r="J463" s="2"/>
      <c r="K463" s="157"/>
      <c r="L463" s="3"/>
      <c r="M463" s="3"/>
      <c r="N463" s="3"/>
      <c r="O463" s="2"/>
      <c r="P463" s="277"/>
    </row>
    <row r="464" spans="1:16" ht="30" customHeight="1" x14ac:dyDescent="0.15">
      <c r="A464" s="284" t="s">
        <v>7873</v>
      </c>
      <c r="B464" s="157"/>
      <c r="C464" s="157"/>
      <c r="D464" s="157"/>
      <c r="E464" s="6"/>
      <c r="F464" s="6"/>
      <c r="G464" s="2"/>
      <c r="H464" s="157"/>
      <c r="I464" s="157"/>
      <c r="J464" s="2"/>
      <c r="K464" s="157"/>
      <c r="L464" s="3"/>
      <c r="M464" s="3"/>
      <c r="N464" s="3"/>
      <c r="O464" s="2"/>
      <c r="P464" s="277"/>
    </row>
    <row r="465" spans="1:16" ht="30" customHeight="1" x14ac:dyDescent="0.15">
      <c r="A465" s="284" t="s">
        <v>7874</v>
      </c>
      <c r="B465" s="157"/>
      <c r="C465" s="157"/>
      <c r="D465" s="157"/>
      <c r="E465" s="6"/>
      <c r="F465" s="6"/>
      <c r="G465" s="2"/>
      <c r="H465" s="157"/>
      <c r="I465" s="157"/>
      <c r="J465" s="2"/>
      <c r="K465" s="157"/>
      <c r="L465" s="3"/>
      <c r="M465" s="3"/>
      <c r="N465" s="3"/>
      <c r="O465" s="2"/>
      <c r="P465" s="277"/>
    </row>
    <row r="466" spans="1:16" ht="30" customHeight="1" x14ac:dyDescent="0.15">
      <c r="A466" s="284" t="s">
        <v>7875</v>
      </c>
      <c r="B466" s="157"/>
      <c r="C466" s="157"/>
      <c r="D466" s="157"/>
      <c r="E466" s="6"/>
      <c r="F466" s="6"/>
      <c r="G466" s="2"/>
      <c r="H466" s="157"/>
      <c r="I466" s="157"/>
      <c r="J466" s="2"/>
      <c r="K466" s="157"/>
      <c r="L466" s="3"/>
      <c r="M466" s="3"/>
      <c r="N466" s="3"/>
      <c r="O466" s="2"/>
      <c r="P466" s="277"/>
    </row>
    <row r="467" spans="1:16" ht="30" customHeight="1" x14ac:dyDescent="0.15">
      <c r="A467" s="284" t="s">
        <v>7876</v>
      </c>
      <c r="B467" s="157"/>
      <c r="C467" s="157"/>
      <c r="D467" s="157"/>
      <c r="E467" s="6"/>
      <c r="F467" s="6"/>
      <c r="G467" s="2"/>
      <c r="H467" s="157"/>
      <c r="I467" s="157"/>
      <c r="J467" s="2"/>
      <c r="K467" s="157"/>
      <c r="L467" s="3"/>
      <c r="M467" s="3"/>
      <c r="N467" s="3"/>
      <c r="O467" s="2"/>
      <c r="P467" s="277"/>
    </row>
    <row r="468" spans="1:16" ht="30" customHeight="1" x14ac:dyDescent="0.15">
      <c r="A468" s="284" t="s">
        <v>7877</v>
      </c>
      <c r="B468" s="157"/>
      <c r="C468" s="157"/>
      <c r="D468" s="157"/>
      <c r="E468" s="6"/>
      <c r="F468" s="6"/>
      <c r="G468" s="2"/>
      <c r="H468" s="157"/>
      <c r="I468" s="157"/>
      <c r="J468" s="2"/>
      <c r="K468" s="157"/>
      <c r="L468" s="3"/>
      <c r="M468" s="3"/>
      <c r="N468" s="3"/>
      <c r="O468" s="2"/>
      <c r="P468" s="277"/>
    </row>
    <row r="469" spans="1:16" ht="30" customHeight="1" x14ac:dyDescent="0.15">
      <c r="A469" s="284" t="s">
        <v>7878</v>
      </c>
      <c r="B469" s="157"/>
      <c r="C469" s="157"/>
      <c r="D469" s="157"/>
      <c r="E469" s="6"/>
      <c r="F469" s="6"/>
      <c r="G469" s="2"/>
      <c r="H469" s="157"/>
      <c r="I469" s="157"/>
      <c r="J469" s="2"/>
      <c r="K469" s="157"/>
      <c r="L469" s="3"/>
      <c r="M469" s="3"/>
      <c r="N469" s="3"/>
      <c r="O469" s="2"/>
      <c r="P469" s="277"/>
    </row>
    <row r="470" spans="1:16" ht="30" customHeight="1" x14ac:dyDescent="0.15">
      <c r="A470" s="284" t="s">
        <v>7879</v>
      </c>
      <c r="B470" s="157"/>
      <c r="C470" s="157"/>
      <c r="D470" s="157"/>
      <c r="E470" s="6"/>
      <c r="F470" s="6"/>
      <c r="G470" s="2"/>
      <c r="H470" s="157"/>
      <c r="I470" s="157"/>
      <c r="J470" s="2"/>
      <c r="K470" s="157"/>
      <c r="L470" s="3"/>
      <c r="M470" s="3"/>
      <c r="N470" s="3"/>
      <c r="O470" s="2"/>
      <c r="P470" s="277"/>
    </row>
    <row r="471" spans="1:16" ht="30" customHeight="1" x14ac:dyDescent="0.15">
      <c r="A471" s="284" t="s">
        <v>7880</v>
      </c>
      <c r="B471" s="157"/>
      <c r="C471" s="157"/>
      <c r="D471" s="157"/>
      <c r="E471" s="6"/>
      <c r="F471" s="6"/>
      <c r="G471" s="2"/>
      <c r="H471" s="157"/>
      <c r="I471" s="157"/>
      <c r="J471" s="2"/>
      <c r="K471" s="157"/>
      <c r="L471" s="3"/>
      <c r="M471" s="3"/>
      <c r="N471" s="3"/>
      <c r="O471" s="2"/>
      <c r="P471" s="277"/>
    </row>
    <row r="472" spans="1:16" ht="30" customHeight="1" x14ac:dyDescent="0.15">
      <c r="A472" s="284" t="s">
        <v>7881</v>
      </c>
      <c r="B472" s="157"/>
      <c r="C472" s="157"/>
      <c r="D472" s="157"/>
      <c r="E472" s="6"/>
      <c r="F472" s="6"/>
      <c r="G472" s="2"/>
      <c r="H472" s="157"/>
      <c r="I472" s="157"/>
      <c r="J472" s="2"/>
      <c r="K472" s="157"/>
      <c r="L472" s="3"/>
      <c r="M472" s="3"/>
      <c r="N472" s="3"/>
      <c r="O472" s="2"/>
      <c r="P472" s="277"/>
    </row>
    <row r="473" spans="1:16" ht="30" customHeight="1" x14ac:dyDescent="0.15">
      <c r="A473" s="284" t="s">
        <v>7882</v>
      </c>
      <c r="B473" s="157"/>
      <c r="C473" s="157"/>
      <c r="D473" s="157"/>
      <c r="E473" s="6"/>
      <c r="F473" s="6"/>
      <c r="G473" s="2"/>
      <c r="H473" s="157"/>
      <c r="I473" s="157"/>
      <c r="J473" s="2"/>
      <c r="K473" s="157"/>
      <c r="L473" s="3"/>
      <c r="M473" s="3"/>
      <c r="N473" s="3"/>
      <c r="O473" s="2"/>
      <c r="P473" s="277"/>
    </row>
    <row r="474" spans="1:16" ht="30" customHeight="1" x14ac:dyDescent="0.15">
      <c r="A474" s="284" t="s">
        <v>7883</v>
      </c>
      <c r="B474" s="157"/>
      <c r="C474" s="157"/>
      <c r="D474" s="157"/>
      <c r="E474" s="6"/>
      <c r="F474" s="6"/>
      <c r="G474" s="2"/>
      <c r="H474" s="157"/>
      <c r="I474" s="157"/>
      <c r="J474" s="2"/>
      <c r="K474" s="157"/>
      <c r="L474" s="3"/>
      <c r="M474" s="3"/>
      <c r="N474" s="3"/>
      <c r="O474" s="2"/>
      <c r="P474" s="277"/>
    </row>
    <row r="475" spans="1:16" ht="30" customHeight="1" x14ac:dyDescent="0.15">
      <c r="A475" s="284" t="s">
        <v>7884</v>
      </c>
      <c r="B475" s="157"/>
      <c r="C475" s="157"/>
      <c r="D475" s="157"/>
      <c r="E475" s="6"/>
      <c r="F475" s="6"/>
      <c r="G475" s="2"/>
      <c r="H475" s="157"/>
      <c r="I475" s="157"/>
      <c r="J475" s="2"/>
      <c r="K475" s="157"/>
      <c r="L475" s="3"/>
      <c r="M475" s="3"/>
      <c r="N475" s="3"/>
      <c r="O475" s="2"/>
      <c r="P475" s="277"/>
    </row>
    <row r="476" spans="1:16" ht="30" customHeight="1" x14ac:dyDescent="0.15">
      <c r="A476" s="284" t="s">
        <v>7885</v>
      </c>
      <c r="B476" s="157"/>
      <c r="C476" s="157"/>
      <c r="D476" s="157"/>
      <c r="E476" s="6"/>
      <c r="F476" s="6"/>
      <c r="G476" s="2"/>
      <c r="H476" s="157"/>
      <c r="I476" s="157"/>
      <c r="J476" s="2"/>
      <c r="K476" s="157"/>
      <c r="L476" s="3"/>
      <c r="M476" s="3"/>
      <c r="N476" s="3"/>
      <c r="O476" s="2"/>
      <c r="P476" s="277"/>
    </row>
    <row r="477" spans="1:16" ht="30" customHeight="1" x14ac:dyDescent="0.15">
      <c r="A477" s="284" t="s">
        <v>7886</v>
      </c>
      <c r="B477" s="157"/>
      <c r="C477" s="157"/>
      <c r="D477" s="157"/>
      <c r="E477" s="6"/>
      <c r="F477" s="6"/>
      <c r="G477" s="2"/>
      <c r="H477" s="157"/>
      <c r="I477" s="157"/>
      <c r="J477" s="2"/>
      <c r="K477" s="157"/>
      <c r="L477" s="3"/>
      <c r="M477" s="3"/>
      <c r="N477" s="3"/>
      <c r="O477" s="2"/>
      <c r="P477" s="277"/>
    </row>
    <row r="478" spans="1:16" ht="30" customHeight="1" x14ac:dyDescent="0.15">
      <c r="A478" s="284" t="s">
        <v>7887</v>
      </c>
      <c r="B478" s="157"/>
      <c r="C478" s="157"/>
      <c r="D478" s="157"/>
      <c r="E478" s="6"/>
      <c r="F478" s="6"/>
      <c r="G478" s="2"/>
      <c r="H478" s="157"/>
      <c r="I478" s="157"/>
      <c r="J478" s="2"/>
      <c r="K478" s="157"/>
      <c r="L478" s="3"/>
      <c r="M478" s="3"/>
      <c r="N478" s="3"/>
      <c r="O478" s="2"/>
      <c r="P478" s="277"/>
    </row>
    <row r="479" spans="1:16" ht="30" customHeight="1" x14ac:dyDescent="0.15">
      <c r="A479" s="284" t="s">
        <v>7888</v>
      </c>
      <c r="B479" s="157"/>
      <c r="C479" s="157"/>
      <c r="D479" s="157"/>
      <c r="E479" s="6"/>
      <c r="F479" s="6"/>
      <c r="G479" s="2"/>
      <c r="H479" s="157"/>
      <c r="I479" s="157"/>
      <c r="J479" s="2"/>
      <c r="K479" s="157"/>
      <c r="L479" s="3"/>
      <c r="M479" s="3"/>
      <c r="N479" s="3"/>
      <c r="O479" s="2"/>
      <c r="P479" s="277"/>
    </row>
    <row r="480" spans="1:16" ht="30" customHeight="1" x14ac:dyDescent="0.15">
      <c r="A480" s="284" t="s">
        <v>7889</v>
      </c>
      <c r="B480" s="157"/>
      <c r="C480" s="157"/>
      <c r="D480" s="157"/>
      <c r="E480" s="6"/>
      <c r="F480" s="6"/>
      <c r="G480" s="2"/>
      <c r="H480" s="157"/>
      <c r="I480" s="157"/>
      <c r="J480" s="2"/>
      <c r="K480" s="157"/>
      <c r="L480" s="3"/>
      <c r="M480" s="3"/>
      <c r="N480" s="3"/>
      <c r="O480" s="2"/>
      <c r="P480" s="277"/>
    </row>
    <row r="481" spans="1:16" ht="30" customHeight="1" x14ac:dyDescent="0.15">
      <c r="A481" s="284" t="s">
        <v>7890</v>
      </c>
      <c r="B481" s="157"/>
      <c r="C481" s="157"/>
      <c r="D481" s="157"/>
      <c r="E481" s="6"/>
      <c r="F481" s="6"/>
      <c r="G481" s="2"/>
      <c r="H481" s="157"/>
      <c r="I481" s="157"/>
      <c r="J481" s="2"/>
      <c r="K481" s="157"/>
      <c r="L481" s="3"/>
      <c r="M481" s="3"/>
      <c r="N481" s="3"/>
      <c r="O481" s="2"/>
      <c r="P481" s="277"/>
    </row>
    <row r="482" spans="1:16" ht="30" customHeight="1" x14ac:dyDescent="0.15">
      <c r="A482" s="284" t="s">
        <v>7891</v>
      </c>
      <c r="B482" s="157"/>
      <c r="C482" s="157"/>
      <c r="D482" s="157"/>
      <c r="E482" s="6"/>
      <c r="F482" s="6"/>
      <c r="G482" s="2"/>
      <c r="H482" s="157"/>
      <c r="I482" s="157"/>
      <c r="J482" s="2"/>
      <c r="K482" s="157"/>
      <c r="L482" s="3"/>
      <c r="M482" s="3"/>
      <c r="N482" s="3"/>
      <c r="O482" s="2"/>
      <c r="P482" s="277"/>
    </row>
    <row r="483" spans="1:16" ht="30" customHeight="1" x14ac:dyDescent="0.15">
      <c r="A483" s="284" t="s">
        <v>7892</v>
      </c>
      <c r="B483" s="157"/>
      <c r="C483" s="157"/>
      <c r="D483" s="157"/>
      <c r="E483" s="6"/>
      <c r="F483" s="6"/>
      <c r="G483" s="2"/>
      <c r="H483" s="157"/>
      <c r="I483" s="157"/>
      <c r="J483" s="2"/>
      <c r="K483" s="157"/>
      <c r="L483" s="3"/>
      <c r="M483" s="3"/>
      <c r="N483" s="3"/>
      <c r="O483" s="2"/>
      <c r="P483" s="277"/>
    </row>
    <row r="484" spans="1:16" ht="30" customHeight="1" x14ac:dyDescent="0.15">
      <c r="A484" s="284" t="s">
        <v>7893</v>
      </c>
      <c r="B484" s="157"/>
      <c r="C484" s="157"/>
      <c r="D484" s="157"/>
      <c r="E484" s="6"/>
      <c r="F484" s="6"/>
      <c r="G484" s="2"/>
      <c r="H484" s="157"/>
      <c r="I484" s="157"/>
      <c r="J484" s="2"/>
      <c r="K484" s="157"/>
      <c r="L484" s="3"/>
      <c r="M484" s="3"/>
      <c r="N484" s="3"/>
      <c r="O484" s="2"/>
      <c r="P484" s="277"/>
    </row>
    <row r="485" spans="1:16" ht="30" customHeight="1" x14ac:dyDescent="0.15">
      <c r="A485" s="284" t="s">
        <v>7894</v>
      </c>
      <c r="B485" s="157"/>
      <c r="C485" s="157"/>
      <c r="D485" s="157"/>
      <c r="E485" s="6"/>
      <c r="F485" s="6"/>
      <c r="G485" s="2"/>
      <c r="H485" s="157"/>
      <c r="I485" s="157"/>
      <c r="J485" s="2"/>
      <c r="K485" s="157"/>
      <c r="L485" s="3"/>
      <c r="M485" s="3"/>
      <c r="N485" s="3"/>
      <c r="O485" s="2"/>
      <c r="P485" s="277"/>
    </row>
    <row r="486" spans="1:16" ht="30" customHeight="1" x14ac:dyDescent="0.15">
      <c r="A486" s="284" t="s">
        <v>7895</v>
      </c>
      <c r="B486" s="157"/>
      <c r="C486" s="157"/>
      <c r="D486" s="157"/>
      <c r="E486" s="6"/>
      <c r="F486" s="6"/>
      <c r="G486" s="2"/>
      <c r="H486" s="157"/>
      <c r="I486" s="157"/>
      <c r="J486" s="2"/>
      <c r="K486" s="157"/>
      <c r="L486" s="3"/>
      <c r="M486" s="3"/>
      <c r="N486" s="3"/>
      <c r="O486" s="2"/>
      <c r="P486" s="277"/>
    </row>
    <row r="487" spans="1:16" ht="30" customHeight="1" x14ac:dyDescent="0.15">
      <c r="A487" s="284" t="s">
        <v>7896</v>
      </c>
      <c r="B487" s="157"/>
      <c r="C487" s="157"/>
      <c r="D487" s="157"/>
      <c r="E487" s="6"/>
      <c r="F487" s="6"/>
      <c r="G487" s="2"/>
      <c r="H487" s="157"/>
      <c r="I487" s="157"/>
      <c r="J487" s="2"/>
      <c r="K487" s="157"/>
      <c r="L487" s="3"/>
      <c r="M487" s="3"/>
      <c r="N487" s="3"/>
      <c r="O487" s="2"/>
      <c r="P487" s="277"/>
    </row>
    <row r="488" spans="1:16" ht="30" customHeight="1" x14ac:dyDescent="0.15">
      <c r="A488" s="284" t="s">
        <v>7897</v>
      </c>
      <c r="B488" s="157"/>
      <c r="C488" s="157"/>
      <c r="D488" s="157"/>
      <c r="E488" s="6"/>
      <c r="F488" s="6"/>
      <c r="G488" s="2"/>
      <c r="H488" s="157"/>
      <c r="I488" s="157"/>
      <c r="J488" s="2"/>
      <c r="K488" s="157"/>
      <c r="L488" s="3"/>
      <c r="M488" s="3"/>
      <c r="N488" s="3"/>
      <c r="O488" s="2"/>
      <c r="P488" s="277"/>
    </row>
    <row r="489" spans="1:16" ht="30" customHeight="1" x14ac:dyDescent="0.15">
      <c r="A489" s="284" t="s">
        <v>7898</v>
      </c>
      <c r="B489" s="157"/>
      <c r="C489" s="157"/>
      <c r="D489" s="157"/>
      <c r="E489" s="6"/>
      <c r="F489" s="6"/>
      <c r="G489" s="2"/>
      <c r="H489" s="157"/>
      <c r="I489" s="157"/>
      <c r="J489" s="2"/>
      <c r="K489" s="157"/>
      <c r="L489" s="3"/>
      <c r="M489" s="3"/>
      <c r="N489" s="3"/>
      <c r="O489" s="2"/>
      <c r="P489" s="277"/>
    </row>
    <row r="490" spans="1:16" ht="30" customHeight="1" x14ac:dyDescent="0.15">
      <c r="A490" s="284" t="s">
        <v>7899</v>
      </c>
      <c r="B490" s="157"/>
      <c r="C490" s="157"/>
      <c r="D490" s="157"/>
      <c r="E490" s="6"/>
      <c r="F490" s="6"/>
      <c r="G490" s="2"/>
      <c r="H490" s="157"/>
      <c r="I490" s="157"/>
      <c r="J490" s="2"/>
      <c r="K490" s="157"/>
      <c r="L490" s="3"/>
      <c r="M490" s="3"/>
      <c r="N490" s="3"/>
      <c r="O490" s="2"/>
      <c r="P490" s="277"/>
    </row>
    <row r="491" spans="1:16" ht="30" customHeight="1" x14ac:dyDescent="0.15">
      <c r="A491" s="284" t="s">
        <v>7900</v>
      </c>
      <c r="B491" s="157"/>
      <c r="C491" s="157"/>
      <c r="D491" s="157"/>
      <c r="E491" s="6"/>
      <c r="F491" s="6"/>
      <c r="G491" s="2"/>
      <c r="H491" s="157"/>
      <c r="I491" s="157"/>
      <c r="J491" s="2"/>
      <c r="K491" s="157"/>
      <c r="L491" s="3"/>
      <c r="M491" s="3"/>
      <c r="N491" s="3"/>
      <c r="O491" s="2"/>
      <c r="P491" s="277"/>
    </row>
    <row r="492" spans="1:16" ht="30" customHeight="1" x14ac:dyDescent="0.15">
      <c r="A492" s="284" t="s">
        <v>7901</v>
      </c>
      <c r="B492" s="157"/>
      <c r="C492" s="157"/>
      <c r="D492" s="157"/>
      <c r="E492" s="6"/>
      <c r="F492" s="6"/>
      <c r="G492" s="2"/>
      <c r="H492" s="157"/>
      <c r="I492" s="157"/>
      <c r="J492" s="2"/>
      <c r="K492" s="157"/>
      <c r="L492" s="3"/>
      <c r="M492" s="3"/>
      <c r="N492" s="3"/>
      <c r="O492" s="2"/>
      <c r="P492" s="277"/>
    </row>
    <row r="493" spans="1:16" ht="30" customHeight="1" x14ac:dyDescent="0.15">
      <c r="A493" s="284" t="s">
        <v>7902</v>
      </c>
      <c r="B493" s="157"/>
      <c r="C493" s="157"/>
      <c r="D493" s="157"/>
      <c r="E493" s="6"/>
      <c r="F493" s="6"/>
      <c r="G493" s="2"/>
      <c r="H493" s="157"/>
      <c r="I493" s="157"/>
      <c r="J493" s="2"/>
      <c r="K493" s="157"/>
      <c r="L493" s="3"/>
      <c r="M493" s="3"/>
      <c r="N493" s="3"/>
      <c r="O493" s="2"/>
      <c r="P493" s="277"/>
    </row>
    <row r="494" spans="1:16" ht="30" customHeight="1" x14ac:dyDescent="0.15">
      <c r="A494" s="284" t="s">
        <v>7903</v>
      </c>
      <c r="B494" s="157"/>
      <c r="C494" s="157"/>
      <c r="D494" s="157"/>
      <c r="E494" s="6"/>
      <c r="F494" s="6"/>
      <c r="G494" s="2"/>
      <c r="H494" s="157"/>
      <c r="I494" s="157"/>
      <c r="J494" s="2"/>
      <c r="K494" s="157"/>
      <c r="L494" s="3"/>
      <c r="M494" s="3"/>
      <c r="N494" s="3"/>
      <c r="O494" s="2"/>
      <c r="P494" s="277"/>
    </row>
    <row r="495" spans="1:16" ht="30" customHeight="1" x14ac:dyDescent="0.15">
      <c r="A495" s="284" t="s">
        <v>7904</v>
      </c>
      <c r="B495" s="157"/>
      <c r="C495" s="157"/>
      <c r="D495" s="157"/>
      <c r="E495" s="6"/>
      <c r="F495" s="6"/>
      <c r="G495" s="2"/>
      <c r="H495" s="157"/>
      <c r="I495" s="157"/>
      <c r="J495" s="2"/>
      <c r="K495" s="157"/>
      <c r="L495" s="3"/>
      <c r="M495" s="3"/>
      <c r="N495" s="3"/>
      <c r="O495" s="2"/>
      <c r="P495" s="277"/>
    </row>
    <row r="496" spans="1:16" ht="30" customHeight="1" x14ac:dyDescent="0.15">
      <c r="A496" s="284" t="s">
        <v>7905</v>
      </c>
      <c r="B496" s="157"/>
      <c r="C496" s="157"/>
      <c r="D496" s="157"/>
      <c r="E496" s="6"/>
      <c r="F496" s="6"/>
      <c r="G496" s="2"/>
      <c r="H496" s="157"/>
      <c r="I496" s="157"/>
      <c r="J496" s="2"/>
      <c r="K496" s="157"/>
      <c r="L496" s="3"/>
      <c r="M496" s="3"/>
      <c r="N496" s="3"/>
      <c r="O496" s="2"/>
      <c r="P496" s="277"/>
    </row>
    <row r="497" spans="1:16" ht="30" customHeight="1" x14ac:dyDescent="0.15">
      <c r="A497" s="284" t="s">
        <v>7906</v>
      </c>
      <c r="B497" s="157"/>
      <c r="C497" s="157"/>
      <c r="D497" s="157"/>
      <c r="E497" s="6"/>
      <c r="F497" s="6"/>
      <c r="G497" s="2"/>
      <c r="H497" s="157"/>
      <c r="I497" s="157"/>
      <c r="J497" s="2"/>
      <c r="K497" s="157"/>
      <c r="L497" s="3"/>
      <c r="M497" s="3"/>
      <c r="N497" s="3"/>
      <c r="O497" s="2"/>
      <c r="P497" s="277"/>
    </row>
    <row r="498" spans="1:16" ht="30" customHeight="1" x14ac:dyDescent="0.15">
      <c r="A498" s="284" t="s">
        <v>7907</v>
      </c>
      <c r="B498" s="157"/>
      <c r="C498" s="157"/>
      <c r="D498" s="157"/>
      <c r="E498" s="6"/>
      <c r="F498" s="6"/>
      <c r="G498" s="2"/>
      <c r="H498" s="157"/>
      <c r="I498" s="157"/>
      <c r="J498" s="2"/>
      <c r="K498" s="157"/>
      <c r="L498" s="3"/>
      <c r="M498" s="3"/>
      <c r="N498" s="3"/>
      <c r="O498" s="2"/>
      <c r="P498" s="277"/>
    </row>
    <row r="499" spans="1:16" ht="30" customHeight="1" x14ac:dyDescent="0.15">
      <c r="A499" s="284" t="s">
        <v>7908</v>
      </c>
      <c r="B499" s="157"/>
      <c r="C499" s="157"/>
      <c r="D499" s="157"/>
      <c r="E499" s="6"/>
      <c r="F499" s="6"/>
      <c r="G499" s="2"/>
      <c r="H499" s="157"/>
      <c r="I499" s="157"/>
      <c r="J499" s="2"/>
      <c r="K499" s="157"/>
      <c r="L499" s="3"/>
      <c r="M499" s="3"/>
      <c r="N499" s="3"/>
      <c r="O499" s="2"/>
      <c r="P499" s="277"/>
    </row>
    <row r="500" spans="1:16" ht="30" customHeight="1" x14ac:dyDescent="0.15">
      <c r="A500" s="284" t="s">
        <v>7909</v>
      </c>
      <c r="B500" s="157"/>
      <c r="C500" s="157"/>
      <c r="D500" s="157"/>
      <c r="E500" s="6"/>
      <c r="F500" s="6"/>
      <c r="G500" s="2"/>
      <c r="H500" s="157"/>
      <c r="I500" s="157"/>
      <c r="J500" s="2"/>
      <c r="K500" s="157"/>
      <c r="L500" s="3"/>
      <c r="M500" s="3"/>
      <c r="N500" s="3"/>
      <c r="O500" s="2"/>
      <c r="P500" s="277"/>
    </row>
    <row r="501" spans="1:16" ht="30" customHeight="1" x14ac:dyDescent="0.15">
      <c r="A501" s="284" t="s">
        <v>7910</v>
      </c>
      <c r="B501" s="157"/>
      <c r="C501" s="157"/>
      <c r="D501" s="157"/>
      <c r="E501" s="6"/>
      <c r="F501" s="6"/>
      <c r="G501" s="2"/>
      <c r="H501" s="157"/>
      <c r="I501" s="157"/>
      <c r="J501" s="2"/>
      <c r="K501" s="157"/>
      <c r="L501" s="3"/>
      <c r="M501" s="3"/>
      <c r="N501" s="3"/>
      <c r="O501" s="2"/>
      <c r="P501" s="277"/>
    </row>
    <row r="502" spans="1:16" ht="30" customHeight="1" x14ac:dyDescent="0.15">
      <c r="A502" s="284" t="s">
        <v>7911</v>
      </c>
      <c r="B502" s="157"/>
      <c r="C502" s="157"/>
      <c r="D502" s="157"/>
      <c r="E502" s="6"/>
      <c r="F502" s="6"/>
      <c r="G502" s="2"/>
      <c r="H502" s="157"/>
      <c r="I502" s="157"/>
      <c r="J502" s="2"/>
      <c r="K502" s="157"/>
      <c r="L502" s="3"/>
      <c r="M502" s="3"/>
      <c r="N502" s="3"/>
      <c r="O502" s="2"/>
      <c r="P502" s="277"/>
    </row>
    <row r="503" spans="1:16" ht="30" customHeight="1" x14ac:dyDescent="0.15">
      <c r="A503" s="284" t="s">
        <v>7912</v>
      </c>
      <c r="B503" s="157"/>
      <c r="C503" s="157"/>
      <c r="D503" s="157"/>
      <c r="E503" s="6"/>
      <c r="F503" s="6"/>
      <c r="G503" s="2"/>
      <c r="H503" s="157"/>
      <c r="I503" s="157"/>
      <c r="J503" s="2"/>
      <c r="K503" s="157"/>
      <c r="L503" s="3"/>
      <c r="M503" s="3"/>
      <c r="N503" s="3"/>
      <c r="O503" s="2"/>
      <c r="P503" s="277"/>
    </row>
    <row r="504" spans="1:16" ht="30" customHeight="1" x14ac:dyDescent="0.15">
      <c r="A504" s="284" t="s">
        <v>7913</v>
      </c>
      <c r="B504" s="157"/>
      <c r="C504" s="157"/>
      <c r="D504" s="157"/>
      <c r="E504" s="6"/>
      <c r="F504" s="6"/>
      <c r="G504" s="2"/>
      <c r="H504" s="157"/>
      <c r="I504" s="157"/>
      <c r="J504" s="2"/>
      <c r="K504" s="157"/>
      <c r="L504" s="3"/>
      <c r="M504" s="3"/>
      <c r="N504" s="3"/>
      <c r="O504" s="2"/>
      <c r="P504" s="277"/>
    </row>
    <row r="505" spans="1:16" ht="30" customHeight="1" x14ac:dyDescent="0.15">
      <c r="A505" s="284" t="s">
        <v>7914</v>
      </c>
      <c r="B505" s="157"/>
      <c r="C505" s="157"/>
      <c r="D505" s="157"/>
      <c r="E505" s="6"/>
      <c r="F505" s="6"/>
      <c r="G505" s="2"/>
      <c r="H505" s="157"/>
      <c r="I505" s="157"/>
      <c r="J505" s="2"/>
      <c r="K505" s="157"/>
      <c r="L505" s="3"/>
      <c r="M505" s="3"/>
      <c r="N505" s="3"/>
      <c r="O505" s="2"/>
      <c r="P505" s="277"/>
    </row>
    <row r="506" spans="1:16" ht="30" customHeight="1" x14ac:dyDescent="0.15">
      <c r="A506" s="284" t="s">
        <v>7915</v>
      </c>
      <c r="B506" s="157"/>
      <c r="C506" s="157"/>
      <c r="D506" s="157"/>
      <c r="E506" s="6"/>
      <c r="F506" s="6"/>
      <c r="G506" s="2"/>
      <c r="H506" s="157"/>
      <c r="I506" s="157"/>
      <c r="J506" s="2"/>
      <c r="K506" s="157"/>
      <c r="L506" s="3"/>
      <c r="M506" s="3"/>
      <c r="N506" s="3"/>
      <c r="O506" s="2"/>
      <c r="P506" s="277"/>
    </row>
    <row r="507" spans="1:16" ht="30" customHeight="1" x14ac:dyDescent="0.15">
      <c r="A507" s="284" t="s">
        <v>7916</v>
      </c>
      <c r="B507" s="157"/>
      <c r="C507" s="157"/>
      <c r="D507" s="157"/>
      <c r="E507" s="6"/>
      <c r="F507" s="6"/>
      <c r="G507" s="2"/>
      <c r="H507" s="157"/>
      <c r="I507" s="157"/>
      <c r="J507" s="2"/>
      <c r="K507" s="157"/>
      <c r="L507" s="3"/>
      <c r="M507" s="3"/>
      <c r="N507" s="3"/>
      <c r="O507" s="2"/>
      <c r="P507" s="277"/>
    </row>
    <row r="508" spans="1:16" ht="30" customHeight="1" x14ac:dyDescent="0.15">
      <c r="A508" s="284" t="s">
        <v>7917</v>
      </c>
      <c r="B508" s="157"/>
      <c r="C508" s="157"/>
      <c r="D508" s="157"/>
      <c r="E508" s="6"/>
      <c r="F508" s="6"/>
      <c r="G508" s="2"/>
      <c r="H508" s="157"/>
      <c r="I508" s="157"/>
      <c r="J508" s="2"/>
      <c r="K508" s="157"/>
      <c r="L508" s="3"/>
      <c r="M508" s="3"/>
      <c r="N508" s="3"/>
      <c r="O508" s="2"/>
      <c r="P508" s="277"/>
    </row>
    <row r="509" spans="1:16" ht="30" customHeight="1" x14ac:dyDescent="0.15">
      <c r="A509" s="284" t="s">
        <v>7918</v>
      </c>
      <c r="B509" s="157"/>
      <c r="C509" s="157"/>
      <c r="D509" s="157"/>
      <c r="E509" s="6"/>
      <c r="F509" s="6"/>
      <c r="G509" s="2"/>
      <c r="H509" s="157"/>
      <c r="I509" s="157"/>
      <c r="J509" s="2"/>
      <c r="K509" s="157"/>
      <c r="L509" s="3"/>
      <c r="M509" s="3"/>
      <c r="N509" s="3"/>
      <c r="O509" s="2"/>
      <c r="P509" s="277"/>
    </row>
    <row r="510" spans="1:16" ht="30" customHeight="1" x14ac:dyDescent="0.15">
      <c r="A510" s="284" t="s">
        <v>7919</v>
      </c>
      <c r="B510" s="157"/>
      <c r="C510" s="157"/>
      <c r="D510" s="157"/>
      <c r="E510" s="6"/>
      <c r="F510" s="6"/>
      <c r="G510" s="2"/>
      <c r="H510" s="157"/>
      <c r="I510" s="157"/>
      <c r="J510" s="2"/>
      <c r="K510" s="157"/>
      <c r="L510" s="3"/>
      <c r="M510" s="3"/>
      <c r="N510" s="3"/>
      <c r="O510" s="2"/>
      <c r="P510" s="277"/>
    </row>
    <row r="511" spans="1:16" ht="30" customHeight="1" x14ac:dyDescent="0.15">
      <c r="A511" s="284" t="s">
        <v>7920</v>
      </c>
      <c r="B511" s="157"/>
      <c r="C511" s="157"/>
      <c r="D511" s="157"/>
      <c r="E511" s="6"/>
      <c r="F511" s="6"/>
      <c r="G511" s="2"/>
      <c r="H511" s="157"/>
      <c r="I511" s="157"/>
      <c r="J511" s="2"/>
      <c r="K511" s="157"/>
      <c r="L511" s="3"/>
      <c r="M511" s="3"/>
      <c r="N511" s="3"/>
      <c r="O511" s="2"/>
      <c r="P511" s="277"/>
    </row>
    <row r="512" spans="1:16" ht="30" customHeight="1" x14ac:dyDescent="0.15">
      <c r="A512" s="284" t="s">
        <v>7921</v>
      </c>
      <c r="B512" s="157"/>
      <c r="C512" s="157"/>
      <c r="D512" s="157"/>
      <c r="E512" s="6"/>
      <c r="F512" s="6"/>
      <c r="G512" s="2"/>
      <c r="H512" s="157"/>
      <c r="I512" s="157"/>
      <c r="J512" s="2"/>
      <c r="K512" s="157"/>
      <c r="L512" s="3"/>
      <c r="M512" s="3"/>
      <c r="N512" s="3"/>
      <c r="O512" s="2"/>
      <c r="P512" s="277"/>
    </row>
    <row r="513" spans="1:16" ht="30" customHeight="1" x14ac:dyDescent="0.15">
      <c r="A513" s="284" t="s">
        <v>7922</v>
      </c>
      <c r="B513" s="157"/>
      <c r="C513" s="157"/>
      <c r="D513" s="157"/>
      <c r="E513" s="6"/>
      <c r="F513" s="6"/>
      <c r="G513" s="2"/>
      <c r="H513" s="157"/>
      <c r="I513" s="157"/>
      <c r="J513" s="2"/>
      <c r="K513" s="157"/>
      <c r="L513" s="3"/>
      <c r="M513" s="3"/>
      <c r="N513" s="3"/>
      <c r="O513" s="2"/>
      <c r="P513" s="277"/>
    </row>
    <row r="514" spans="1:16" ht="30" customHeight="1" x14ac:dyDescent="0.15">
      <c r="A514" s="284" t="s">
        <v>7923</v>
      </c>
      <c r="B514" s="157"/>
      <c r="C514" s="157"/>
      <c r="D514" s="157"/>
      <c r="E514" s="6"/>
      <c r="F514" s="6"/>
      <c r="G514" s="2"/>
      <c r="H514" s="157"/>
      <c r="I514" s="157"/>
      <c r="J514" s="2"/>
      <c r="K514" s="157"/>
      <c r="L514" s="3"/>
      <c r="M514" s="3"/>
      <c r="N514" s="3"/>
      <c r="O514" s="2"/>
      <c r="P514" s="277"/>
    </row>
    <row r="515" spans="1:16" ht="30" customHeight="1" x14ac:dyDescent="0.15">
      <c r="A515" s="284" t="s">
        <v>7924</v>
      </c>
      <c r="B515" s="157"/>
      <c r="C515" s="157"/>
      <c r="D515" s="157"/>
      <c r="E515" s="6"/>
      <c r="F515" s="6"/>
      <c r="G515" s="2"/>
      <c r="H515" s="157"/>
      <c r="I515" s="157"/>
      <c r="J515" s="2"/>
      <c r="K515" s="157"/>
      <c r="L515" s="3"/>
      <c r="M515" s="3"/>
      <c r="N515" s="3"/>
      <c r="O515" s="2"/>
      <c r="P515" s="277"/>
    </row>
    <row r="516" spans="1:16" ht="30" customHeight="1" x14ac:dyDescent="0.15">
      <c r="A516" s="284" t="s">
        <v>7925</v>
      </c>
      <c r="B516" s="157"/>
      <c r="C516" s="157"/>
      <c r="D516" s="157"/>
      <c r="E516" s="6"/>
      <c r="F516" s="6"/>
      <c r="G516" s="2"/>
      <c r="H516" s="157"/>
      <c r="I516" s="157"/>
      <c r="J516" s="2"/>
      <c r="K516" s="157"/>
      <c r="L516" s="3"/>
      <c r="M516" s="3"/>
      <c r="N516" s="3"/>
      <c r="O516" s="2"/>
      <c r="P516" s="277"/>
    </row>
    <row r="517" spans="1:16" ht="30" customHeight="1" x14ac:dyDescent="0.15">
      <c r="A517" s="284" t="s">
        <v>7926</v>
      </c>
      <c r="B517" s="157"/>
      <c r="C517" s="157"/>
      <c r="D517" s="157"/>
      <c r="E517" s="6"/>
      <c r="F517" s="6"/>
      <c r="G517" s="2"/>
      <c r="H517" s="157"/>
      <c r="I517" s="157"/>
      <c r="J517" s="2"/>
      <c r="K517" s="157"/>
      <c r="L517" s="3"/>
      <c r="M517" s="3"/>
      <c r="N517" s="3"/>
      <c r="O517" s="2"/>
      <c r="P517" s="277"/>
    </row>
    <row r="518" spans="1:16" ht="30" customHeight="1" x14ac:dyDescent="0.15">
      <c r="A518" s="284" t="s">
        <v>7927</v>
      </c>
      <c r="B518" s="157"/>
      <c r="C518" s="157"/>
      <c r="D518" s="157"/>
      <c r="E518" s="6"/>
      <c r="F518" s="6"/>
      <c r="G518" s="2"/>
      <c r="H518" s="157"/>
      <c r="I518" s="157"/>
      <c r="J518" s="2"/>
      <c r="K518" s="157"/>
      <c r="L518" s="3"/>
      <c r="M518" s="3"/>
      <c r="N518" s="3"/>
      <c r="O518" s="2"/>
      <c r="P518" s="277"/>
    </row>
    <row r="519" spans="1:16" ht="30" customHeight="1" x14ac:dyDescent="0.15">
      <c r="A519" s="284" t="s">
        <v>7928</v>
      </c>
      <c r="B519" s="157"/>
      <c r="C519" s="157"/>
      <c r="D519" s="157"/>
      <c r="E519" s="6"/>
      <c r="F519" s="6"/>
      <c r="G519" s="2"/>
      <c r="H519" s="157"/>
      <c r="I519" s="157"/>
      <c r="J519" s="2"/>
      <c r="K519" s="157"/>
      <c r="L519" s="3"/>
      <c r="M519" s="3"/>
      <c r="N519" s="3"/>
      <c r="O519" s="2"/>
      <c r="P519" s="277"/>
    </row>
    <row r="520" spans="1:16" ht="30" customHeight="1" x14ac:dyDescent="0.15">
      <c r="A520" s="284" t="s">
        <v>7929</v>
      </c>
      <c r="B520" s="157"/>
      <c r="C520" s="157"/>
      <c r="D520" s="157"/>
      <c r="E520" s="6"/>
      <c r="F520" s="6"/>
      <c r="G520" s="2"/>
      <c r="H520" s="157"/>
      <c r="I520" s="157"/>
      <c r="J520" s="2"/>
      <c r="K520" s="157"/>
      <c r="L520" s="3"/>
      <c r="M520" s="3"/>
      <c r="N520" s="3"/>
      <c r="O520" s="2"/>
      <c r="P520" s="277"/>
    </row>
    <row r="521" spans="1:16" ht="30" customHeight="1" x14ac:dyDescent="0.15">
      <c r="A521" s="284" t="s">
        <v>7930</v>
      </c>
      <c r="B521" s="157"/>
      <c r="C521" s="157"/>
      <c r="D521" s="157"/>
      <c r="E521" s="6"/>
      <c r="F521" s="6"/>
      <c r="G521" s="2"/>
      <c r="H521" s="157"/>
      <c r="I521" s="157"/>
      <c r="J521" s="2"/>
      <c r="K521" s="157"/>
      <c r="L521" s="3"/>
      <c r="M521" s="3"/>
      <c r="N521" s="3"/>
      <c r="O521" s="2"/>
      <c r="P521" s="277"/>
    </row>
    <row r="522" spans="1:16" ht="30" customHeight="1" x14ac:dyDescent="0.15">
      <c r="A522" s="284" t="s">
        <v>7931</v>
      </c>
      <c r="B522" s="157"/>
      <c r="C522" s="157"/>
      <c r="D522" s="157"/>
      <c r="E522" s="6"/>
      <c r="F522" s="6"/>
      <c r="G522" s="2"/>
      <c r="H522" s="157"/>
      <c r="I522" s="157"/>
      <c r="J522" s="2"/>
      <c r="K522" s="157"/>
      <c r="L522" s="3"/>
      <c r="M522" s="3"/>
      <c r="N522" s="3"/>
      <c r="O522" s="2"/>
      <c r="P522" s="277"/>
    </row>
    <row r="523" spans="1:16" ht="30" customHeight="1" x14ac:dyDescent="0.15">
      <c r="A523" s="284" t="s">
        <v>7932</v>
      </c>
      <c r="B523" s="157"/>
      <c r="C523" s="157"/>
      <c r="D523" s="157"/>
      <c r="E523" s="6"/>
      <c r="F523" s="6"/>
      <c r="G523" s="2"/>
      <c r="H523" s="157"/>
      <c r="I523" s="157"/>
      <c r="J523" s="2"/>
      <c r="K523" s="157"/>
      <c r="L523" s="3"/>
      <c r="M523" s="3"/>
      <c r="N523" s="3"/>
      <c r="O523" s="2"/>
      <c r="P523" s="277"/>
    </row>
    <row r="524" spans="1:16" ht="30" customHeight="1" x14ac:dyDescent="0.15">
      <c r="A524" s="284" t="s">
        <v>7933</v>
      </c>
      <c r="B524" s="157"/>
      <c r="C524" s="157"/>
      <c r="D524" s="157"/>
      <c r="E524" s="6"/>
      <c r="F524" s="6"/>
      <c r="G524" s="2"/>
      <c r="H524" s="157"/>
      <c r="I524" s="157"/>
      <c r="J524" s="2"/>
      <c r="K524" s="157"/>
      <c r="L524" s="3"/>
      <c r="M524" s="3"/>
      <c r="N524" s="3"/>
      <c r="O524" s="2"/>
      <c r="P524" s="277"/>
    </row>
    <row r="525" spans="1:16" ht="30" customHeight="1" x14ac:dyDescent="0.15">
      <c r="A525" s="284" t="s">
        <v>7934</v>
      </c>
      <c r="B525" s="157"/>
      <c r="C525" s="157"/>
      <c r="D525" s="157"/>
      <c r="E525" s="6"/>
      <c r="F525" s="6"/>
      <c r="G525" s="2"/>
      <c r="H525" s="157"/>
      <c r="I525" s="157"/>
      <c r="J525" s="2"/>
      <c r="K525" s="157"/>
      <c r="L525" s="3"/>
      <c r="M525" s="3"/>
      <c r="N525" s="3"/>
      <c r="O525" s="2"/>
      <c r="P525" s="277"/>
    </row>
    <row r="526" spans="1:16" ht="30" customHeight="1" x14ac:dyDescent="0.15">
      <c r="A526" s="284" t="s">
        <v>7935</v>
      </c>
      <c r="B526" s="157"/>
      <c r="C526" s="157"/>
      <c r="D526" s="157"/>
      <c r="E526" s="6"/>
      <c r="F526" s="6"/>
      <c r="G526" s="2"/>
      <c r="H526" s="157"/>
      <c r="I526" s="157"/>
      <c r="J526" s="2"/>
      <c r="K526" s="157"/>
      <c r="L526" s="3"/>
      <c r="M526" s="3"/>
      <c r="N526" s="3"/>
      <c r="O526" s="2"/>
      <c r="P526" s="277"/>
    </row>
    <row r="527" spans="1:16" ht="30" customHeight="1" x14ac:dyDescent="0.15">
      <c r="A527" s="284" t="s">
        <v>7936</v>
      </c>
      <c r="B527" s="157"/>
      <c r="C527" s="157"/>
      <c r="D527" s="157"/>
      <c r="E527" s="6"/>
      <c r="F527" s="6"/>
      <c r="G527" s="2"/>
      <c r="H527" s="157"/>
      <c r="I527" s="157"/>
      <c r="J527" s="2"/>
      <c r="K527" s="157"/>
      <c r="L527" s="3"/>
      <c r="M527" s="3"/>
      <c r="N527" s="3"/>
      <c r="O527" s="2"/>
      <c r="P527" s="277"/>
    </row>
    <row r="528" spans="1:16" ht="30" customHeight="1" x14ac:dyDescent="0.15">
      <c r="A528" s="284" t="s">
        <v>7937</v>
      </c>
      <c r="B528" s="157"/>
      <c r="C528" s="157"/>
      <c r="D528" s="157"/>
      <c r="E528" s="6"/>
      <c r="F528" s="6"/>
      <c r="G528" s="2"/>
      <c r="H528" s="157"/>
      <c r="I528" s="157"/>
      <c r="J528" s="2"/>
      <c r="K528" s="157"/>
      <c r="L528" s="3"/>
      <c r="M528" s="3"/>
      <c r="N528" s="3"/>
      <c r="O528" s="2"/>
      <c r="P528" s="277"/>
    </row>
    <row r="529" spans="1:16" ht="30" customHeight="1" x14ac:dyDescent="0.15">
      <c r="A529" s="284" t="s">
        <v>7938</v>
      </c>
      <c r="B529" s="157"/>
      <c r="C529" s="157"/>
      <c r="D529" s="157"/>
      <c r="E529" s="6"/>
      <c r="F529" s="6"/>
      <c r="G529" s="2"/>
      <c r="H529" s="157"/>
      <c r="I529" s="157"/>
      <c r="J529" s="2"/>
      <c r="K529" s="157"/>
      <c r="L529" s="3"/>
      <c r="M529" s="3"/>
      <c r="N529" s="3"/>
      <c r="O529" s="2"/>
      <c r="P529" s="277"/>
    </row>
    <row r="530" spans="1:16" ht="30" customHeight="1" x14ac:dyDescent="0.15">
      <c r="A530" s="284" t="s">
        <v>7939</v>
      </c>
      <c r="B530" s="157"/>
      <c r="C530" s="157"/>
      <c r="D530" s="157"/>
      <c r="E530" s="6"/>
      <c r="F530" s="6"/>
      <c r="G530" s="2"/>
      <c r="H530" s="157"/>
      <c r="I530" s="157"/>
      <c r="J530" s="2"/>
      <c r="K530" s="157"/>
      <c r="L530" s="3"/>
      <c r="M530" s="3"/>
      <c r="N530" s="3"/>
      <c r="O530" s="2"/>
      <c r="P530" s="277"/>
    </row>
    <row r="531" spans="1:16" ht="30" customHeight="1" x14ac:dyDescent="0.15">
      <c r="A531" s="284" t="s">
        <v>7940</v>
      </c>
      <c r="B531" s="157"/>
      <c r="C531" s="157"/>
      <c r="D531" s="157"/>
      <c r="E531" s="6"/>
      <c r="F531" s="6"/>
      <c r="G531" s="2"/>
      <c r="H531" s="157"/>
      <c r="I531" s="157"/>
      <c r="J531" s="2"/>
      <c r="K531" s="157"/>
      <c r="L531" s="3"/>
      <c r="M531" s="3"/>
      <c r="N531" s="3"/>
      <c r="O531" s="2"/>
      <c r="P531" s="277"/>
    </row>
    <row r="532" spans="1:16" ht="30" customHeight="1" x14ac:dyDescent="0.15">
      <c r="A532" s="284" t="s">
        <v>7941</v>
      </c>
      <c r="B532" s="157"/>
      <c r="C532" s="157"/>
      <c r="D532" s="157"/>
      <c r="E532" s="6"/>
      <c r="F532" s="6"/>
      <c r="G532" s="2"/>
      <c r="H532" s="157"/>
      <c r="I532" s="157"/>
      <c r="J532" s="2"/>
      <c r="K532" s="157"/>
      <c r="L532" s="3"/>
      <c r="M532" s="3"/>
      <c r="N532" s="3"/>
      <c r="O532" s="2"/>
      <c r="P532" s="277"/>
    </row>
    <row r="533" spans="1:16" ht="30" customHeight="1" x14ac:dyDescent="0.15">
      <c r="A533" s="284" t="s">
        <v>7942</v>
      </c>
      <c r="B533" s="157"/>
      <c r="C533" s="157"/>
      <c r="D533" s="157"/>
      <c r="E533" s="6"/>
      <c r="F533" s="6"/>
      <c r="G533" s="2"/>
      <c r="H533" s="157"/>
      <c r="I533" s="157"/>
      <c r="J533" s="2"/>
      <c r="K533" s="157"/>
      <c r="L533" s="3"/>
      <c r="M533" s="3"/>
      <c r="N533" s="3"/>
      <c r="O533" s="2"/>
      <c r="P533" s="277"/>
    </row>
    <row r="534" spans="1:16" ht="30" customHeight="1" x14ac:dyDescent="0.15">
      <c r="A534" s="284" t="s">
        <v>7943</v>
      </c>
      <c r="B534" s="157"/>
      <c r="C534" s="157"/>
      <c r="D534" s="157"/>
      <c r="E534" s="6"/>
      <c r="F534" s="6"/>
      <c r="G534" s="2"/>
      <c r="H534" s="157"/>
      <c r="I534" s="157"/>
      <c r="J534" s="2"/>
      <c r="K534" s="157"/>
      <c r="L534" s="3"/>
      <c r="M534" s="3"/>
      <c r="N534" s="3"/>
      <c r="O534" s="2"/>
      <c r="P534" s="277"/>
    </row>
    <row r="535" spans="1:16" ht="30" customHeight="1" x14ac:dyDescent="0.15">
      <c r="A535" s="284" t="s">
        <v>7944</v>
      </c>
      <c r="B535" s="157"/>
      <c r="C535" s="157"/>
      <c r="D535" s="157"/>
      <c r="E535" s="6"/>
      <c r="F535" s="6"/>
      <c r="G535" s="2"/>
      <c r="H535" s="157"/>
      <c r="I535" s="157"/>
      <c r="J535" s="2"/>
      <c r="K535" s="157"/>
      <c r="L535" s="3"/>
      <c r="M535" s="3"/>
      <c r="N535" s="3"/>
      <c r="O535" s="2"/>
      <c r="P535" s="277"/>
    </row>
    <row r="536" spans="1:16" ht="30" customHeight="1" x14ac:dyDescent="0.15">
      <c r="A536" s="284" t="s">
        <v>7945</v>
      </c>
      <c r="B536" s="157"/>
      <c r="C536" s="157"/>
      <c r="D536" s="157"/>
      <c r="E536" s="6"/>
      <c r="F536" s="6"/>
      <c r="G536" s="2"/>
      <c r="H536" s="157"/>
      <c r="I536" s="157"/>
      <c r="J536" s="2"/>
      <c r="K536" s="157"/>
      <c r="L536" s="3"/>
      <c r="M536" s="3"/>
      <c r="N536" s="3"/>
      <c r="O536" s="2"/>
      <c r="P536" s="277"/>
    </row>
    <row r="537" spans="1:16" ht="30" customHeight="1" x14ac:dyDescent="0.15">
      <c r="A537" s="284" t="s">
        <v>7946</v>
      </c>
      <c r="B537" s="157"/>
      <c r="C537" s="157"/>
      <c r="D537" s="157"/>
      <c r="E537" s="6"/>
      <c r="F537" s="6"/>
      <c r="G537" s="2"/>
      <c r="H537" s="157"/>
      <c r="I537" s="157"/>
      <c r="J537" s="2"/>
      <c r="K537" s="157"/>
      <c r="L537" s="3"/>
      <c r="M537" s="3"/>
      <c r="N537" s="3"/>
      <c r="O537" s="2"/>
      <c r="P537" s="277"/>
    </row>
    <row r="538" spans="1:16" ht="30" customHeight="1" x14ac:dyDescent="0.15">
      <c r="A538" s="284" t="s">
        <v>7947</v>
      </c>
      <c r="B538" s="157"/>
      <c r="C538" s="157"/>
      <c r="D538" s="157"/>
      <c r="E538" s="6"/>
      <c r="F538" s="6"/>
      <c r="G538" s="2"/>
      <c r="H538" s="157"/>
      <c r="I538" s="157"/>
      <c r="J538" s="2"/>
      <c r="K538" s="157"/>
      <c r="L538" s="3"/>
      <c r="M538" s="3"/>
      <c r="N538" s="3"/>
      <c r="O538" s="2"/>
      <c r="P538" s="277"/>
    </row>
    <row r="539" spans="1:16" ht="30" customHeight="1" x14ac:dyDescent="0.15">
      <c r="A539" s="284" t="s">
        <v>7948</v>
      </c>
      <c r="B539" s="157"/>
      <c r="C539" s="157"/>
      <c r="D539" s="157"/>
      <c r="E539" s="6"/>
      <c r="F539" s="6"/>
      <c r="G539" s="2"/>
      <c r="H539" s="157"/>
      <c r="I539" s="157"/>
      <c r="J539" s="2"/>
      <c r="K539" s="157"/>
      <c r="L539" s="3"/>
      <c r="M539" s="3"/>
      <c r="N539" s="3"/>
      <c r="O539" s="2"/>
      <c r="P539" s="277"/>
    </row>
    <row r="540" spans="1:16" ht="30" customHeight="1" x14ac:dyDescent="0.15">
      <c r="A540" s="284" t="s">
        <v>7949</v>
      </c>
      <c r="B540" s="157"/>
      <c r="C540" s="157"/>
      <c r="D540" s="157"/>
      <c r="E540" s="6"/>
      <c r="F540" s="6"/>
      <c r="G540" s="2"/>
      <c r="H540" s="157"/>
      <c r="I540" s="157"/>
      <c r="J540" s="2"/>
      <c r="K540" s="157"/>
      <c r="L540" s="3"/>
      <c r="M540" s="3"/>
      <c r="N540" s="3"/>
      <c r="O540" s="2"/>
      <c r="P540" s="277"/>
    </row>
    <row r="541" spans="1:16" ht="30" customHeight="1" x14ac:dyDescent="0.15">
      <c r="A541" s="284" t="s">
        <v>7950</v>
      </c>
      <c r="B541" s="157"/>
      <c r="C541" s="157"/>
      <c r="D541" s="157"/>
      <c r="E541" s="6"/>
      <c r="F541" s="6"/>
      <c r="G541" s="2"/>
      <c r="H541" s="157"/>
      <c r="I541" s="157"/>
      <c r="J541" s="2"/>
      <c r="K541" s="157"/>
      <c r="L541" s="3"/>
      <c r="M541" s="3"/>
      <c r="N541" s="3"/>
      <c r="O541" s="2"/>
      <c r="P541" s="277"/>
    </row>
    <row r="542" spans="1:16" ht="30" customHeight="1" x14ac:dyDescent="0.15">
      <c r="A542" s="284" t="s">
        <v>7951</v>
      </c>
      <c r="B542" s="157"/>
      <c r="C542" s="157"/>
      <c r="D542" s="157"/>
      <c r="E542" s="6"/>
      <c r="F542" s="6"/>
      <c r="G542" s="2"/>
      <c r="H542" s="157"/>
      <c r="I542" s="157"/>
      <c r="J542" s="2"/>
      <c r="K542" s="157"/>
      <c r="L542" s="3"/>
      <c r="M542" s="3"/>
      <c r="N542" s="3"/>
      <c r="O542" s="2"/>
      <c r="P542" s="277"/>
    </row>
    <row r="543" spans="1:16" ht="30" customHeight="1" x14ac:dyDescent="0.15">
      <c r="A543" s="284" t="s">
        <v>7952</v>
      </c>
      <c r="B543" s="157"/>
      <c r="C543" s="157"/>
      <c r="D543" s="157"/>
      <c r="E543" s="6"/>
      <c r="F543" s="6"/>
      <c r="G543" s="2"/>
      <c r="H543" s="157"/>
      <c r="I543" s="157"/>
      <c r="J543" s="2"/>
      <c r="K543" s="157"/>
      <c r="L543" s="3"/>
      <c r="M543" s="3"/>
      <c r="N543" s="3"/>
      <c r="O543" s="2"/>
      <c r="P543" s="277"/>
    </row>
    <row r="544" spans="1:16" ht="30" customHeight="1" x14ac:dyDescent="0.15">
      <c r="A544" s="284" t="s">
        <v>7953</v>
      </c>
      <c r="B544" s="157"/>
      <c r="C544" s="157"/>
      <c r="D544" s="157"/>
      <c r="E544" s="6"/>
      <c r="F544" s="6"/>
      <c r="G544" s="2"/>
      <c r="H544" s="157"/>
      <c r="I544" s="157"/>
      <c r="J544" s="2"/>
      <c r="K544" s="157"/>
      <c r="L544" s="3"/>
      <c r="M544" s="3"/>
      <c r="N544" s="3"/>
      <c r="O544" s="2"/>
      <c r="P544" s="277"/>
    </row>
    <row r="545" spans="1:16" ht="30" customHeight="1" x14ac:dyDescent="0.15">
      <c r="A545" s="284" t="s">
        <v>7954</v>
      </c>
      <c r="B545" s="157"/>
      <c r="C545" s="157"/>
      <c r="D545" s="157"/>
      <c r="E545" s="6"/>
      <c r="F545" s="6"/>
      <c r="G545" s="2"/>
      <c r="H545" s="157"/>
      <c r="I545" s="157"/>
      <c r="J545" s="2"/>
      <c r="K545" s="157"/>
      <c r="L545" s="3"/>
      <c r="M545" s="3"/>
      <c r="N545" s="3"/>
      <c r="O545" s="2"/>
      <c r="P545" s="277"/>
    </row>
    <row r="546" spans="1:16" ht="30" customHeight="1" x14ac:dyDescent="0.15">
      <c r="A546" s="284" t="s">
        <v>7955</v>
      </c>
      <c r="B546" s="157"/>
      <c r="C546" s="157"/>
      <c r="D546" s="157"/>
      <c r="E546" s="6"/>
      <c r="F546" s="6"/>
      <c r="G546" s="2"/>
      <c r="H546" s="157"/>
      <c r="I546" s="157"/>
      <c r="J546" s="2"/>
      <c r="K546" s="157"/>
      <c r="L546" s="3"/>
      <c r="M546" s="3"/>
      <c r="N546" s="3"/>
      <c r="O546" s="2"/>
      <c r="P546" s="277"/>
    </row>
    <row r="547" spans="1:16" ht="30" customHeight="1" x14ac:dyDescent="0.15">
      <c r="A547" s="284" t="s">
        <v>7956</v>
      </c>
      <c r="B547" s="157"/>
      <c r="C547" s="157"/>
      <c r="D547" s="157"/>
      <c r="E547" s="6"/>
      <c r="F547" s="6"/>
      <c r="G547" s="2"/>
      <c r="H547" s="157"/>
      <c r="I547" s="157"/>
      <c r="J547" s="2"/>
      <c r="K547" s="157"/>
      <c r="L547" s="3"/>
      <c r="M547" s="3"/>
      <c r="N547" s="3"/>
      <c r="O547" s="2"/>
      <c r="P547" s="277"/>
    </row>
    <row r="548" spans="1:16" ht="30" customHeight="1" x14ac:dyDescent="0.15">
      <c r="A548" s="284" t="s">
        <v>7957</v>
      </c>
      <c r="B548" s="157"/>
      <c r="C548" s="157"/>
      <c r="D548" s="157"/>
      <c r="E548" s="6"/>
      <c r="F548" s="6"/>
      <c r="G548" s="2"/>
      <c r="H548" s="157"/>
      <c r="I548" s="157"/>
      <c r="J548" s="2"/>
      <c r="K548" s="157"/>
      <c r="L548" s="3"/>
      <c r="M548" s="3"/>
      <c r="N548" s="3"/>
      <c r="O548" s="2"/>
      <c r="P548" s="277"/>
    </row>
    <row r="549" spans="1:16" ht="30" customHeight="1" x14ac:dyDescent="0.15">
      <c r="A549" s="284" t="s">
        <v>7958</v>
      </c>
      <c r="B549" s="157"/>
      <c r="C549" s="157"/>
      <c r="D549" s="157"/>
      <c r="E549" s="6"/>
      <c r="F549" s="6"/>
      <c r="G549" s="2"/>
      <c r="H549" s="157"/>
      <c r="I549" s="157"/>
      <c r="J549" s="2"/>
      <c r="K549" s="157"/>
      <c r="L549" s="3"/>
      <c r="M549" s="3"/>
      <c r="N549" s="3"/>
      <c r="O549" s="2"/>
      <c r="P549" s="277"/>
    </row>
    <row r="550" spans="1:16" ht="30" customHeight="1" x14ac:dyDescent="0.15">
      <c r="A550" s="284" t="s">
        <v>7959</v>
      </c>
      <c r="B550" s="157"/>
      <c r="C550" s="157"/>
      <c r="D550" s="157"/>
      <c r="E550" s="6"/>
      <c r="F550" s="6"/>
      <c r="G550" s="2"/>
      <c r="H550" s="157"/>
      <c r="I550" s="157"/>
      <c r="J550" s="2"/>
      <c r="K550" s="157"/>
      <c r="L550" s="3"/>
      <c r="M550" s="3"/>
      <c r="N550" s="3"/>
      <c r="O550" s="2"/>
      <c r="P550" s="277"/>
    </row>
    <row r="551" spans="1:16" ht="30" customHeight="1" x14ac:dyDescent="0.15">
      <c r="A551" s="284" t="s">
        <v>7960</v>
      </c>
      <c r="B551" s="157"/>
      <c r="C551" s="157"/>
      <c r="D551" s="157"/>
      <c r="E551" s="6"/>
      <c r="F551" s="6"/>
      <c r="G551" s="2"/>
      <c r="H551" s="157"/>
      <c r="I551" s="157"/>
      <c r="J551" s="2"/>
      <c r="K551" s="157"/>
      <c r="L551" s="3"/>
      <c r="M551" s="3"/>
      <c r="N551" s="3"/>
      <c r="O551" s="2"/>
      <c r="P551" s="277"/>
    </row>
    <row r="552" spans="1:16" ht="30" customHeight="1" x14ac:dyDescent="0.15">
      <c r="A552" s="284" t="s">
        <v>7961</v>
      </c>
      <c r="B552" s="157"/>
      <c r="C552" s="157"/>
      <c r="D552" s="157"/>
      <c r="E552" s="6"/>
      <c r="F552" s="6"/>
      <c r="G552" s="2"/>
      <c r="H552" s="157"/>
      <c r="I552" s="157"/>
      <c r="J552" s="2"/>
      <c r="K552" s="157"/>
      <c r="L552" s="3"/>
      <c r="M552" s="3"/>
      <c r="N552" s="3"/>
      <c r="O552" s="2"/>
      <c r="P552" s="277"/>
    </row>
    <row r="553" spans="1:16" ht="30" customHeight="1" x14ac:dyDescent="0.15">
      <c r="A553" s="284" t="s">
        <v>7962</v>
      </c>
      <c r="B553" s="157"/>
      <c r="C553" s="157"/>
      <c r="D553" s="157"/>
      <c r="E553" s="6"/>
      <c r="F553" s="6"/>
      <c r="G553" s="2"/>
      <c r="H553" s="157"/>
      <c r="I553" s="157"/>
      <c r="J553" s="2"/>
      <c r="K553" s="157"/>
      <c r="L553" s="3"/>
      <c r="M553" s="3"/>
      <c r="N553" s="3"/>
      <c r="O553" s="2"/>
      <c r="P553" s="277"/>
    </row>
    <row r="554" spans="1:16" ht="30" customHeight="1" x14ac:dyDescent="0.15">
      <c r="A554" s="284" t="s">
        <v>7963</v>
      </c>
      <c r="B554" s="157"/>
      <c r="C554" s="157"/>
      <c r="D554" s="157"/>
      <c r="E554" s="6"/>
      <c r="F554" s="6"/>
      <c r="G554" s="2"/>
      <c r="H554" s="157"/>
      <c r="I554" s="157"/>
      <c r="J554" s="2"/>
      <c r="K554" s="157"/>
      <c r="L554" s="3"/>
      <c r="M554" s="3"/>
      <c r="N554" s="3"/>
      <c r="O554" s="2"/>
      <c r="P554" s="277"/>
    </row>
    <row r="555" spans="1:16" ht="30" customHeight="1" x14ac:dyDescent="0.15">
      <c r="A555" s="284" t="s">
        <v>7964</v>
      </c>
      <c r="B555" s="157"/>
      <c r="C555" s="157"/>
      <c r="D555" s="157"/>
      <c r="E555" s="6"/>
      <c r="F555" s="6"/>
      <c r="G555" s="2"/>
      <c r="H555" s="157"/>
      <c r="I555" s="157"/>
      <c r="J555" s="2"/>
      <c r="K555" s="157"/>
      <c r="L555" s="3"/>
      <c r="M555" s="3"/>
      <c r="N555" s="3"/>
      <c r="O555" s="2"/>
      <c r="P555" s="277"/>
    </row>
    <row r="556" spans="1:16" ht="30" customHeight="1" x14ac:dyDescent="0.15">
      <c r="A556" s="284" t="s">
        <v>7965</v>
      </c>
      <c r="B556" s="157"/>
      <c r="C556" s="157"/>
      <c r="D556" s="157"/>
      <c r="E556" s="6"/>
      <c r="F556" s="6"/>
      <c r="G556" s="2"/>
      <c r="H556" s="157"/>
      <c r="I556" s="157"/>
      <c r="J556" s="2"/>
      <c r="K556" s="157"/>
      <c r="L556" s="3"/>
      <c r="M556" s="3"/>
      <c r="N556" s="3"/>
      <c r="O556" s="2"/>
      <c r="P556" s="277"/>
    </row>
    <row r="557" spans="1:16" ht="30" customHeight="1" x14ac:dyDescent="0.15">
      <c r="A557" s="284" t="s">
        <v>7966</v>
      </c>
      <c r="B557" s="157"/>
      <c r="C557" s="157"/>
      <c r="D557" s="157"/>
      <c r="E557" s="6"/>
      <c r="F557" s="6"/>
      <c r="G557" s="2"/>
      <c r="H557" s="157"/>
      <c r="I557" s="157"/>
      <c r="J557" s="2"/>
      <c r="K557" s="157"/>
      <c r="L557" s="3"/>
      <c r="M557" s="3"/>
      <c r="N557" s="3"/>
      <c r="O557" s="2"/>
      <c r="P557" s="277"/>
    </row>
    <row r="558" spans="1:16" ht="30" customHeight="1" x14ac:dyDescent="0.15">
      <c r="A558" s="284" t="s">
        <v>7967</v>
      </c>
      <c r="B558" s="157"/>
      <c r="C558" s="157"/>
      <c r="D558" s="157"/>
      <c r="E558" s="6"/>
      <c r="F558" s="6"/>
      <c r="G558" s="2"/>
      <c r="H558" s="157"/>
      <c r="I558" s="157"/>
      <c r="J558" s="2"/>
      <c r="K558" s="157"/>
      <c r="L558" s="3"/>
      <c r="M558" s="3"/>
      <c r="N558" s="3"/>
      <c r="O558" s="2"/>
      <c r="P558" s="277"/>
    </row>
    <row r="559" spans="1:16" ht="30" customHeight="1" x14ac:dyDescent="0.15">
      <c r="A559" s="284" t="s">
        <v>7968</v>
      </c>
      <c r="B559" s="157"/>
      <c r="C559" s="157"/>
      <c r="D559" s="157"/>
      <c r="E559" s="6"/>
      <c r="F559" s="6"/>
      <c r="G559" s="2"/>
      <c r="H559" s="157"/>
      <c r="I559" s="157"/>
      <c r="J559" s="2"/>
      <c r="K559" s="157"/>
      <c r="L559" s="3"/>
      <c r="M559" s="3"/>
      <c r="N559" s="3"/>
      <c r="O559" s="2"/>
      <c r="P559" s="277"/>
    </row>
    <row r="560" spans="1:16" ht="30" customHeight="1" x14ac:dyDescent="0.15">
      <c r="A560" s="284" t="s">
        <v>7969</v>
      </c>
      <c r="B560" s="157"/>
      <c r="C560" s="157"/>
      <c r="D560" s="157"/>
      <c r="E560" s="6"/>
      <c r="F560" s="6"/>
      <c r="G560" s="2"/>
      <c r="H560" s="157"/>
      <c r="I560" s="157"/>
      <c r="J560" s="2"/>
      <c r="K560" s="157"/>
      <c r="L560" s="3"/>
      <c r="M560" s="3"/>
      <c r="N560" s="3"/>
      <c r="O560" s="2"/>
      <c r="P560" s="277"/>
    </row>
    <row r="561" spans="1:16" ht="30" customHeight="1" x14ac:dyDescent="0.15">
      <c r="A561" s="284" t="s">
        <v>7970</v>
      </c>
      <c r="B561" s="157"/>
      <c r="C561" s="157"/>
      <c r="D561" s="157"/>
      <c r="E561" s="6"/>
      <c r="F561" s="6"/>
      <c r="G561" s="2"/>
      <c r="H561" s="157"/>
      <c r="I561" s="157"/>
      <c r="J561" s="2"/>
      <c r="K561" s="157"/>
      <c r="L561" s="3"/>
      <c r="M561" s="3"/>
      <c r="N561" s="3"/>
      <c r="O561" s="2"/>
      <c r="P561" s="277"/>
    </row>
    <row r="562" spans="1:16" ht="30" customHeight="1" x14ac:dyDescent="0.15">
      <c r="A562" s="284" t="s">
        <v>7971</v>
      </c>
      <c r="B562" s="157"/>
      <c r="C562" s="157"/>
      <c r="D562" s="157"/>
      <c r="E562" s="6"/>
      <c r="F562" s="6"/>
      <c r="G562" s="2"/>
      <c r="H562" s="157"/>
      <c r="I562" s="157"/>
      <c r="J562" s="2"/>
      <c r="K562" s="157"/>
      <c r="L562" s="3"/>
      <c r="M562" s="3"/>
      <c r="N562" s="3"/>
      <c r="O562" s="2"/>
      <c r="P562" s="277"/>
    </row>
    <row r="563" spans="1:16" ht="30" customHeight="1" x14ac:dyDescent="0.15">
      <c r="A563" s="284" t="s">
        <v>7972</v>
      </c>
      <c r="B563" s="157"/>
      <c r="C563" s="157"/>
      <c r="D563" s="157"/>
      <c r="E563" s="6"/>
      <c r="F563" s="6"/>
      <c r="G563" s="2"/>
      <c r="H563" s="157"/>
      <c r="I563" s="157"/>
      <c r="J563" s="2"/>
      <c r="K563" s="157"/>
      <c r="L563" s="3"/>
      <c r="M563" s="3"/>
      <c r="N563" s="3"/>
      <c r="O563" s="2"/>
      <c r="P563" s="277"/>
    </row>
    <row r="564" spans="1:16" ht="30" customHeight="1" x14ac:dyDescent="0.15">
      <c r="A564" s="284" t="s">
        <v>7973</v>
      </c>
      <c r="B564" s="157"/>
      <c r="C564" s="157"/>
      <c r="D564" s="157"/>
      <c r="E564" s="6"/>
      <c r="F564" s="6"/>
      <c r="G564" s="2"/>
      <c r="H564" s="157"/>
      <c r="I564" s="157"/>
      <c r="J564" s="2"/>
      <c r="K564" s="157"/>
      <c r="L564" s="3"/>
      <c r="M564" s="3"/>
      <c r="N564" s="3"/>
      <c r="O564" s="2"/>
      <c r="P564" s="277"/>
    </row>
    <row r="565" spans="1:16" ht="30" customHeight="1" x14ac:dyDescent="0.15">
      <c r="A565" s="284" t="s">
        <v>7974</v>
      </c>
      <c r="B565" s="157"/>
      <c r="C565" s="157"/>
      <c r="D565" s="157"/>
      <c r="E565" s="6"/>
      <c r="F565" s="6"/>
      <c r="G565" s="2"/>
      <c r="H565" s="157"/>
      <c r="I565" s="157"/>
      <c r="J565" s="2"/>
      <c r="K565" s="157"/>
      <c r="L565" s="3"/>
      <c r="M565" s="3"/>
      <c r="N565" s="3"/>
      <c r="O565" s="2"/>
      <c r="P565" s="277"/>
    </row>
    <row r="566" spans="1:16" ht="30" customHeight="1" x14ac:dyDescent="0.15">
      <c r="A566" s="284" t="s">
        <v>7975</v>
      </c>
      <c r="B566" s="157"/>
      <c r="C566" s="157"/>
      <c r="D566" s="157"/>
      <c r="E566" s="6"/>
      <c r="F566" s="6"/>
      <c r="G566" s="2"/>
      <c r="H566" s="157"/>
      <c r="I566" s="157"/>
      <c r="J566" s="2"/>
      <c r="K566" s="157"/>
      <c r="L566" s="3"/>
      <c r="M566" s="3"/>
      <c r="N566" s="3"/>
      <c r="O566" s="2"/>
      <c r="P566" s="277"/>
    </row>
    <row r="567" spans="1:16" ht="30" customHeight="1" x14ac:dyDescent="0.15">
      <c r="A567" s="284" t="s">
        <v>7976</v>
      </c>
      <c r="B567" s="157"/>
      <c r="C567" s="157"/>
      <c r="D567" s="157"/>
      <c r="E567" s="6"/>
      <c r="F567" s="6"/>
      <c r="G567" s="2"/>
      <c r="H567" s="157"/>
      <c r="I567" s="157"/>
      <c r="J567" s="2"/>
      <c r="K567" s="157"/>
      <c r="L567" s="3"/>
      <c r="M567" s="3"/>
      <c r="N567" s="3"/>
      <c r="O567" s="2"/>
      <c r="P567" s="277"/>
    </row>
    <row r="568" spans="1:16" ht="30" customHeight="1" x14ac:dyDescent="0.15">
      <c r="A568" s="284" t="s">
        <v>7977</v>
      </c>
      <c r="B568" s="157"/>
      <c r="C568" s="157"/>
      <c r="D568" s="157"/>
      <c r="E568" s="6"/>
      <c r="F568" s="6"/>
      <c r="G568" s="2"/>
      <c r="H568" s="157"/>
      <c r="I568" s="157"/>
      <c r="J568" s="2"/>
      <c r="K568" s="157"/>
      <c r="L568" s="3"/>
      <c r="M568" s="3"/>
      <c r="N568" s="3"/>
      <c r="O568" s="2"/>
      <c r="P568" s="277"/>
    </row>
    <row r="569" spans="1:16" ht="30" customHeight="1" x14ac:dyDescent="0.15">
      <c r="A569" s="284" t="s">
        <v>7978</v>
      </c>
      <c r="B569" s="157"/>
      <c r="C569" s="157"/>
      <c r="D569" s="157"/>
      <c r="E569" s="6"/>
      <c r="F569" s="6"/>
      <c r="G569" s="2"/>
      <c r="H569" s="157"/>
      <c r="I569" s="157"/>
      <c r="J569" s="2"/>
      <c r="K569" s="157"/>
      <c r="L569" s="3"/>
      <c r="M569" s="3"/>
      <c r="N569" s="3"/>
      <c r="O569" s="2"/>
      <c r="P569" s="277"/>
    </row>
    <row r="570" spans="1:16" ht="30" customHeight="1" x14ac:dyDescent="0.15">
      <c r="A570" s="284" t="s">
        <v>7979</v>
      </c>
      <c r="B570" s="157"/>
      <c r="C570" s="157"/>
      <c r="D570" s="157"/>
      <c r="E570" s="6"/>
      <c r="F570" s="6"/>
      <c r="G570" s="2"/>
      <c r="H570" s="157"/>
      <c r="I570" s="157"/>
      <c r="J570" s="2"/>
      <c r="K570" s="157"/>
      <c r="L570" s="3"/>
      <c r="M570" s="3"/>
      <c r="N570" s="3"/>
      <c r="O570" s="2"/>
      <c r="P570" s="277"/>
    </row>
    <row r="571" spans="1:16" ht="30" customHeight="1" x14ac:dyDescent="0.15">
      <c r="A571" s="284" t="s">
        <v>7980</v>
      </c>
      <c r="B571" s="157"/>
      <c r="C571" s="157"/>
      <c r="D571" s="157"/>
      <c r="E571" s="6"/>
      <c r="F571" s="6"/>
      <c r="G571" s="2"/>
      <c r="H571" s="157"/>
      <c r="I571" s="157"/>
      <c r="J571" s="2"/>
      <c r="K571" s="157"/>
      <c r="L571" s="3"/>
      <c r="M571" s="3"/>
      <c r="N571" s="3"/>
      <c r="O571" s="2"/>
      <c r="P571" s="277"/>
    </row>
    <row r="572" spans="1:16" ht="30" customHeight="1" x14ac:dyDescent="0.15">
      <c r="A572" s="284" t="s">
        <v>7981</v>
      </c>
      <c r="B572" s="157"/>
      <c r="C572" s="157"/>
      <c r="D572" s="157"/>
      <c r="E572" s="6"/>
      <c r="F572" s="6"/>
      <c r="G572" s="2"/>
      <c r="H572" s="157"/>
      <c r="I572" s="157"/>
      <c r="J572" s="2"/>
      <c r="K572" s="157"/>
      <c r="L572" s="3"/>
      <c r="M572" s="3"/>
      <c r="N572" s="3"/>
      <c r="O572" s="2"/>
      <c r="P572" s="277"/>
    </row>
    <row r="573" spans="1:16" ht="30" customHeight="1" x14ac:dyDescent="0.15">
      <c r="A573" s="284" t="s">
        <v>7982</v>
      </c>
      <c r="B573" s="157"/>
      <c r="C573" s="157"/>
      <c r="D573" s="157"/>
      <c r="E573" s="6"/>
      <c r="F573" s="6"/>
      <c r="G573" s="2"/>
      <c r="H573" s="157"/>
      <c r="I573" s="157"/>
      <c r="J573" s="2"/>
      <c r="K573" s="157"/>
      <c r="L573" s="3"/>
      <c r="M573" s="3"/>
      <c r="N573" s="3"/>
      <c r="O573" s="2"/>
      <c r="P573" s="277"/>
    </row>
    <row r="574" spans="1:16" ht="30" customHeight="1" x14ac:dyDescent="0.15">
      <c r="A574" s="284" t="s">
        <v>7983</v>
      </c>
      <c r="B574" s="157"/>
      <c r="C574" s="157"/>
      <c r="D574" s="157"/>
      <c r="E574" s="6"/>
      <c r="F574" s="6"/>
      <c r="G574" s="2"/>
      <c r="H574" s="157"/>
      <c r="I574" s="157"/>
      <c r="J574" s="2"/>
      <c r="K574" s="157"/>
      <c r="L574" s="3"/>
      <c r="M574" s="3"/>
      <c r="N574" s="3"/>
      <c r="O574" s="2"/>
      <c r="P574" s="277"/>
    </row>
    <row r="575" spans="1:16" ht="30" customHeight="1" x14ac:dyDescent="0.15">
      <c r="A575" s="284" t="s">
        <v>7984</v>
      </c>
      <c r="B575" s="157"/>
      <c r="C575" s="157"/>
      <c r="D575" s="157"/>
      <c r="E575" s="6"/>
      <c r="F575" s="6"/>
      <c r="G575" s="2"/>
      <c r="H575" s="157"/>
      <c r="I575" s="157"/>
      <c r="J575" s="2"/>
      <c r="K575" s="157"/>
      <c r="L575" s="3"/>
      <c r="M575" s="3"/>
      <c r="N575" s="3"/>
      <c r="O575" s="2"/>
      <c r="P575" s="277"/>
    </row>
    <row r="576" spans="1:16" ht="30" customHeight="1" x14ac:dyDescent="0.15">
      <c r="A576" s="284" t="s">
        <v>7985</v>
      </c>
      <c r="B576" s="157"/>
      <c r="C576" s="157"/>
      <c r="D576" s="157"/>
      <c r="E576" s="6"/>
      <c r="F576" s="6"/>
      <c r="G576" s="2"/>
      <c r="H576" s="157"/>
      <c r="I576" s="157"/>
      <c r="J576" s="2"/>
      <c r="K576" s="157"/>
      <c r="L576" s="3"/>
      <c r="M576" s="3"/>
      <c r="N576" s="3"/>
      <c r="O576" s="2"/>
      <c r="P576" s="277"/>
    </row>
    <row r="577" spans="1:16" ht="30" customHeight="1" x14ac:dyDescent="0.15">
      <c r="A577" s="284" t="s">
        <v>7986</v>
      </c>
      <c r="B577" s="157"/>
      <c r="C577" s="157"/>
      <c r="D577" s="157"/>
      <c r="E577" s="6"/>
      <c r="F577" s="6"/>
      <c r="G577" s="2"/>
      <c r="H577" s="157"/>
      <c r="I577" s="157"/>
      <c r="J577" s="2"/>
      <c r="K577" s="157"/>
      <c r="L577" s="3"/>
      <c r="M577" s="3"/>
      <c r="N577" s="3"/>
      <c r="O577" s="2"/>
      <c r="P577" s="277"/>
    </row>
    <row r="578" spans="1:16" ht="30" customHeight="1" x14ac:dyDescent="0.15">
      <c r="A578" s="284" t="s">
        <v>7987</v>
      </c>
      <c r="B578" s="157"/>
      <c r="C578" s="157"/>
      <c r="D578" s="157"/>
      <c r="E578" s="6"/>
      <c r="F578" s="6"/>
      <c r="G578" s="2"/>
      <c r="H578" s="157"/>
      <c r="I578" s="157"/>
      <c r="J578" s="2"/>
      <c r="K578" s="157"/>
      <c r="L578" s="3"/>
      <c r="M578" s="3"/>
      <c r="N578" s="3"/>
      <c r="O578" s="2"/>
      <c r="P578" s="277"/>
    </row>
    <row r="579" spans="1:16" ht="30" customHeight="1" x14ac:dyDescent="0.15">
      <c r="A579" s="284" t="s">
        <v>7988</v>
      </c>
      <c r="B579" s="157"/>
      <c r="C579" s="157"/>
      <c r="D579" s="157"/>
      <c r="E579" s="6"/>
      <c r="F579" s="6"/>
      <c r="G579" s="2"/>
      <c r="H579" s="157"/>
      <c r="I579" s="157"/>
      <c r="J579" s="2"/>
      <c r="K579" s="157"/>
      <c r="L579" s="3"/>
      <c r="M579" s="3"/>
      <c r="N579" s="3"/>
      <c r="O579" s="2"/>
      <c r="P579" s="277"/>
    </row>
    <row r="580" spans="1:16" ht="30" customHeight="1" x14ac:dyDescent="0.15">
      <c r="A580" s="284" t="s">
        <v>7989</v>
      </c>
      <c r="B580" s="157"/>
      <c r="C580" s="157"/>
      <c r="D580" s="157"/>
      <c r="E580" s="6"/>
      <c r="F580" s="6"/>
      <c r="G580" s="2"/>
      <c r="H580" s="157"/>
      <c r="I580" s="157"/>
      <c r="J580" s="2"/>
      <c r="K580" s="157"/>
      <c r="L580" s="3"/>
      <c r="M580" s="3"/>
      <c r="N580" s="3"/>
      <c r="O580" s="2"/>
      <c r="P580" s="277"/>
    </row>
    <row r="581" spans="1:16" ht="30" customHeight="1" x14ac:dyDescent="0.15">
      <c r="A581" s="284" t="s">
        <v>7990</v>
      </c>
      <c r="B581" s="157"/>
      <c r="C581" s="157"/>
      <c r="D581" s="157"/>
      <c r="E581" s="6"/>
      <c r="F581" s="6"/>
      <c r="G581" s="2"/>
      <c r="H581" s="157"/>
      <c r="I581" s="157"/>
      <c r="J581" s="2"/>
      <c r="K581" s="157"/>
      <c r="L581" s="3"/>
      <c r="M581" s="3"/>
      <c r="N581" s="3"/>
      <c r="O581" s="2"/>
      <c r="P581" s="277"/>
    </row>
    <row r="582" spans="1:16" ht="30" customHeight="1" x14ac:dyDescent="0.15">
      <c r="A582" s="284" t="s">
        <v>7991</v>
      </c>
      <c r="B582" s="157"/>
      <c r="C582" s="157"/>
      <c r="D582" s="157"/>
      <c r="E582" s="6"/>
      <c r="F582" s="6"/>
      <c r="G582" s="2"/>
      <c r="H582" s="157"/>
      <c r="I582" s="157"/>
      <c r="J582" s="2"/>
      <c r="K582" s="157"/>
      <c r="L582" s="3"/>
      <c r="M582" s="3"/>
      <c r="N582" s="3"/>
      <c r="O582" s="2"/>
      <c r="P582" s="277"/>
    </row>
    <row r="583" spans="1:16" ht="30" customHeight="1" x14ac:dyDescent="0.15">
      <c r="A583" s="284" t="s">
        <v>7992</v>
      </c>
      <c r="B583" s="157"/>
      <c r="C583" s="157"/>
      <c r="D583" s="157"/>
      <c r="E583" s="6"/>
      <c r="F583" s="6"/>
      <c r="G583" s="2"/>
      <c r="H583" s="157"/>
      <c r="I583" s="157"/>
      <c r="J583" s="2"/>
      <c r="K583" s="157"/>
      <c r="L583" s="3"/>
      <c r="M583" s="3"/>
      <c r="N583" s="3"/>
      <c r="O583" s="2"/>
      <c r="P583" s="277"/>
    </row>
    <row r="584" spans="1:16" ht="30" customHeight="1" x14ac:dyDescent="0.15">
      <c r="A584" s="284" t="s">
        <v>7993</v>
      </c>
      <c r="B584" s="157"/>
      <c r="C584" s="157"/>
      <c r="D584" s="157"/>
      <c r="E584" s="6"/>
      <c r="F584" s="6"/>
      <c r="G584" s="2"/>
      <c r="H584" s="157"/>
      <c r="I584" s="157"/>
      <c r="J584" s="2"/>
      <c r="K584" s="157"/>
      <c r="L584" s="3"/>
      <c r="M584" s="3"/>
      <c r="N584" s="3"/>
      <c r="O584" s="2"/>
      <c r="P584" s="277"/>
    </row>
    <row r="585" spans="1:16" ht="30" customHeight="1" x14ac:dyDescent="0.15">
      <c r="A585" s="284" t="s">
        <v>7994</v>
      </c>
      <c r="B585" s="157"/>
      <c r="C585" s="157"/>
      <c r="D585" s="157"/>
      <c r="E585" s="6"/>
      <c r="F585" s="6"/>
      <c r="G585" s="2"/>
      <c r="H585" s="157"/>
      <c r="I585" s="157"/>
      <c r="J585" s="2"/>
      <c r="K585" s="157"/>
      <c r="L585" s="3"/>
      <c r="M585" s="3"/>
      <c r="N585" s="3"/>
      <c r="O585" s="2"/>
      <c r="P585" s="277"/>
    </row>
    <row r="586" spans="1:16" ht="30" customHeight="1" x14ac:dyDescent="0.15">
      <c r="A586" s="284" t="s">
        <v>7995</v>
      </c>
      <c r="B586" s="157"/>
      <c r="C586" s="157"/>
      <c r="D586" s="157"/>
      <c r="E586" s="6"/>
      <c r="F586" s="6"/>
      <c r="G586" s="2"/>
      <c r="H586" s="157"/>
      <c r="I586" s="157"/>
      <c r="J586" s="2"/>
      <c r="K586" s="157"/>
      <c r="L586" s="3"/>
      <c r="M586" s="3"/>
      <c r="N586" s="3"/>
      <c r="O586" s="2"/>
      <c r="P586" s="277"/>
    </row>
    <row r="587" spans="1:16" ht="30" customHeight="1" x14ac:dyDescent="0.15">
      <c r="A587" s="284" t="s">
        <v>7996</v>
      </c>
      <c r="B587" s="157"/>
      <c r="C587" s="157"/>
      <c r="D587" s="157"/>
      <c r="E587" s="6"/>
      <c r="F587" s="6"/>
      <c r="G587" s="2"/>
      <c r="H587" s="157"/>
      <c r="I587" s="157"/>
      <c r="J587" s="2"/>
      <c r="K587" s="157"/>
      <c r="L587" s="3"/>
      <c r="M587" s="3"/>
      <c r="N587" s="3"/>
      <c r="O587" s="2"/>
      <c r="P587" s="277"/>
    </row>
    <row r="588" spans="1:16" ht="30" customHeight="1" x14ac:dyDescent="0.15">
      <c r="A588" s="284" t="s">
        <v>7997</v>
      </c>
      <c r="B588" s="157"/>
      <c r="C588" s="157"/>
      <c r="D588" s="157"/>
      <c r="E588" s="6"/>
      <c r="F588" s="6"/>
      <c r="G588" s="2"/>
      <c r="H588" s="157"/>
      <c r="I588" s="157"/>
      <c r="J588" s="2"/>
      <c r="K588" s="157"/>
      <c r="L588" s="3"/>
      <c r="M588" s="3"/>
      <c r="N588" s="3"/>
      <c r="O588" s="2"/>
      <c r="P588" s="277"/>
    </row>
    <row r="589" spans="1:16" ht="30" customHeight="1" x14ac:dyDescent="0.15">
      <c r="A589" s="284" t="s">
        <v>7998</v>
      </c>
      <c r="B589" s="157"/>
      <c r="C589" s="157"/>
      <c r="D589" s="157"/>
      <c r="E589" s="6"/>
      <c r="F589" s="6"/>
      <c r="G589" s="2"/>
      <c r="H589" s="157"/>
      <c r="I589" s="157"/>
      <c r="J589" s="2"/>
      <c r="K589" s="157"/>
      <c r="L589" s="3"/>
      <c r="M589" s="3"/>
      <c r="N589" s="3"/>
      <c r="O589" s="2"/>
      <c r="P589" s="277"/>
    </row>
    <row r="590" spans="1:16" ht="30" customHeight="1" x14ac:dyDescent="0.15">
      <c r="A590" s="284" t="s">
        <v>7999</v>
      </c>
      <c r="B590" s="157"/>
      <c r="C590" s="157"/>
      <c r="D590" s="157"/>
      <c r="E590" s="6"/>
      <c r="F590" s="6"/>
      <c r="G590" s="2"/>
      <c r="H590" s="157"/>
      <c r="I590" s="157"/>
      <c r="J590" s="2"/>
      <c r="K590" s="157"/>
      <c r="L590" s="3"/>
      <c r="M590" s="3"/>
      <c r="N590" s="3"/>
      <c r="O590" s="2"/>
      <c r="P590" s="277"/>
    </row>
    <row r="591" spans="1:16" ht="30" customHeight="1" x14ac:dyDescent="0.15">
      <c r="A591" s="284" t="s">
        <v>8000</v>
      </c>
      <c r="B591" s="157"/>
      <c r="C591" s="157"/>
      <c r="D591" s="157"/>
      <c r="E591" s="6"/>
      <c r="F591" s="6"/>
      <c r="G591" s="2"/>
      <c r="H591" s="157"/>
      <c r="I591" s="157"/>
      <c r="J591" s="2"/>
      <c r="K591" s="157"/>
      <c r="L591" s="3"/>
      <c r="M591" s="3"/>
      <c r="N591" s="3"/>
      <c r="O591" s="2"/>
      <c r="P591" s="277"/>
    </row>
    <row r="592" spans="1:16" ht="30" customHeight="1" x14ac:dyDescent="0.15">
      <c r="A592" s="284" t="s">
        <v>8001</v>
      </c>
      <c r="B592" s="157"/>
      <c r="C592" s="157"/>
      <c r="D592" s="157"/>
      <c r="E592" s="6"/>
      <c r="F592" s="6"/>
      <c r="G592" s="2"/>
      <c r="H592" s="157"/>
      <c r="I592" s="157"/>
      <c r="J592" s="2"/>
      <c r="K592" s="157"/>
      <c r="L592" s="3"/>
      <c r="M592" s="3"/>
      <c r="N592" s="3"/>
      <c r="O592" s="2"/>
      <c r="P592" s="277"/>
    </row>
    <row r="593" spans="1:16" ht="30" customHeight="1" x14ac:dyDescent="0.15">
      <c r="A593" s="284" t="s">
        <v>8002</v>
      </c>
      <c r="B593" s="157"/>
      <c r="C593" s="157"/>
      <c r="D593" s="157"/>
      <c r="E593" s="6"/>
      <c r="F593" s="6"/>
      <c r="G593" s="2"/>
      <c r="H593" s="157"/>
      <c r="I593" s="157"/>
      <c r="J593" s="2"/>
      <c r="K593" s="157"/>
      <c r="L593" s="3"/>
      <c r="M593" s="3"/>
      <c r="N593" s="3"/>
      <c r="O593" s="2"/>
      <c r="P593" s="277"/>
    </row>
    <row r="594" spans="1:16" ht="30" customHeight="1" x14ac:dyDescent="0.15">
      <c r="A594" s="284" t="s">
        <v>8003</v>
      </c>
      <c r="B594" s="157"/>
      <c r="C594" s="157"/>
      <c r="D594" s="157"/>
      <c r="E594" s="6"/>
      <c r="F594" s="6"/>
      <c r="G594" s="2"/>
      <c r="H594" s="157"/>
      <c r="I594" s="157"/>
      <c r="J594" s="2"/>
      <c r="K594" s="157"/>
      <c r="L594" s="3"/>
      <c r="M594" s="3"/>
      <c r="N594" s="3"/>
      <c r="O594" s="2"/>
      <c r="P594" s="277"/>
    </row>
    <row r="595" spans="1:16" ht="30" customHeight="1" x14ac:dyDescent="0.15">
      <c r="A595" s="284" t="s">
        <v>8004</v>
      </c>
      <c r="B595" s="157"/>
      <c r="C595" s="157"/>
      <c r="D595" s="157"/>
      <c r="E595" s="6"/>
      <c r="F595" s="6"/>
      <c r="G595" s="2"/>
      <c r="H595" s="157"/>
      <c r="I595" s="157"/>
      <c r="J595" s="2"/>
      <c r="K595" s="157"/>
      <c r="L595" s="3"/>
      <c r="M595" s="3"/>
      <c r="N595" s="3"/>
      <c r="O595" s="2"/>
      <c r="P595" s="277"/>
    </row>
    <row r="596" spans="1:16" ht="30" customHeight="1" x14ac:dyDescent="0.15">
      <c r="A596" s="284" t="s">
        <v>8005</v>
      </c>
      <c r="B596" s="157"/>
      <c r="C596" s="157"/>
      <c r="D596" s="157"/>
      <c r="E596" s="6"/>
      <c r="F596" s="6"/>
      <c r="G596" s="2"/>
      <c r="H596" s="157"/>
      <c r="I596" s="157"/>
      <c r="J596" s="2"/>
      <c r="K596" s="157"/>
      <c r="L596" s="3"/>
      <c r="M596" s="3"/>
      <c r="N596" s="3"/>
      <c r="O596" s="2"/>
      <c r="P596" s="277"/>
    </row>
    <row r="597" spans="1:16" ht="30" customHeight="1" x14ac:dyDescent="0.15">
      <c r="A597" s="284" t="s">
        <v>8006</v>
      </c>
      <c r="B597" s="157"/>
      <c r="C597" s="157"/>
      <c r="D597" s="157"/>
      <c r="E597" s="6"/>
      <c r="F597" s="6"/>
      <c r="G597" s="2"/>
      <c r="H597" s="157"/>
      <c r="I597" s="157"/>
      <c r="J597" s="2"/>
      <c r="K597" s="157"/>
      <c r="L597" s="3"/>
      <c r="M597" s="3"/>
      <c r="N597" s="3"/>
      <c r="O597" s="2"/>
      <c r="P597" s="277"/>
    </row>
    <row r="598" spans="1:16" ht="30" customHeight="1" x14ac:dyDescent="0.15">
      <c r="A598" s="284" t="s">
        <v>8007</v>
      </c>
      <c r="B598" s="157"/>
      <c r="C598" s="157"/>
      <c r="D598" s="157"/>
      <c r="E598" s="6"/>
      <c r="F598" s="6"/>
      <c r="G598" s="2"/>
      <c r="H598" s="157"/>
      <c r="I598" s="157"/>
      <c r="J598" s="2"/>
      <c r="K598" s="157"/>
      <c r="L598" s="3"/>
      <c r="M598" s="3"/>
      <c r="N598" s="3"/>
      <c r="O598" s="2"/>
      <c r="P598" s="277"/>
    </row>
    <row r="599" spans="1:16" ht="30" customHeight="1" x14ac:dyDescent="0.15">
      <c r="A599" s="284" t="s">
        <v>8008</v>
      </c>
      <c r="B599" s="157"/>
      <c r="C599" s="157"/>
      <c r="D599" s="157"/>
      <c r="E599" s="6"/>
      <c r="F599" s="6"/>
      <c r="G599" s="2"/>
      <c r="H599" s="157"/>
      <c r="I599" s="157"/>
      <c r="J599" s="2"/>
      <c r="K599" s="157"/>
      <c r="L599" s="3"/>
      <c r="M599" s="3"/>
      <c r="N599" s="3"/>
      <c r="O599" s="2"/>
      <c r="P599" s="277"/>
    </row>
    <row r="600" spans="1:16" ht="30" customHeight="1" x14ac:dyDescent="0.15">
      <c r="A600" s="284" t="s">
        <v>8009</v>
      </c>
      <c r="B600" s="157"/>
      <c r="C600" s="157"/>
      <c r="D600" s="157"/>
      <c r="E600" s="6"/>
      <c r="F600" s="6"/>
      <c r="G600" s="2"/>
      <c r="H600" s="157"/>
      <c r="I600" s="157"/>
      <c r="J600" s="2"/>
      <c r="K600" s="157"/>
      <c r="L600" s="3"/>
      <c r="M600" s="3"/>
      <c r="N600" s="3"/>
      <c r="O600" s="2"/>
      <c r="P600" s="277"/>
    </row>
    <row r="601" spans="1:16" ht="30" customHeight="1" x14ac:dyDescent="0.15">
      <c r="A601" s="284" t="s">
        <v>8010</v>
      </c>
      <c r="B601" s="157"/>
      <c r="C601" s="157"/>
      <c r="D601" s="157"/>
      <c r="E601" s="6"/>
      <c r="F601" s="6"/>
      <c r="G601" s="2"/>
      <c r="H601" s="157"/>
      <c r="I601" s="157"/>
      <c r="J601" s="2"/>
      <c r="K601" s="157"/>
      <c r="L601" s="3"/>
      <c r="M601" s="3"/>
      <c r="N601" s="3"/>
      <c r="O601" s="2"/>
      <c r="P601" s="277"/>
    </row>
    <row r="602" spans="1:16" ht="30" customHeight="1" x14ac:dyDescent="0.15">
      <c r="A602" s="284" t="s">
        <v>8011</v>
      </c>
      <c r="B602" s="157"/>
      <c r="C602" s="157"/>
      <c r="D602" s="157"/>
      <c r="E602" s="6"/>
      <c r="F602" s="6"/>
      <c r="G602" s="2"/>
      <c r="H602" s="157"/>
      <c r="I602" s="157"/>
      <c r="J602" s="2"/>
      <c r="K602" s="157"/>
      <c r="L602" s="3"/>
      <c r="M602" s="3"/>
      <c r="N602" s="3"/>
      <c r="O602" s="2"/>
      <c r="P602" s="277"/>
    </row>
    <row r="603" spans="1:16" ht="30" customHeight="1" x14ac:dyDescent="0.15">
      <c r="A603" s="284" t="s">
        <v>8012</v>
      </c>
      <c r="B603" s="157"/>
      <c r="C603" s="157"/>
      <c r="D603" s="157"/>
      <c r="E603" s="6"/>
      <c r="F603" s="6"/>
      <c r="G603" s="2"/>
      <c r="H603" s="157"/>
      <c r="I603" s="157"/>
      <c r="J603" s="2"/>
      <c r="K603" s="157"/>
      <c r="L603" s="3"/>
      <c r="M603" s="3"/>
      <c r="N603" s="3"/>
      <c r="O603" s="2"/>
      <c r="P603" s="277"/>
    </row>
    <row r="604" spans="1:16" ht="30" customHeight="1" x14ac:dyDescent="0.15">
      <c r="A604" s="284" t="s">
        <v>8013</v>
      </c>
      <c r="B604" s="157"/>
      <c r="C604" s="157"/>
      <c r="D604" s="157"/>
      <c r="E604" s="6"/>
      <c r="F604" s="6"/>
      <c r="G604" s="2"/>
      <c r="H604" s="157"/>
      <c r="I604" s="157"/>
      <c r="J604" s="2"/>
      <c r="K604" s="157"/>
      <c r="L604" s="3"/>
      <c r="M604" s="3"/>
      <c r="N604" s="3"/>
      <c r="O604" s="2"/>
      <c r="P604" s="277"/>
    </row>
    <row r="605" spans="1:16" ht="30" customHeight="1" x14ac:dyDescent="0.15">
      <c r="A605" s="284" t="s">
        <v>8014</v>
      </c>
      <c r="B605" s="157"/>
      <c r="C605" s="157"/>
      <c r="D605" s="157"/>
      <c r="E605" s="6"/>
      <c r="F605" s="6"/>
      <c r="G605" s="2"/>
      <c r="H605" s="157"/>
      <c r="I605" s="157"/>
      <c r="J605" s="2"/>
      <c r="K605" s="157"/>
      <c r="L605" s="3"/>
      <c r="M605" s="3"/>
      <c r="N605" s="3"/>
      <c r="O605" s="2"/>
      <c r="P605" s="277"/>
    </row>
    <row r="606" spans="1:16" ht="30" customHeight="1" x14ac:dyDescent="0.15">
      <c r="A606" s="284" t="s">
        <v>8015</v>
      </c>
      <c r="B606" s="157"/>
      <c r="C606" s="157"/>
      <c r="D606" s="157"/>
      <c r="E606" s="6"/>
      <c r="F606" s="6"/>
      <c r="G606" s="2"/>
      <c r="H606" s="157"/>
      <c r="I606" s="157"/>
      <c r="J606" s="2"/>
      <c r="K606" s="157"/>
      <c r="L606" s="3"/>
      <c r="M606" s="3"/>
      <c r="N606" s="3"/>
      <c r="O606" s="2"/>
      <c r="P606" s="277"/>
    </row>
    <row r="607" spans="1:16" ht="30" customHeight="1" x14ac:dyDescent="0.15">
      <c r="A607" s="284" t="s">
        <v>8016</v>
      </c>
      <c r="B607" s="157"/>
      <c r="C607" s="157"/>
      <c r="D607" s="157"/>
      <c r="E607" s="6"/>
      <c r="F607" s="6"/>
      <c r="G607" s="2"/>
      <c r="H607" s="157"/>
      <c r="I607" s="157"/>
      <c r="J607" s="2"/>
      <c r="K607" s="157"/>
      <c r="L607" s="3"/>
      <c r="M607" s="3"/>
      <c r="N607" s="3"/>
      <c r="O607" s="2"/>
      <c r="P607" s="277"/>
    </row>
    <row r="608" spans="1:16" ht="30" customHeight="1" x14ac:dyDescent="0.15">
      <c r="A608" s="284" t="s">
        <v>8017</v>
      </c>
      <c r="B608" s="157"/>
      <c r="C608" s="157"/>
      <c r="D608" s="157"/>
      <c r="E608" s="6"/>
      <c r="F608" s="6"/>
      <c r="G608" s="2"/>
      <c r="H608" s="157"/>
      <c r="I608" s="157"/>
      <c r="J608" s="2"/>
      <c r="K608" s="157"/>
      <c r="L608" s="3"/>
      <c r="M608" s="3"/>
      <c r="N608" s="3"/>
      <c r="O608" s="2"/>
      <c r="P608" s="277"/>
    </row>
    <row r="609" spans="1:16" ht="30" customHeight="1" x14ac:dyDescent="0.15">
      <c r="A609" s="284" t="s">
        <v>8018</v>
      </c>
      <c r="B609" s="157"/>
      <c r="C609" s="157"/>
      <c r="D609" s="157"/>
      <c r="E609" s="6"/>
      <c r="F609" s="6"/>
      <c r="G609" s="2"/>
      <c r="H609" s="157"/>
      <c r="I609" s="157"/>
      <c r="J609" s="2"/>
      <c r="K609" s="157"/>
      <c r="L609" s="3"/>
      <c r="M609" s="3"/>
      <c r="N609" s="3"/>
      <c r="O609" s="2"/>
      <c r="P609" s="277"/>
    </row>
    <row r="610" spans="1:16" ht="30" customHeight="1" x14ac:dyDescent="0.15">
      <c r="A610" s="284" t="s">
        <v>8019</v>
      </c>
      <c r="B610" s="157"/>
      <c r="C610" s="157"/>
      <c r="D610" s="157"/>
      <c r="E610" s="6"/>
      <c r="F610" s="6"/>
      <c r="G610" s="2"/>
      <c r="H610" s="157"/>
      <c r="I610" s="157"/>
      <c r="J610" s="2"/>
      <c r="K610" s="157"/>
      <c r="L610" s="3"/>
      <c r="M610" s="3"/>
      <c r="N610" s="3"/>
      <c r="O610" s="2"/>
      <c r="P610" s="277"/>
    </row>
    <row r="611" spans="1:16" ht="30" customHeight="1" x14ac:dyDescent="0.15">
      <c r="A611" s="284" t="s">
        <v>8020</v>
      </c>
      <c r="B611" s="157"/>
      <c r="C611" s="157"/>
      <c r="D611" s="157"/>
      <c r="E611" s="6"/>
      <c r="F611" s="6"/>
      <c r="G611" s="2"/>
      <c r="H611" s="157"/>
      <c r="I611" s="157"/>
      <c r="J611" s="2"/>
      <c r="K611" s="157"/>
      <c r="L611" s="3"/>
      <c r="M611" s="3"/>
      <c r="N611" s="3"/>
      <c r="O611" s="2"/>
      <c r="P611" s="277"/>
    </row>
    <row r="612" spans="1:16" ht="30" customHeight="1" x14ac:dyDescent="0.15">
      <c r="A612" s="284" t="s">
        <v>8021</v>
      </c>
      <c r="B612" s="157"/>
      <c r="C612" s="157"/>
      <c r="D612" s="157"/>
      <c r="E612" s="6"/>
      <c r="F612" s="6"/>
      <c r="G612" s="2"/>
      <c r="H612" s="157"/>
      <c r="I612" s="157"/>
      <c r="J612" s="2"/>
      <c r="K612" s="157"/>
      <c r="L612" s="3"/>
      <c r="M612" s="3"/>
      <c r="N612" s="3"/>
      <c r="O612" s="2"/>
      <c r="P612" s="277"/>
    </row>
    <row r="613" spans="1:16" ht="30" customHeight="1" x14ac:dyDescent="0.15">
      <c r="A613" s="284" t="s">
        <v>8022</v>
      </c>
      <c r="B613" s="157"/>
      <c r="C613" s="157"/>
      <c r="D613" s="157"/>
      <c r="E613" s="6"/>
      <c r="F613" s="6"/>
      <c r="G613" s="2"/>
      <c r="H613" s="157"/>
      <c r="I613" s="157"/>
      <c r="J613" s="2"/>
      <c r="K613" s="157"/>
      <c r="L613" s="3"/>
      <c r="M613" s="3"/>
      <c r="N613" s="3"/>
      <c r="O613" s="2"/>
      <c r="P613" s="277"/>
    </row>
    <row r="614" spans="1:16" ht="30" customHeight="1" x14ac:dyDescent="0.15">
      <c r="A614" s="284" t="s">
        <v>8023</v>
      </c>
      <c r="B614" s="157"/>
      <c r="C614" s="157"/>
      <c r="D614" s="157"/>
      <c r="E614" s="6"/>
      <c r="F614" s="6"/>
      <c r="G614" s="2"/>
      <c r="H614" s="157"/>
      <c r="I614" s="157"/>
      <c r="J614" s="2"/>
      <c r="K614" s="157"/>
      <c r="L614" s="3"/>
      <c r="M614" s="3"/>
      <c r="N614" s="3"/>
      <c r="O614" s="2"/>
      <c r="P614" s="277"/>
    </row>
    <row r="615" spans="1:16" ht="30" customHeight="1" x14ac:dyDescent="0.15">
      <c r="A615" s="284" t="s">
        <v>8024</v>
      </c>
      <c r="B615" s="157"/>
      <c r="C615" s="157"/>
      <c r="D615" s="157"/>
      <c r="E615" s="6"/>
      <c r="F615" s="6"/>
      <c r="G615" s="2"/>
      <c r="H615" s="157"/>
      <c r="I615" s="157"/>
      <c r="J615" s="2"/>
      <c r="K615" s="157"/>
      <c r="L615" s="3"/>
      <c r="M615" s="3"/>
      <c r="N615" s="3"/>
      <c r="O615" s="2"/>
      <c r="P615" s="277"/>
    </row>
    <row r="616" spans="1:16" ht="30" customHeight="1" x14ac:dyDescent="0.15">
      <c r="A616" s="284" t="s">
        <v>8025</v>
      </c>
      <c r="B616" s="157"/>
      <c r="C616" s="157"/>
      <c r="D616" s="157"/>
      <c r="E616" s="6"/>
      <c r="F616" s="6"/>
      <c r="G616" s="2"/>
      <c r="H616" s="157"/>
      <c r="I616" s="157"/>
      <c r="J616" s="2"/>
      <c r="K616" s="157"/>
      <c r="L616" s="3"/>
      <c r="M616" s="3"/>
      <c r="N616" s="3"/>
      <c r="O616" s="2"/>
      <c r="P616" s="277"/>
    </row>
    <row r="617" spans="1:16" ht="30" customHeight="1" x14ac:dyDescent="0.15">
      <c r="A617" s="284" t="s">
        <v>8026</v>
      </c>
      <c r="B617" s="157"/>
      <c r="C617" s="157"/>
      <c r="D617" s="157"/>
      <c r="E617" s="6"/>
      <c r="F617" s="6"/>
      <c r="G617" s="2"/>
      <c r="H617" s="157"/>
      <c r="I617" s="157"/>
      <c r="J617" s="2"/>
      <c r="K617" s="157"/>
      <c r="L617" s="3"/>
      <c r="M617" s="3"/>
      <c r="N617" s="3"/>
      <c r="O617" s="2"/>
      <c r="P617" s="277"/>
    </row>
    <row r="618" spans="1:16" ht="30" customHeight="1" x14ac:dyDescent="0.15">
      <c r="A618" s="284" t="s">
        <v>8027</v>
      </c>
      <c r="B618" s="157"/>
      <c r="C618" s="157"/>
      <c r="D618" s="157"/>
      <c r="E618" s="6"/>
      <c r="F618" s="6"/>
      <c r="G618" s="2"/>
      <c r="H618" s="157"/>
      <c r="I618" s="157"/>
      <c r="J618" s="2"/>
      <c r="K618" s="157"/>
      <c r="L618" s="3"/>
      <c r="M618" s="3"/>
      <c r="N618" s="3"/>
      <c r="O618" s="2"/>
      <c r="P618" s="277"/>
    </row>
    <row r="619" spans="1:16" ht="30" customHeight="1" x14ac:dyDescent="0.15">
      <c r="A619" s="284" t="s">
        <v>8028</v>
      </c>
      <c r="B619" s="157"/>
      <c r="C619" s="157"/>
      <c r="D619" s="157"/>
      <c r="E619" s="6"/>
      <c r="F619" s="6"/>
      <c r="G619" s="2"/>
      <c r="H619" s="157"/>
      <c r="I619" s="157"/>
      <c r="J619" s="2"/>
      <c r="K619" s="157"/>
      <c r="L619" s="3"/>
      <c r="M619" s="3"/>
      <c r="N619" s="3"/>
      <c r="O619" s="2"/>
      <c r="P619" s="277"/>
    </row>
    <row r="620" spans="1:16" ht="30" customHeight="1" x14ac:dyDescent="0.15">
      <c r="A620" s="284" t="s">
        <v>8029</v>
      </c>
      <c r="B620" s="157"/>
      <c r="C620" s="157"/>
      <c r="D620" s="157"/>
      <c r="E620" s="6"/>
      <c r="F620" s="6"/>
      <c r="G620" s="2"/>
      <c r="H620" s="157"/>
      <c r="I620" s="157"/>
      <c r="J620" s="2"/>
      <c r="K620" s="157"/>
      <c r="L620" s="3"/>
      <c r="M620" s="3"/>
      <c r="N620" s="3"/>
      <c r="O620" s="2"/>
      <c r="P620" s="277"/>
    </row>
    <row r="621" spans="1:16" ht="30" customHeight="1" x14ac:dyDescent="0.15">
      <c r="A621" s="284" t="s">
        <v>8030</v>
      </c>
      <c r="B621" s="157"/>
      <c r="C621" s="157"/>
      <c r="D621" s="157"/>
      <c r="E621" s="6"/>
      <c r="F621" s="6"/>
      <c r="G621" s="2"/>
      <c r="H621" s="157"/>
      <c r="I621" s="157"/>
      <c r="J621" s="2"/>
      <c r="K621" s="157"/>
      <c r="L621" s="3"/>
      <c r="M621" s="3"/>
      <c r="N621" s="3"/>
      <c r="O621" s="2"/>
      <c r="P621" s="277"/>
    </row>
    <row r="622" spans="1:16" ht="30" customHeight="1" x14ac:dyDescent="0.15">
      <c r="A622" s="284" t="s">
        <v>8031</v>
      </c>
      <c r="B622" s="157"/>
      <c r="C622" s="157"/>
      <c r="D622" s="157"/>
      <c r="E622" s="6"/>
      <c r="F622" s="6"/>
      <c r="G622" s="2"/>
      <c r="H622" s="157"/>
      <c r="I622" s="157"/>
      <c r="J622" s="2"/>
      <c r="K622" s="157"/>
      <c r="L622" s="3"/>
      <c r="M622" s="3"/>
      <c r="N622" s="3"/>
      <c r="O622" s="2"/>
      <c r="P622" s="277"/>
    </row>
    <row r="623" spans="1:16" ht="30" customHeight="1" x14ac:dyDescent="0.15">
      <c r="A623" s="284" t="s">
        <v>8032</v>
      </c>
      <c r="B623" s="157"/>
      <c r="C623" s="157"/>
      <c r="D623" s="157"/>
      <c r="E623" s="6"/>
      <c r="F623" s="6"/>
      <c r="G623" s="2"/>
      <c r="H623" s="157"/>
      <c r="I623" s="157"/>
      <c r="J623" s="2"/>
      <c r="K623" s="157"/>
      <c r="L623" s="3"/>
      <c r="M623" s="3"/>
      <c r="N623" s="3"/>
      <c r="O623" s="2"/>
      <c r="P623" s="277"/>
    </row>
    <row r="624" spans="1:16" ht="30" customHeight="1" x14ac:dyDescent="0.15">
      <c r="A624" s="284" t="s">
        <v>8033</v>
      </c>
      <c r="B624" s="157"/>
      <c r="C624" s="157"/>
      <c r="D624" s="157"/>
      <c r="E624" s="6"/>
      <c r="F624" s="6"/>
      <c r="G624" s="2"/>
      <c r="H624" s="157"/>
      <c r="I624" s="157"/>
      <c r="J624" s="2"/>
      <c r="K624" s="157"/>
      <c r="L624" s="3"/>
      <c r="M624" s="3"/>
      <c r="N624" s="3"/>
      <c r="O624" s="2"/>
      <c r="P624" s="277"/>
    </row>
    <row r="625" spans="1:16" ht="30" customHeight="1" x14ac:dyDescent="0.15">
      <c r="A625" s="284" t="s">
        <v>8034</v>
      </c>
      <c r="B625" s="157"/>
      <c r="C625" s="157"/>
      <c r="D625" s="157"/>
      <c r="E625" s="6"/>
      <c r="F625" s="6"/>
      <c r="G625" s="2"/>
      <c r="H625" s="157"/>
      <c r="I625" s="157"/>
      <c r="J625" s="2"/>
      <c r="K625" s="157"/>
      <c r="L625" s="3"/>
      <c r="M625" s="3"/>
      <c r="N625" s="3"/>
      <c r="O625" s="2"/>
      <c r="P625" s="277"/>
    </row>
    <row r="626" spans="1:16" ht="30" customHeight="1" x14ac:dyDescent="0.15">
      <c r="A626" s="284" t="s">
        <v>8035</v>
      </c>
      <c r="B626" s="157"/>
      <c r="C626" s="157"/>
      <c r="D626" s="157"/>
      <c r="E626" s="6"/>
      <c r="F626" s="6"/>
      <c r="G626" s="2"/>
      <c r="H626" s="157"/>
      <c r="I626" s="157"/>
      <c r="J626" s="2"/>
      <c r="K626" s="157"/>
      <c r="L626" s="3"/>
      <c r="M626" s="3"/>
      <c r="N626" s="3"/>
      <c r="O626" s="2"/>
      <c r="P626" s="277"/>
    </row>
    <row r="627" spans="1:16" ht="30" customHeight="1" x14ac:dyDescent="0.15">
      <c r="A627" s="284" t="s">
        <v>8036</v>
      </c>
      <c r="B627" s="157"/>
      <c r="C627" s="157"/>
      <c r="D627" s="157"/>
      <c r="E627" s="6"/>
      <c r="F627" s="6"/>
      <c r="G627" s="2"/>
      <c r="H627" s="157"/>
      <c r="I627" s="157"/>
      <c r="J627" s="2"/>
      <c r="K627" s="157"/>
      <c r="L627" s="3"/>
      <c r="M627" s="3"/>
      <c r="N627" s="3"/>
      <c r="O627" s="2"/>
      <c r="P627" s="277"/>
    </row>
    <row r="628" spans="1:16" ht="30" customHeight="1" x14ac:dyDescent="0.15">
      <c r="A628" s="284" t="s">
        <v>8037</v>
      </c>
      <c r="B628" s="157"/>
      <c r="C628" s="157"/>
      <c r="D628" s="157"/>
      <c r="E628" s="6"/>
      <c r="F628" s="6"/>
      <c r="G628" s="2"/>
      <c r="H628" s="157"/>
      <c r="I628" s="157"/>
      <c r="J628" s="2"/>
      <c r="K628" s="157"/>
      <c r="L628" s="3"/>
      <c r="M628" s="3"/>
      <c r="N628" s="3"/>
      <c r="O628" s="2"/>
      <c r="P628" s="277"/>
    </row>
    <row r="629" spans="1:16" ht="30" customHeight="1" x14ac:dyDescent="0.15">
      <c r="A629" s="284" t="s">
        <v>8038</v>
      </c>
      <c r="B629" s="157"/>
      <c r="C629" s="157"/>
      <c r="D629" s="157"/>
      <c r="E629" s="6"/>
      <c r="F629" s="6"/>
      <c r="G629" s="2"/>
      <c r="H629" s="157"/>
      <c r="I629" s="157"/>
      <c r="J629" s="2"/>
      <c r="K629" s="157"/>
      <c r="L629" s="3"/>
      <c r="M629" s="3"/>
      <c r="N629" s="3"/>
      <c r="O629" s="2"/>
      <c r="P629" s="277"/>
    </row>
    <row r="630" spans="1:16" ht="30" customHeight="1" x14ac:dyDescent="0.15">
      <c r="A630" s="284" t="s">
        <v>8039</v>
      </c>
      <c r="B630" s="157"/>
      <c r="C630" s="157"/>
      <c r="D630" s="157"/>
      <c r="E630" s="6"/>
      <c r="F630" s="6"/>
      <c r="G630" s="2"/>
      <c r="H630" s="157"/>
      <c r="I630" s="157"/>
      <c r="J630" s="2"/>
      <c r="K630" s="157"/>
      <c r="L630" s="3"/>
      <c r="M630" s="3"/>
      <c r="N630" s="3"/>
      <c r="O630" s="2"/>
      <c r="P630" s="277"/>
    </row>
    <row r="631" spans="1:16" ht="30" customHeight="1" x14ac:dyDescent="0.15">
      <c r="A631" s="284" t="s">
        <v>8040</v>
      </c>
      <c r="B631" s="157"/>
      <c r="C631" s="157"/>
      <c r="D631" s="157"/>
      <c r="E631" s="6"/>
      <c r="F631" s="6"/>
      <c r="G631" s="2"/>
      <c r="H631" s="157"/>
      <c r="I631" s="157"/>
      <c r="J631" s="2"/>
      <c r="K631" s="157"/>
      <c r="L631" s="3"/>
      <c r="M631" s="3"/>
      <c r="N631" s="3"/>
      <c r="O631" s="2"/>
      <c r="P631" s="277"/>
    </row>
    <row r="632" spans="1:16" ht="30" customHeight="1" x14ac:dyDescent="0.15">
      <c r="A632" s="284" t="s">
        <v>8041</v>
      </c>
      <c r="B632" s="157"/>
      <c r="C632" s="157"/>
      <c r="D632" s="157"/>
      <c r="E632" s="6"/>
      <c r="F632" s="6"/>
      <c r="G632" s="2"/>
      <c r="H632" s="157"/>
      <c r="I632" s="157"/>
      <c r="J632" s="2"/>
      <c r="K632" s="157"/>
      <c r="L632" s="3"/>
      <c r="M632" s="3"/>
      <c r="N632" s="3"/>
      <c r="O632" s="2"/>
      <c r="P632" s="277"/>
    </row>
    <row r="633" spans="1:16" ht="30" customHeight="1" x14ac:dyDescent="0.15">
      <c r="A633" s="284" t="s">
        <v>8042</v>
      </c>
      <c r="B633" s="157"/>
      <c r="C633" s="157"/>
      <c r="D633" s="157"/>
      <c r="E633" s="6"/>
      <c r="F633" s="6"/>
      <c r="G633" s="2"/>
      <c r="H633" s="157"/>
      <c r="I633" s="157"/>
      <c r="J633" s="2"/>
      <c r="K633" s="157"/>
      <c r="L633" s="3"/>
      <c r="M633" s="3"/>
      <c r="N633" s="3"/>
      <c r="O633" s="2"/>
      <c r="P633" s="277"/>
    </row>
    <row r="634" spans="1:16" ht="30" customHeight="1" x14ac:dyDescent="0.15">
      <c r="A634" s="284" t="s">
        <v>8043</v>
      </c>
      <c r="B634" s="157"/>
      <c r="C634" s="157"/>
      <c r="D634" s="157"/>
      <c r="E634" s="6"/>
      <c r="F634" s="6"/>
      <c r="G634" s="2"/>
      <c r="H634" s="157"/>
      <c r="I634" s="157"/>
      <c r="J634" s="2"/>
      <c r="K634" s="157"/>
      <c r="L634" s="3"/>
      <c r="M634" s="3"/>
      <c r="N634" s="3"/>
      <c r="O634" s="2"/>
      <c r="P634" s="277"/>
    </row>
    <row r="635" spans="1:16" ht="30" customHeight="1" x14ac:dyDescent="0.15">
      <c r="A635" s="284" t="s">
        <v>8044</v>
      </c>
      <c r="B635" s="157"/>
      <c r="C635" s="157"/>
      <c r="D635" s="157"/>
      <c r="E635" s="6"/>
      <c r="F635" s="6"/>
      <c r="G635" s="2"/>
      <c r="H635" s="157"/>
      <c r="I635" s="157"/>
      <c r="J635" s="2"/>
      <c r="K635" s="157"/>
      <c r="L635" s="3"/>
      <c r="M635" s="3"/>
      <c r="N635" s="3"/>
      <c r="O635" s="2"/>
      <c r="P635" s="277"/>
    </row>
    <row r="636" spans="1:16" ht="30" customHeight="1" x14ac:dyDescent="0.15">
      <c r="A636" s="284" t="s">
        <v>8045</v>
      </c>
      <c r="B636" s="157"/>
      <c r="C636" s="157"/>
      <c r="D636" s="157"/>
      <c r="E636" s="6"/>
      <c r="F636" s="6"/>
      <c r="G636" s="2"/>
      <c r="H636" s="157"/>
      <c r="I636" s="157"/>
      <c r="J636" s="2"/>
      <c r="K636" s="157"/>
      <c r="L636" s="3"/>
      <c r="M636" s="3"/>
      <c r="N636" s="3"/>
      <c r="O636" s="2"/>
      <c r="P636" s="277"/>
    </row>
    <row r="637" spans="1:16" ht="30" customHeight="1" x14ac:dyDescent="0.15">
      <c r="A637" s="284" t="s">
        <v>8046</v>
      </c>
      <c r="B637" s="157"/>
      <c r="C637" s="157"/>
      <c r="D637" s="157"/>
      <c r="E637" s="6"/>
      <c r="F637" s="6"/>
      <c r="G637" s="2"/>
      <c r="H637" s="157"/>
      <c r="I637" s="157"/>
      <c r="J637" s="2"/>
      <c r="K637" s="157"/>
      <c r="L637" s="3"/>
      <c r="M637" s="3"/>
      <c r="N637" s="3"/>
      <c r="O637" s="2"/>
      <c r="P637" s="277"/>
    </row>
    <row r="638" spans="1:16" ht="30" customHeight="1" x14ac:dyDescent="0.15">
      <c r="A638" s="284" t="s">
        <v>8047</v>
      </c>
      <c r="B638" s="157"/>
      <c r="C638" s="157"/>
      <c r="D638" s="157"/>
      <c r="E638" s="6"/>
      <c r="F638" s="6"/>
      <c r="G638" s="2"/>
      <c r="H638" s="157"/>
      <c r="I638" s="157"/>
      <c r="J638" s="2"/>
      <c r="K638" s="157"/>
      <c r="L638" s="3"/>
      <c r="M638" s="3"/>
      <c r="N638" s="3"/>
      <c r="O638" s="2"/>
      <c r="P638" s="277"/>
    </row>
    <row r="639" spans="1:16" ht="30" customHeight="1" x14ac:dyDescent="0.15">
      <c r="A639" s="284" t="s">
        <v>8048</v>
      </c>
      <c r="B639" s="157"/>
      <c r="C639" s="157"/>
      <c r="D639" s="157"/>
      <c r="E639" s="6"/>
      <c r="F639" s="6"/>
      <c r="G639" s="2"/>
      <c r="H639" s="157"/>
      <c r="I639" s="157"/>
      <c r="J639" s="2"/>
      <c r="K639" s="157"/>
      <c r="L639" s="3"/>
      <c r="M639" s="3"/>
      <c r="N639" s="3"/>
      <c r="O639" s="2"/>
      <c r="P639" s="277"/>
    </row>
    <row r="640" spans="1:16" ht="30" customHeight="1" x14ac:dyDescent="0.15">
      <c r="A640" s="284" t="s">
        <v>8049</v>
      </c>
      <c r="B640" s="157"/>
      <c r="C640" s="157"/>
      <c r="D640" s="157"/>
      <c r="E640" s="6"/>
      <c r="F640" s="6"/>
      <c r="G640" s="2"/>
      <c r="H640" s="157"/>
      <c r="I640" s="157"/>
      <c r="J640" s="2"/>
      <c r="K640" s="157"/>
      <c r="L640" s="3"/>
      <c r="M640" s="3"/>
      <c r="N640" s="3"/>
      <c r="O640" s="2"/>
      <c r="P640" s="277"/>
    </row>
    <row r="641" spans="1:16" ht="30" customHeight="1" x14ac:dyDescent="0.15">
      <c r="A641" s="284" t="s">
        <v>8050</v>
      </c>
      <c r="B641" s="157"/>
      <c r="C641" s="157"/>
      <c r="D641" s="157"/>
      <c r="E641" s="6"/>
      <c r="F641" s="6"/>
      <c r="G641" s="2"/>
      <c r="H641" s="157"/>
      <c r="I641" s="157"/>
      <c r="J641" s="2"/>
      <c r="K641" s="157"/>
      <c r="L641" s="3"/>
      <c r="M641" s="3"/>
      <c r="N641" s="3"/>
      <c r="O641" s="2"/>
      <c r="P641" s="277"/>
    </row>
    <row r="642" spans="1:16" ht="30" customHeight="1" x14ac:dyDescent="0.15">
      <c r="A642" s="284" t="s">
        <v>8051</v>
      </c>
      <c r="B642" s="157"/>
      <c r="C642" s="157"/>
      <c r="D642" s="157"/>
      <c r="E642" s="6"/>
      <c r="F642" s="6"/>
      <c r="G642" s="2"/>
      <c r="H642" s="157"/>
      <c r="I642" s="157"/>
      <c r="J642" s="2"/>
      <c r="K642" s="157"/>
      <c r="L642" s="3"/>
      <c r="M642" s="3"/>
      <c r="N642" s="3"/>
      <c r="O642" s="2"/>
      <c r="P642" s="277"/>
    </row>
    <row r="643" spans="1:16" ht="30" customHeight="1" x14ac:dyDescent="0.15">
      <c r="A643" s="284" t="s">
        <v>8052</v>
      </c>
      <c r="B643" s="157"/>
      <c r="C643" s="157"/>
      <c r="D643" s="157"/>
      <c r="E643" s="6"/>
      <c r="F643" s="6"/>
      <c r="G643" s="2"/>
      <c r="H643" s="157"/>
      <c r="I643" s="157"/>
      <c r="J643" s="2"/>
      <c r="K643" s="157"/>
      <c r="L643" s="3"/>
      <c r="M643" s="3"/>
      <c r="N643" s="3"/>
      <c r="O643" s="2"/>
      <c r="P643" s="277"/>
    </row>
    <row r="644" spans="1:16" ht="30" customHeight="1" x14ac:dyDescent="0.15">
      <c r="A644" s="284" t="s">
        <v>8053</v>
      </c>
      <c r="B644" s="157"/>
      <c r="C644" s="157"/>
      <c r="D644" s="157"/>
      <c r="E644" s="6"/>
      <c r="F644" s="6"/>
      <c r="G644" s="2"/>
      <c r="H644" s="157"/>
      <c r="I644" s="157"/>
      <c r="J644" s="2"/>
      <c r="K644" s="157"/>
      <c r="L644" s="3"/>
      <c r="M644" s="3"/>
      <c r="N644" s="3"/>
      <c r="O644" s="2"/>
      <c r="P644" s="277"/>
    </row>
    <row r="645" spans="1:16" ht="30" customHeight="1" x14ac:dyDescent="0.15">
      <c r="A645" s="284" t="s">
        <v>8054</v>
      </c>
      <c r="B645" s="157"/>
      <c r="C645" s="157"/>
      <c r="D645" s="157"/>
      <c r="E645" s="6"/>
      <c r="F645" s="6"/>
      <c r="G645" s="2"/>
      <c r="H645" s="157"/>
      <c r="I645" s="157"/>
      <c r="J645" s="2"/>
      <c r="K645" s="157"/>
      <c r="L645" s="3"/>
      <c r="M645" s="3"/>
      <c r="N645" s="3"/>
      <c r="O645" s="2"/>
      <c r="P645" s="277"/>
    </row>
    <row r="646" spans="1:16" ht="30" customHeight="1" x14ac:dyDescent="0.15">
      <c r="A646" s="284" t="s">
        <v>8055</v>
      </c>
      <c r="B646" s="157"/>
      <c r="C646" s="157"/>
      <c r="D646" s="157"/>
      <c r="E646" s="6"/>
      <c r="F646" s="6"/>
      <c r="G646" s="2"/>
      <c r="H646" s="157"/>
      <c r="I646" s="157"/>
      <c r="J646" s="2"/>
      <c r="K646" s="157"/>
      <c r="L646" s="3"/>
      <c r="M646" s="3"/>
      <c r="N646" s="3"/>
      <c r="O646" s="2"/>
      <c r="P646" s="277"/>
    </row>
    <row r="647" spans="1:16" ht="30" customHeight="1" x14ac:dyDescent="0.15">
      <c r="A647" s="284" t="s">
        <v>8056</v>
      </c>
      <c r="B647" s="157"/>
      <c r="C647" s="157"/>
      <c r="D647" s="157"/>
      <c r="E647" s="6"/>
      <c r="F647" s="6"/>
      <c r="G647" s="2"/>
      <c r="H647" s="157"/>
      <c r="I647" s="157"/>
      <c r="J647" s="2"/>
      <c r="K647" s="157"/>
      <c r="L647" s="3"/>
      <c r="M647" s="3"/>
      <c r="N647" s="3"/>
      <c r="O647" s="2"/>
      <c r="P647" s="277"/>
    </row>
    <row r="648" spans="1:16" ht="30" customHeight="1" x14ac:dyDescent="0.15">
      <c r="A648" s="284" t="s">
        <v>8057</v>
      </c>
      <c r="B648" s="157"/>
      <c r="C648" s="157"/>
      <c r="D648" s="157"/>
      <c r="E648" s="6"/>
      <c r="F648" s="6"/>
      <c r="G648" s="2"/>
      <c r="H648" s="157"/>
      <c r="I648" s="157"/>
      <c r="J648" s="2"/>
      <c r="K648" s="157"/>
      <c r="L648" s="3"/>
      <c r="M648" s="3"/>
      <c r="N648" s="3"/>
      <c r="O648" s="2"/>
      <c r="P648" s="277"/>
    </row>
    <row r="649" spans="1:16" ht="30" customHeight="1" x14ac:dyDescent="0.15">
      <c r="A649" s="284" t="s">
        <v>8058</v>
      </c>
      <c r="B649" s="157"/>
      <c r="C649" s="157"/>
      <c r="D649" s="157"/>
      <c r="E649" s="6"/>
      <c r="F649" s="6"/>
      <c r="G649" s="2"/>
      <c r="H649" s="157"/>
      <c r="I649" s="157"/>
      <c r="J649" s="2"/>
      <c r="K649" s="157"/>
      <c r="L649" s="3"/>
      <c r="M649" s="3"/>
      <c r="N649" s="3"/>
      <c r="O649" s="2"/>
      <c r="P649" s="277"/>
    </row>
    <row r="650" spans="1:16" ht="30" customHeight="1" x14ac:dyDescent="0.15">
      <c r="A650" s="284" t="s">
        <v>8059</v>
      </c>
      <c r="B650" s="157"/>
      <c r="C650" s="157"/>
      <c r="D650" s="157"/>
      <c r="E650" s="6"/>
      <c r="F650" s="6"/>
      <c r="G650" s="2"/>
      <c r="H650" s="157"/>
      <c r="I650" s="157"/>
      <c r="J650" s="2"/>
      <c r="K650" s="157"/>
      <c r="L650" s="3"/>
      <c r="M650" s="3"/>
      <c r="N650" s="3"/>
      <c r="O650" s="2"/>
      <c r="P650" s="277"/>
    </row>
    <row r="651" spans="1:16" ht="30" customHeight="1" x14ac:dyDescent="0.15">
      <c r="A651" s="284" t="s">
        <v>8060</v>
      </c>
      <c r="B651" s="157"/>
      <c r="C651" s="157"/>
      <c r="D651" s="157"/>
      <c r="E651" s="6"/>
      <c r="F651" s="6"/>
      <c r="G651" s="2"/>
      <c r="H651" s="157"/>
      <c r="I651" s="157"/>
      <c r="J651" s="2"/>
      <c r="K651" s="157"/>
      <c r="L651" s="3"/>
      <c r="M651" s="3"/>
      <c r="N651" s="3"/>
      <c r="O651" s="2"/>
      <c r="P651" s="277"/>
    </row>
    <row r="652" spans="1:16" ht="30" customHeight="1" x14ac:dyDescent="0.15">
      <c r="A652" s="284" t="s">
        <v>8061</v>
      </c>
      <c r="B652" s="157"/>
      <c r="C652" s="157"/>
      <c r="D652" s="157"/>
      <c r="E652" s="6"/>
      <c r="F652" s="6"/>
      <c r="G652" s="2"/>
      <c r="H652" s="157"/>
      <c r="I652" s="157"/>
      <c r="J652" s="2"/>
      <c r="K652" s="157"/>
      <c r="L652" s="3"/>
      <c r="M652" s="3"/>
      <c r="N652" s="3"/>
      <c r="O652" s="2"/>
      <c r="P652" s="277"/>
    </row>
    <row r="653" spans="1:16" ht="30" customHeight="1" x14ac:dyDescent="0.15">
      <c r="A653" s="284" t="s">
        <v>8062</v>
      </c>
      <c r="B653" s="157"/>
      <c r="C653" s="157"/>
      <c r="D653" s="157"/>
      <c r="E653" s="6"/>
      <c r="F653" s="6"/>
      <c r="G653" s="2"/>
      <c r="H653" s="157"/>
      <c r="I653" s="157"/>
      <c r="J653" s="2"/>
      <c r="K653" s="157"/>
      <c r="L653" s="3"/>
      <c r="M653" s="3"/>
      <c r="N653" s="3"/>
      <c r="O653" s="2"/>
      <c r="P653" s="277"/>
    </row>
    <row r="654" spans="1:16" ht="30" customHeight="1" x14ac:dyDescent="0.15">
      <c r="A654" s="284" t="s">
        <v>8063</v>
      </c>
      <c r="B654" s="157"/>
      <c r="C654" s="157"/>
      <c r="D654" s="157"/>
      <c r="E654" s="6"/>
      <c r="F654" s="6"/>
      <c r="G654" s="2"/>
      <c r="H654" s="157"/>
      <c r="I654" s="157"/>
      <c r="J654" s="2"/>
      <c r="K654" s="157"/>
      <c r="L654" s="3"/>
      <c r="M654" s="3"/>
      <c r="N654" s="3"/>
      <c r="O654" s="2"/>
      <c r="P654" s="277"/>
    </row>
    <row r="655" spans="1:16" ht="30" customHeight="1" x14ac:dyDescent="0.15">
      <c r="A655" s="284" t="s">
        <v>8064</v>
      </c>
      <c r="B655" s="157"/>
      <c r="C655" s="157"/>
      <c r="D655" s="157"/>
      <c r="E655" s="6"/>
      <c r="F655" s="6"/>
      <c r="G655" s="2"/>
      <c r="H655" s="157"/>
      <c r="I655" s="157"/>
      <c r="J655" s="2"/>
      <c r="K655" s="157"/>
      <c r="L655" s="3"/>
      <c r="M655" s="3"/>
      <c r="N655" s="3"/>
      <c r="O655" s="2"/>
      <c r="P655" s="277"/>
    </row>
    <row r="656" spans="1:16" ht="30" customHeight="1" x14ac:dyDescent="0.15">
      <c r="A656" s="284" t="s">
        <v>8065</v>
      </c>
      <c r="B656" s="157"/>
      <c r="C656" s="157"/>
      <c r="D656" s="157"/>
      <c r="E656" s="6"/>
      <c r="F656" s="6"/>
      <c r="G656" s="2"/>
      <c r="H656" s="157"/>
      <c r="I656" s="157"/>
      <c r="J656" s="2"/>
      <c r="K656" s="157"/>
      <c r="L656" s="3"/>
      <c r="M656" s="3"/>
      <c r="N656" s="3"/>
      <c r="O656" s="2"/>
      <c r="P656" s="277"/>
    </row>
    <row r="657" spans="1:16" ht="30" customHeight="1" x14ac:dyDescent="0.15">
      <c r="A657" s="284" t="s">
        <v>8066</v>
      </c>
      <c r="B657" s="157"/>
      <c r="C657" s="157"/>
      <c r="D657" s="157"/>
      <c r="E657" s="6"/>
      <c r="F657" s="6"/>
      <c r="G657" s="2"/>
      <c r="H657" s="157"/>
      <c r="I657" s="157"/>
      <c r="J657" s="2"/>
      <c r="K657" s="157"/>
      <c r="L657" s="3"/>
      <c r="M657" s="3"/>
      <c r="N657" s="3"/>
      <c r="O657" s="2"/>
      <c r="P657" s="277"/>
    </row>
    <row r="658" spans="1:16" ht="30" customHeight="1" x14ac:dyDescent="0.15">
      <c r="A658" s="284" t="s">
        <v>8067</v>
      </c>
      <c r="B658" s="157"/>
      <c r="C658" s="157"/>
      <c r="D658" s="157"/>
      <c r="E658" s="6"/>
      <c r="F658" s="6"/>
      <c r="G658" s="2"/>
      <c r="H658" s="157"/>
      <c r="I658" s="157"/>
      <c r="J658" s="2"/>
      <c r="K658" s="157"/>
      <c r="L658" s="3"/>
      <c r="M658" s="3"/>
      <c r="N658" s="3"/>
      <c r="O658" s="2"/>
      <c r="P658" s="277"/>
    </row>
    <row r="659" spans="1:16" ht="30" customHeight="1" x14ac:dyDescent="0.15">
      <c r="A659" s="284" t="s">
        <v>8068</v>
      </c>
      <c r="B659" s="157"/>
      <c r="C659" s="157"/>
      <c r="D659" s="157"/>
      <c r="E659" s="6"/>
      <c r="F659" s="6"/>
      <c r="G659" s="2"/>
      <c r="H659" s="157"/>
      <c r="I659" s="157"/>
      <c r="J659" s="2"/>
      <c r="K659" s="157"/>
      <c r="L659" s="3"/>
      <c r="M659" s="3"/>
      <c r="N659" s="3"/>
      <c r="O659" s="2"/>
      <c r="P659" s="277"/>
    </row>
    <row r="660" spans="1:16" ht="30" customHeight="1" x14ac:dyDescent="0.15">
      <c r="A660" s="284" t="s">
        <v>8069</v>
      </c>
      <c r="B660" s="157"/>
      <c r="C660" s="157"/>
      <c r="D660" s="157"/>
      <c r="E660" s="6"/>
      <c r="F660" s="6"/>
      <c r="G660" s="2"/>
      <c r="H660" s="157"/>
      <c r="I660" s="157"/>
      <c r="J660" s="2"/>
      <c r="K660" s="157"/>
      <c r="L660" s="3"/>
      <c r="M660" s="3"/>
      <c r="N660" s="3"/>
      <c r="O660" s="2"/>
      <c r="P660" s="277"/>
    </row>
    <row r="661" spans="1:16" ht="30" customHeight="1" x14ac:dyDescent="0.15">
      <c r="A661" s="284" t="s">
        <v>8070</v>
      </c>
      <c r="B661" s="157"/>
      <c r="C661" s="157"/>
      <c r="D661" s="157"/>
      <c r="E661" s="6"/>
      <c r="F661" s="6"/>
      <c r="G661" s="2"/>
      <c r="H661" s="157"/>
      <c r="I661" s="157"/>
      <c r="J661" s="2"/>
      <c r="K661" s="157"/>
      <c r="L661" s="3"/>
      <c r="M661" s="3"/>
      <c r="N661" s="3"/>
      <c r="O661" s="2"/>
      <c r="P661" s="277"/>
    </row>
    <row r="662" spans="1:16" ht="30" customHeight="1" x14ac:dyDescent="0.15">
      <c r="A662" s="284" t="s">
        <v>8071</v>
      </c>
      <c r="B662" s="157"/>
      <c r="C662" s="157"/>
      <c r="D662" s="157"/>
      <c r="E662" s="6"/>
      <c r="F662" s="6"/>
      <c r="G662" s="2"/>
      <c r="H662" s="157"/>
      <c r="I662" s="157"/>
      <c r="J662" s="2"/>
      <c r="K662" s="157"/>
      <c r="L662" s="3"/>
      <c r="M662" s="3"/>
      <c r="N662" s="3"/>
      <c r="O662" s="2"/>
      <c r="P662" s="277"/>
    </row>
    <row r="663" spans="1:16" ht="30" customHeight="1" x14ac:dyDescent="0.15">
      <c r="A663" s="284" t="s">
        <v>8072</v>
      </c>
      <c r="B663" s="157"/>
      <c r="C663" s="157"/>
      <c r="D663" s="157"/>
      <c r="E663" s="6"/>
      <c r="F663" s="6"/>
      <c r="G663" s="2"/>
      <c r="H663" s="157"/>
      <c r="I663" s="157"/>
      <c r="J663" s="2"/>
      <c r="K663" s="157"/>
      <c r="L663" s="3"/>
      <c r="M663" s="3"/>
      <c r="N663" s="3"/>
      <c r="O663" s="2"/>
      <c r="P663" s="277"/>
    </row>
    <row r="664" spans="1:16" ht="30" customHeight="1" x14ac:dyDescent="0.15">
      <c r="A664" s="284" t="s">
        <v>8073</v>
      </c>
      <c r="B664" s="157"/>
      <c r="C664" s="157"/>
      <c r="D664" s="157"/>
      <c r="E664" s="6"/>
      <c r="F664" s="6"/>
      <c r="G664" s="2"/>
      <c r="H664" s="157"/>
      <c r="I664" s="157"/>
      <c r="J664" s="2"/>
      <c r="K664" s="157"/>
      <c r="L664" s="3"/>
      <c r="M664" s="3"/>
      <c r="N664" s="3"/>
      <c r="O664" s="2"/>
      <c r="P664" s="277"/>
    </row>
    <row r="665" spans="1:16" ht="30" customHeight="1" x14ac:dyDescent="0.15">
      <c r="A665" s="284" t="s">
        <v>8074</v>
      </c>
      <c r="B665" s="157"/>
      <c r="C665" s="157"/>
      <c r="D665" s="157"/>
      <c r="E665" s="6"/>
      <c r="F665" s="6"/>
      <c r="G665" s="2"/>
      <c r="H665" s="157"/>
      <c r="I665" s="157"/>
      <c r="J665" s="2"/>
      <c r="K665" s="157"/>
      <c r="L665" s="3"/>
      <c r="M665" s="3"/>
      <c r="N665" s="3"/>
      <c r="O665" s="2"/>
      <c r="P665" s="277"/>
    </row>
    <row r="666" spans="1:16" ht="30" customHeight="1" x14ac:dyDescent="0.15">
      <c r="A666" s="284" t="s">
        <v>8075</v>
      </c>
      <c r="B666" s="157"/>
      <c r="C666" s="157"/>
      <c r="D666" s="157"/>
      <c r="E666" s="6"/>
      <c r="F666" s="6"/>
      <c r="G666" s="2"/>
      <c r="H666" s="157"/>
      <c r="I666" s="157"/>
      <c r="J666" s="2"/>
      <c r="K666" s="157"/>
      <c r="L666" s="3"/>
      <c r="M666" s="3"/>
      <c r="N666" s="3"/>
      <c r="O666" s="2"/>
      <c r="P666" s="277"/>
    </row>
    <row r="667" spans="1:16" ht="30" customHeight="1" x14ac:dyDescent="0.15">
      <c r="A667" s="284" t="s">
        <v>8076</v>
      </c>
      <c r="B667" s="157"/>
      <c r="C667" s="157"/>
      <c r="D667" s="157"/>
      <c r="E667" s="6"/>
      <c r="F667" s="6"/>
      <c r="G667" s="2"/>
      <c r="H667" s="157"/>
      <c r="I667" s="157"/>
      <c r="J667" s="2"/>
      <c r="K667" s="157"/>
      <c r="L667" s="3"/>
      <c r="M667" s="3"/>
      <c r="N667" s="3"/>
      <c r="O667" s="2"/>
      <c r="P667" s="277"/>
    </row>
    <row r="668" spans="1:16" ht="30" customHeight="1" x14ac:dyDescent="0.15">
      <c r="A668" s="284" t="s">
        <v>8077</v>
      </c>
      <c r="B668" s="157"/>
      <c r="C668" s="157"/>
      <c r="D668" s="157"/>
      <c r="E668" s="6"/>
      <c r="F668" s="6"/>
      <c r="G668" s="2"/>
      <c r="H668" s="157"/>
      <c r="I668" s="157"/>
      <c r="J668" s="2"/>
      <c r="K668" s="157"/>
      <c r="L668" s="3"/>
      <c r="M668" s="3"/>
      <c r="N668" s="3"/>
      <c r="O668" s="2"/>
      <c r="P668" s="277"/>
    </row>
    <row r="669" spans="1:16" ht="30" customHeight="1" x14ac:dyDescent="0.15">
      <c r="A669" s="284" t="s">
        <v>8078</v>
      </c>
      <c r="B669" s="157"/>
      <c r="C669" s="157"/>
      <c r="D669" s="157"/>
      <c r="E669" s="6"/>
      <c r="F669" s="6"/>
      <c r="G669" s="2"/>
      <c r="H669" s="157"/>
      <c r="I669" s="157"/>
      <c r="J669" s="2"/>
      <c r="K669" s="157"/>
      <c r="L669" s="3"/>
      <c r="M669" s="3"/>
      <c r="N669" s="3"/>
      <c r="O669" s="2"/>
      <c r="P669" s="277"/>
    </row>
    <row r="670" spans="1:16" ht="30" customHeight="1" x14ac:dyDescent="0.15">
      <c r="A670" s="284" t="s">
        <v>8079</v>
      </c>
      <c r="B670" s="157"/>
      <c r="C670" s="157"/>
      <c r="D670" s="157"/>
      <c r="E670" s="6"/>
      <c r="F670" s="6"/>
      <c r="G670" s="2"/>
      <c r="H670" s="157"/>
      <c r="I670" s="157"/>
      <c r="J670" s="2"/>
      <c r="K670" s="157"/>
      <c r="L670" s="3"/>
      <c r="M670" s="3"/>
      <c r="N670" s="3"/>
      <c r="O670" s="2"/>
      <c r="P670" s="277"/>
    </row>
    <row r="671" spans="1:16" ht="30" customHeight="1" x14ac:dyDescent="0.15">
      <c r="A671" s="284" t="s">
        <v>8080</v>
      </c>
      <c r="B671" s="157"/>
      <c r="C671" s="157"/>
      <c r="D671" s="157"/>
      <c r="E671" s="6"/>
      <c r="F671" s="6"/>
      <c r="G671" s="2"/>
      <c r="H671" s="157"/>
      <c r="I671" s="157"/>
      <c r="J671" s="2"/>
      <c r="K671" s="157"/>
      <c r="L671" s="3"/>
      <c r="M671" s="3"/>
      <c r="N671" s="3"/>
      <c r="O671" s="2"/>
      <c r="P671" s="277"/>
    </row>
    <row r="672" spans="1:16" ht="30" customHeight="1" x14ac:dyDescent="0.15">
      <c r="A672" s="284" t="s">
        <v>8081</v>
      </c>
      <c r="B672" s="157"/>
      <c r="C672" s="157"/>
      <c r="D672" s="157"/>
      <c r="E672" s="6"/>
      <c r="F672" s="6"/>
      <c r="G672" s="2"/>
      <c r="H672" s="157"/>
      <c r="I672" s="157"/>
      <c r="J672" s="2"/>
      <c r="K672" s="157"/>
      <c r="L672" s="3"/>
      <c r="M672" s="3"/>
      <c r="N672" s="3"/>
      <c r="O672" s="2"/>
      <c r="P672" s="277"/>
    </row>
    <row r="673" spans="1:16" ht="30" customHeight="1" x14ac:dyDescent="0.15">
      <c r="A673" s="284" t="s">
        <v>8082</v>
      </c>
      <c r="B673" s="157"/>
      <c r="C673" s="157"/>
      <c r="D673" s="157"/>
      <c r="E673" s="6"/>
      <c r="F673" s="6"/>
      <c r="G673" s="2"/>
      <c r="H673" s="157"/>
      <c r="I673" s="157"/>
      <c r="J673" s="2"/>
      <c r="K673" s="157"/>
      <c r="L673" s="3"/>
      <c r="M673" s="3"/>
      <c r="N673" s="3"/>
      <c r="O673" s="2"/>
      <c r="P673" s="277"/>
    </row>
    <row r="674" spans="1:16" ht="30" customHeight="1" x14ac:dyDescent="0.15">
      <c r="A674" s="284" t="s">
        <v>8083</v>
      </c>
      <c r="B674" s="157"/>
      <c r="C674" s="157"/>
      <c r="D674" s="157"/>
      <c r="E674" s="6"/>
      <c r="F674" s="6"/>
      <c r="G674" s="2"/>
      <c r="H674" s="157"/>
      <c r="I674" s="157"/>
      <c r="J674" s="2"/>
      <c r="K674" s="157"/>
      <c r="L674" s="3"/>
      <c r="M674" s="3"/>
      <c r="N674" s="3"/>
      <c r="O674" s="2"/>
      <c r="P674" s="277"/>
    </row>
    <row r="675" spans="1:16" ht="30" customHeight="1" x14ac:dyDescent="0.15">
      <c r="A675" s="284" t="s">
        <v>8084</v>
      </c>
      <c r="B675" s="157"/>
      <c r="C675" s="157"/>
      <c r="D675" s="157"/>
      <c r="E675" s="6"/>
      <c r="F675" s="6"/>
      <c r="G675" s="2"/>
      <c r="H675" s="157"/>
      <c r="I675" s="157"/>
      <c r="J675" s="2"/>
      <c r="K675" s="157"/>
      <c r="L675" s="3"/>
      <c r="M675" s="3"/>
      <c r="N675" s="3"/>
      <c r="O675" s="2"/>
      <c r="P675" s="277"/>
    </row>
    <row r="676" spans="1:16" ht="30" customHeight="1" x14ac:dyDescent="0.15">
      <c r="A676" s="284" t="s">
        <v>8085</v>
      </c>
      <c r="B676" s="157"/>
      <c r="C676" s="157"/>
      <c r="D676" s="157"/>
      <c r="E676" s="6"/>
      <c r="F676" s="6"/>
      <c r="G676" s="2"/>
      <c r="H676" s="157"/>
      <c r="I676" s="157"/>
      <c r="J676" s="2"/>
      <c r="K676" s="157"/>
      <c r="L676" s="3"/>
      <c r="M676" s="3"/>
      <c r="N676" s="3"/>
      <c r="O676" s="2"/>
      <c r="P676" s="277"/>
    </row>
    <row r="677" spans="1:16" ht="30" customHeight="1" x14ac:dyDescent="0.15">
      <c r="A677" s="284" t="s">
        <v>8086</v>
      </c>
      <c r="B677" s="157"/>
      <c r="C677" s="157"/>
      <c r="D677" s="157"/>
      <c r="E677" s="6"/>
      <c r="F677" s="6"/>
      <c r="G677" s="2"/>
      <c r="H677" s="157"/>
      <c r="I677" s="157"/>
      <c r="J677" s="2"/>
      <c r="K677" s="157"/>
      <c r="L677" s="3"/>
      <c r="M677" s="3"/>
      <c r="N677" s="3"/>
      <c r="O677" s="2"/>
      <c r="P677" s="277"/>
    </row>
    <row r="678" spans="1:16" ht="30" customHeight="1" x14ac:dyDescent="0.15">
      <c r="A678" s="284" t="s">
        <v>8087</v>
      </c>
      <c r="B678" s="157"/>
      <c r="C678" s="157"/>
      <c r="D678" s="157"/>
      <c r="E678" s="6"/>
      <c r="F678" s="6"/>
      <c r="G678" s="2"/>
      <c r="H678" s="157"/>
      <c r="I678" s="157"/>
      <c r="J678" s="2"/>
      <c r="K678" s="157"/>
      <c r="L678" s="3"/>
      <c r="M678" s="3"/>
      <c r="N678" s="3"/>
      <c r="O678" s="2"/>
      <c r="P678" s="277"/>
    </row>
    <row r="679" spans="1:16" ht="30" customHeight="1" x14ac:dyDescent="0.15">
      <c r="A679" s="284" t="s">
        <v>8088</v>
      </c>
      <c r="B679" s="157"/>
      <c r="C679" s="157"/>
      <c r="D679" s="157"/>
      <c r="E679" s="6"/>
      <c r="F679" s="6"/>
      <c r="G679" s="2"/>
      <c r="H679" s="157"/>
      <c r="I679" s="157"/>
      <c r="J679" s="2"/>
      <c r="K679" s="157"/>
      <c r="L679" s="3"/>
      <c r="M679" s="3"/>
      <c r="N679" s="3"/>
      <c r="O679" s="2"/>
      <c r="P679" s="277"/>
    </row>
    <row r="680" spans="1:16" ht="30" customHeight="1" x14ac:dyDescent="0.15">
      <c r="A680" s="284" t="s">
        <v>8089</v>
      </c>
      <c r="B680" s="157"/>
      <c r="C680" s="157"/>
      <c r="D680" s="157"/>
      <c r="E680" s="6"/>
      <c r="F680" s="6"/>
      <c r="G680" s="2"/>
      <c r="H680" s="157"/>
      <c r="I680" s="157"/>
      <c r="J680" s="2"/>
      <c r="K680" s="157"/>
      <c r="L680" s="3"/>
      <c r="M680" s="3"/>
      <c r="N680" s="3"/>
      <c r="O680" s="2"/>
      <c r="P680" s="277"/>
    </row>
    <row r="681" spans="1:16" ht="30" customHeight="1" x14ac:dyDescent="0.15">
      <c r="A681" s="284" t="s">
        <v>8090</v>
      </c>
      <c r="B681" s="157"/>
      <c r="C681" s="157"/>
      <c r="D681" s="157"/>
      <c r="E681" s="6"/>
      <c r="F681" s="6"/>
      <c r="G681" s="2"/>
      <c r="H681" s="157"/>
      <c r="I681" s="157"/>
      <c r="J681" s="2"/>
      <c r="K681" s="157"/>
      <c r="L681" s="3"/>
      <c r="M681" s="3"/>
      <c r="N681" s="3"/>
      <c r="O681" s="2"/>
      <c r="P681" s="277"/>
    </row>
    <row r="682" spans="1:16" ht="30" customHeight="1" x14ac:dyDescent="0.15">
      <c r="A682" s="284" t="s">
        <v>8091</v>
      </c>
      <c r="B682" s="157"/>
      <c r="C682" s="157"/>
      <c r="D682" s="157"/>
      <c r="E682" s="6"/>
      <c r="F682" s="6"/>
      <c r="G682" s="2"/>
      <c r="H682" s="157"/>
      <c r="I682" s="157"/>
      <c r="J682" s="2"/>
      <c r="K682" s="157"/>
      <c r="L682" s="3"/>
      <c r="M682" s="3"/>
      <c r="N682" s="3"/>
      <c r="O682" s="2"/>
      <c r="P682" s="277"/>
    </row>
    <row r="683" spans="1:16" ht="30" customHeight="1" x14ac:dyDescent="0.15">
      <c r="A683" s="284" t="s">
        <v>8092</v>
      </c>
      <c r="B683" s="157"/>
      <c r="C683" s="157"/>
      <c r="D683" s="157"/>
      <c r="E683" s="6"/>
      <c r="F683" s="6"/>
      <c r="G683" s="2"/>
      <c r="H683" s="157"/>
      <c r="I683" s="157"/>
      <c r="J683" s="2"/>
      <c r="K683" s="157"/>
      <c r="L683" s="3"/>
      <c r="M683" s="3"/>
      <c r="N683" s="3"/>
      <c r="O683" s="2"/>
      <c r="P683" s="277"/>
    </row>
    <row r="684" spans="1:16" ht="30" customHeight="1" x14ac:dyDescent="0.15">
      <c r="A684" s="284" t="s">
        <v>8093</v>
      </c>
      <c r="B684" s="157"/>
      <c r="C684" s="157"/>
      <c r="D684" s="157"/>
      <c r="E684" s="6"/>
      <c r="F684" s="6"/>
      <c r="G684" s="2"/>
      <c r="H684" s="157"/>
      <c r="I684" s="157"/>
      <c r="J684" s="2"/>
      <c r="K684" s="157"/>
      <c r="L684" s="3"/>
      <c r="M684" s="3"/>
      <c r="N684" s="3"/>
      <c r="O684" s="2"/>
      <c r="P684" s="277"/>
    </row>
    <row r="685" spans="1:16" ht="30" customHeight="1" x14ac:dyDescent="0.15">
      <c r="A685" s="284" t="s">
        <v>8094</v>
      </c>
      <c r="B685" s="157"/>
      <c r="C685" s="157"/>
      <c r="D685" s="157"/>
      <c r="E685" s="6"/>
      <c r="F685" s="6"/>
      <c r="G685" s="2"/>
      <c r="H685" s="157"/>
      <c r="I685" s="157"/>
      <c r="J685" s="2"/>
      <c r="K685" s="157"/>
      <c r="L685" s="3"/>
      <c r="M685" s="3"/>
      <c r="N685" s="3"/>
      <c r="O685" s="2"/>
      <c r="P685" s="277"/>
    </row>
    <row r="686" spans="1:16" ht="30" customHeight="1" x14ac:dyDescent="0.15">
      <c r="A686" s="284" t="s">
        <v>8095</v>
      </c>
      <c r="B686" s="157"/>
      <c r="C686" s="157"/>
      <c r="D686" s="157"/>
      <c r="E686" s="6"/>
      <c r="F686" s="6"/>
      <c r="G686" s="2"/>
      <c r="H686" s="157"/>
      <c r="I686" s="157"/>
      <c r="J686" s="2"/>
      <c r="K686" s="157"/>
      <c r="L686" s="3"/>
      <c r="M686" s="3"/>
      <c r="N686" s="3"/>
      <c r="O686" s="2"/>
      <c r="P686" s="277"/>
    </row>
    <row r="687" spans="1:16" ht="30" customHeight="1" x14ac:dyDescent="0.15">
      <c r="A687" s="284" t="s">
        <v>8096</v>
      </c>
      <c r="B687" s="157"/>
      <c r="C687" s="157"/>
      <c r="D687" s="157"/>
      <c r="E687" s="6"/>
      <c r="F687" s="6"/>
      <c r="G687" s="2"/>
      <c r="H687" s="157"/>
      <c r="I687" s="157"/>
      <c r="J687" s="2"/>
      <c r="K687" s="157"/>
      <c r="L687" s="3"/>
      <c r="M687" s="3"/>
      <c r="N687" s="3"/>
      <c r="O687" s="2"/>
      <c r="P687" s="277"/>
    </row>
    <row r="688" spans="1:16" ht="30" customHeight="1" x14ac:dyDescent="0.15">
      <c r="A688" s="284" t="s">
        <v>8097</v>
      </c>
      <c r="B688" s="157"/>
      <c r="C688" s="157"/>
      <c r="D688" s="157"/>
      <c r="E688" s="6"/>
      <c r="F688" s="6"/>
      <c r="G688" s="2"/>
      <c r="H688" s="157"/>
      <c r="I688" s="157"/>
      <c r="J688" s="2"/>
      <c r="K688" s="157"/>
      <c r="L688" s="3"/>
      <c r="M688" s="3"/>
      <c r="N688" s="3"/>
      <c r="O688" s="2"/>
      <c r="P688" s="277"/>
    </row>
    <row r="689" spans="1:16" ht="30" customHeight="1" x14ac:dyDescent="0.15">
      <c r="A689" s="284" t="s">
        <v>8098</v>
      </c>
      <c r="B689" s="157"/>
      <c r="C689" s="157"/>
      <c r="D689" s="157"/>
      <c r="E689" s="6"/>
      <c r="F689" s="6"/>
      <c r="G689" s="2"/>
      <c r="H689" s="157"/>
      <c r="I689" s="157"/>
      <c r="J689" s="2"/>
      <c r="K689" s="157"/>
      <c r="L689" s="3"/>
      <c r="M689" s="3"/>
      <c r="N689" s="3"/>
      <c r="O689" s="2"/>
      <c r="P689" s="277"/>
    </row>
    <row r="690" spans="1:16" ht="30" customHeight="1" x14ac:dyDescent="0.15">
      <c r="A690" s="284" t="s">
        <v>8099</v>
      </c>
      <c r="B690" s="157"/>
      <c r="C690" s="157"/>
      <c r="D690" s="157"/>
      <c r="E690" s="6"/>
      <c r="F690" s="6"/>
      <c r="G690" s="2"/>
      <c r="H690" s="157"/>
      <c r="I690" s="157"/>
      <c r="J690" s="2"/>
      <c r="K690" s="157"/>
      <c r="L690" s="3"/>
      <c r="M690" s="3"/>
      <c r="N690" s="3"/>
      <c r="O690" s="2"/>
      <c r="P690" s="277"/>
    </row>
    <row r="691" spans="1:16" ht="30" customHeight="1" x14ac:dyDescent="0.15">
      <c r="A691" s="284" t="s">
        <v>8100</v>
      </c>
      <c r="B691" s="157"/>
      <c r="C691" s="157"/>
      <c r="D691" s="157"/>
      <c r="E691" s="6"/>
      <c r="F691" s="6"/>
      <c r="G691" s="2"/>
      <c r="H691" s="157"/>
      <c r="I691" s="157"/>
      <c r="J691" s="2"/>
      <c r="K691" s="157"/>
      <c r="L691" s="3"/>
      <c r="M691" s="3"/>
      <c r="N691" s="3"/>
      <c r="O691" s="2"/>
      <c r="P691" s="277"/>
    </row>
    <row r="692" spans="1:16" ht="30" customHeight="1" x14ac:dyDescent="0.15">
      <c r="A692" s="284" t="s">
        <v>8101</v>
      </c>
      <c r="B692" s="157"/>
      <c r="C692" s="157"/>
      <c r="D692" s="157"/>
      <c r="E692" s="6"/>
      <c r="F692" s="6"/>
      <c r="G692" s="2"/>
      <c r="H692" s="157"/>
      <c r="I692" s="157"/>
      <c r="J692" s="2"/>
      <c r="K692" s="157"/>
      <c r="L692" s="3"/>
      <c r="M692" s="3"/>
      <c r="N692" s="3"/>
      <c r="O692" s="2"/>
      <c r="P692" s="277"/>
    </row>
    <row r="693" spans="1:16" ht="30" customHeight="1" x14ac:dyDescent="0.15">
      <c r="A693" s="284" t="s">
        <v>8102</v>
      </c>
      <c r="B693" s="157"/>
      <c r="C693" s="157"/>
      <c r="D693" s="157"/>
      <c r="E693" s="6"/>
      <c r="F693" s="6"/>
      <c r="G693" s="2"/>
      <c r="H693" s="157"/>
      <c r="I693" s="157"/>
      <c r="J693" s="2"/>
      <c r="K693" s="157"/>
      <c r="L693" s="3"/>
      <c r="M693" s="3"/>
      <c r="N693" s="3"/>
      <c r="O693" s="2"/>
      <c r="P693" s="277"/>
    </row>
    <row r="694" spans="1:16" ht="30" customHeight="1" x14ac:dyDescent="0.15">
      <c r="A694" s="284" t="s">
        <v>8103</v>
      </c>
      <c r="B694" s="157"/>
      <c r="C694" s="157"/>
      <c r="D694" s="157"/>
      <c r="E694" s="6"/>
      <c r="F694" s="6"/>
      <c r="G694" s="2"/>
      <c r="H694" s="157"/>
      <c r="I694" s="157"/>
      <c r="J694" s="2"/>
      <c r="K694" s="157"/>
      <c r="L694" s="3"/>
      <c r="M694" s="3"/>
      <c r="N694" s="3"/>
      <c r="O694" s="2"/>
      <c r="P694" s="277"/>
    </row>
    <row r="695" spans="1:16" ht="30" customHeight="1" x14ac:dyDescent="0.15">
      <c r="A695" s="284" t="s">
        <v>8104</v>
      </c>
      <c r="B695" s="157"/>
      <c r="C695" s="157"/>
      <c r="D695" s="157"/>
      <c r="E695" s="6"/>
      <c r="F695" s="6"/>
      <c r="G695" s="2"/>
      <c r="H695" s="157"/>
      <c r="I695" s="157"/>
      <c r="J695" s="2"/>
      <c r="K695" s="157"/>
      <c r="L695" s="3"/>
      <c r="M695" s="3"/>
      <c r="N695" s="3"/>
      <c r="O695" s="2"/>
      <c r="P695" s="277"/>
    </row>
    <row r="696" spans="1:16" ht="30" customHeight="1" x14ac:dyDescent="0.15">
      <c r="A696" s="284" t="s">
        <v>8105</v>
      </c>
      <c r="B696" s="157"/>
      <c r="C696" s="157"/>
      <c r="D696" s="157"/>
      <c r="E696" s="6"/>
      <c r="F696" s="6"/>
      <c r="G696" s="2"/>
      <c r="H696" s="157"/>
      <c r="I696" s="157"/>
      <c r="J696" s="2"/>
      <c r="K696" s="157"/>
      <c r="L696" s="3"/>
      <c r="M696" s="3"/>
      <c r="N696" s="3"/>
      <c r="O696" s="2"/>
      <c r="P696" s="277"/>
    </row>
    <row r="697" spans="1:16" ht="30" customHeight="1" x14ac:dyDescent="0.15">
      <c r="A697" s="284" t="s">
        <v>8106</v>
      </c>
      <c r="B697" s="157"/>
      <c r="C697" s="157"/>
      <c r="D697" s="157"/>
      <c r="E697" s="6"/>
      <c r="F697" s="6"/>
      <c r="G697" s="2"/>
      <c r="H697" s="157"/>
      <c r="I697" s="157"/>
      <c r="J697" s="2"/>
      <c r="K697" s="157"/>
      <c r="L697" s="3"/>
      <c r="M697" s="3"/>
      <c r="N697" s="3"/>
      <c r="O697" s="2"/>
      <c r="P697" s="277"/>
    </row>
    <row r="698" spans="1:16" ht="30" customHeight="1" x14ac:dyDescent="0.15">
      <c r="A698" s="284" t="s">
        <v>8107</v>
      </c>
      <c r="B698" s="157"/>
      <c r="C698" s="157"/>
      <c r="D698" s="157"/>
      <c r="E698" s="6"/>
      <c r="F698" s="6"/>
      <c r="G698" s="2"/>
      <c r="H698" s="157"/>
      <c r="I698" s="157"/>
      <c r="J698" s="2"/>
      <c r="K698" s="157"/>
      <c r="L698" s="3"/>
      <c r="M698" s="3"/>
      <c r="N698" s="3"/>
      <c r="O698" s="2"/>
      <c r="P698" s="277"/>
    </row>
    <row r="699" spans="1:16" ht="30" customHeight="1" x14ac:dyDescent="0.15">
      <c r="A699" s="284" t="s">
        <v>8108</v>
      </c>
      <c r="B699" s="157"/>
      <c r="C699" s="157"/>
      <c r="D699" s="157"/>
      <c r="E699" s="6"/>
      <c r="F699" s="6"/>
      <c r="G699" s="2"/>
      <c r="H699" s="157"/>
      <c r="I699" s="157"/>
      <c r="J699" s="2"/>
      <c r="K699" s="157"/>
      <c r="L699" s="3"/>
      <c r="M699" s="3"/>
      <c r="N699" s="3"/>
      <c r="O699" s="2"/>
      <c r="P699" s="277"/>
    </row>
    <row r="700" spans="1:16" ht="30" customHeight="1" x14ac:dyDescent="0.15">
      <c r="A700" s="284" t="s">
        <v>8109</v>
      </c>
      <c r="B700" s="157"/>
      <c r="C700" s="157"/>
      <c r="D700" s="157"/>
      <c r="E700" s="6"/>
      <c r="F700" s="6"/>
      <c r="G700" s="2"/>
      <c r="H700" s="157"/>
      <c r="I700" s="157"/>
      <c r="J700" s="2"/>
      <c r="K700" s="157"/>
      <c r="L700" s="3"/>
      <c r="M700" s="3"/>
      <c r="N700" s="3"/>
      <c r="O700" s="2"/>
      <c r="P700" s="277"/>
    </row>
    <row r="701" spans="1:16" ht="30" customHeight="1" x14ac:dyDescent="0.15">
      <c r="A701" s="284" t="s">
        <v>8110</v>
      </c>
      <c r="B701" s="157"/>
      <c r="C701" s="157"/>
      <c r="D701" s="157"/>
      <c r="E701" s="6"/>
      <c r="F701" s="6"/>
      <c r="G701" s="2"/>
      <c r="H701" s="157"/>
      <c r="I701" s="157"/>
      <c r="J701" s="2"/>
      <c r="K701" s="157"/>
      <c r="L701" s="3"/>
      <c r="M701" s="3"/>
      <c r="N701" s="3"/>
      <c r="O701" s="2"/>
      <c r="P701" s="277"/>
    </row>
    <row r="702" spans="1:16" ht="30" customHeight="1" x14ac:dyDescent="0.15">
      <c r="A702" s="284" t="s">
        <v>8111</v>
      </c>
      <c r="B702" s="157"/>
      <c r="C702" s="157"/>
      <c r="D702" s="157"/>
      <c r="E702" s="6"/>
      <c r="F702" s="6"/>
      <c r="G702" s="2"/>
      <c r="H702" s="157"/>
      <c r="I702" s="157"/>
      <c r="J702" s="2"/>
      <c r="K702" s="157"/>
      <c r="L702" s="3"/>
      <c r="M702" s="3"/>
      <c r="N702" s="3"/>
      <c r="O702" s="2"/>
      <c r="P702" s="277"/>
    </row>
    <row r="703" spans="1:16" ht="30" customHeight="1" x14ac:dyDescent="0.15">
      <c r="A703" s="284" t="s">
        <v>8112</v>
      </c>
      <c r="B703" s="157"/>
      <c r="C703" s="157"/>
      <c r="D703" s="157"/>
      <c r="E703" s="6"/>
      <c r="F703" s="6"/>
      <c r="G703" s="2"/>
      <c r="H703" s="157"/>
      <c r="I703" s="157"/>
      <c r="J703" s="2"/>
      <c r="K703" s="157"/>
      <c r="L703" s="3"/>
      <c r="M703" s="3"/>
      <c r="N703" s="3"/>
      <c r="O703" s="2"/>
      <c r="P703" s="277"/>
    </row>
    <row r="704" spans="1:16" ht="30" customHeight="1" x14ac:dyDescent="0.15">
      <c r="A704" s="284" t="s">
        <v>8113</v>
      </c>
      <c r="B704" s="157"/>
      <c r="C704" s="157"/>
      <c r="D704" s="157"/>
      <c r="E704" s="6"/>
      <c r="F704" s="6"/>
      <c r="G704" s="2"/>
      <c r="H704" s="157"/>
      <c r="I704" s="157"/>
      <c r="J704" s="2"/>
      <c r="K704" s="157"/>
      <c r="L704" s="3"/>
      <c r="M704" s="3"/>
      <c r="N704" s="3"/>
      <c r="O704" s="2"/>
      <c r="P704" s="277"/>
    </row>
    <row r="705" spans="1:16" ht="30" customHeight="1" x14ac:dyDescent="0.15">
      <c r="A705" s="284" t="s">
        <v>8114</v>
      </c>
      <c r="B705" s="157"/>
      <c r="C705" s="157"/>
      <c r="D705" s="157"/>
      <c r="E705" s="6"/>
      <c r="F705" s="6"/>
      <c r="G705" s="2"/>
      <c r="H705" s="157"/>
      <c r="I705" s="157"/>
      <c r="J705" s="2"/>
      <c r="K705" s="157"/>
      <c r="L705" s="3"/>
      <c r="M705" s="3"/>
      <c r="N705" s="3"/>
      <c r="O705" s="2"/>
      <c r="P705" s="277"/>
    </row>
    <row r="706" spans="1:16" ht="30" customHeight="1" x14ac:dyDescent="0.15">
      <c r="A706" s="284" t="s">
        <v>8115</v>
      </c>
      <c r="B706" s="157"/>
      <c r="C706" s="157"/>
      <c r="D706" s="157"/>
      <c r="E706" s="6"/>
      <c r="F706" s="6"/>
      <c r="G706" s="2"/>
      <c r="H706" s="157"/>
      <c r="I706" s="157"/>
      <c r="J706" s="2"/>
      <c r="K706" s="157"/>
      <c r="L706" s="3"/>
      <c r="M706" s="3"/>
      <c r="N706" s="3"/>
      <c r="O706" s="2"/>
      <c r="P706" s="277"/>
    </row>
    <row r="707" spans="1:16" ht="30" customHeight="1" x14ac:dyDescent="0.15">
      <c r="A707" s="284" t="s">
        <v>8116</v>
      </c>
      <c r="B707" s="157"/>
      <c r="C707" s="157"/>
      <c r="D707" s="157"/>
      <c r="E707" s="6"/>
      <c r="F707" s="6"/>
      <c r="G707" s="2"/>
      <c r="H707" s="157"/>
      <c r="I707" s="157"/>
      <c r="J707" s="2"/>
      <c r="K707" s="157"/>
      <c r="L707" s="3"/>
      <c r="M707" s="3"/>
      <c r="N707" s="3"/>
      <c r="O707" s="2"/>
      <c r="P707" s="277"/>
    </row>
    <row r="708" spans="1:16" ht="30" customHeight="1" x14ac:dyDescent="0.15">
      <c r="A708" s="284" t="s">
        <v>8117</v>
      </c>
      <c r="B708" s="157"/>
      <c r="C708" s="157"/>
      <c r="D708" s="157"/>
      <c r="E708" s="6"/>
      <c r="F708" s="6"/>
      <c r="G708" s="2"/>
      <c r="H708" s="157"/>
      <c r="I708" s="157"/>
      <c r="J708" s="2"/>
      <c r="K708" s="157"/>
      <c r="L708" s="3"/>
      <c r="M708" s="3"/>
      <c r="N708" s="3"/>
      <c r="O708" s="2"/>
      <c r="P708" s="277"/>
    </row>
    <row r="709" spans="1:16" ht="30" customHeight="1" x14ac:dyDescent="0.15">
      <c r="A709" s="284" t="s">
        <v>8118</v>
      </c>
      <c r="B709" s="157"/>
      <c r="C709" s="157"/>
      <c r="D709" s="157"/>
      <c r="E709" s="6"/>
      <c r="F709" s="6"/>
      <c r="G709" s="2"/>
      <c r="H709" s="157"/>
      <c r="I709" s="157"/>
      <c r="J709" s="2"/>
      <c r="K709" s="157"/>
      <c r="L709" s="3"/>
      <c r="M709" s="3"/>
      <c r="N709" s="3"/>
      <c r="O709" s="2"/>
      <c r="P709" s="277"/>
    </row>
    <row r="710" spans="1:16" ht="30" customHeight="1" x14ac:dyDescent="0.15">
      <c r="A710" s="284" t="s">
        <v>8119</v>
      </c>
      <c r="B710" s="157"/>
      <c r="C710" s="157"/>
      <c r="D710" s="157"/>
      <c r="E710" s="6"/>
      <c r="F710" s="6"/>
      <c r="G710" s="2"/>
      <c r="H710" s="157"/>
      <c r="I710" s="157"/>
      <c r="J710" s="2"/>
      <c r="K710" s="157"/>
      <c r="L710" s="3"/>
      <c r="M710" s="3"/>
      <c r="N710" s="3"/>
      <c r="O710" s="2"/>
      <c r="P710" s="277"/>
    </row>
    <row r="711" spans="1:16" ht="30" customHeight="1" x14ac:dyDescent="0.15">
      <c r="A711" s="284" t="s">
        <v>8120</v>
      </c>
      <c r="B711" s="157"/>
      <c r="C711" s="157"/>
      <c r="D711" s="157"/>
      <c r="E711" s="6"/>
      <c r="F711" s="6"/>
      <c r="G711" s="2"/>
      <c r="H711" s="157"/>
      <c r="I711" s="157"/>
      <c r="J711" s="2"/>
      <c r="K711" s="157"/>
      <c r="L711" s="3"/>
      <c r="M711" s="3"/>
      <c r="N711" s="3"/>
      <c r="O711" s="2"/>
      <c r="P711" s="277"/>
    </row>
    <row r="712" spans="1:16" ht="30" customHeight="1" x14ac:dyDescent="0.15">
      <c r="A712" s="284" t="s">
        <v>8121</v>
      </c>
      <c r="B712" s="157"/>
      <c r="C712" s="157"/>
      <c r="D712" s="157"/>
      <c r="E712" s="6"/>
      <c r="F712" s="6"/>
      <c r="G712" s="2"/>
      <c r="H712" s="157"/>
      <c r="I712" s="157"/>
      <c r="J712" s="2"/>
      <c r="K712" s="157"/>
      <c r="L712" s="3"/>
      <c r="M712" s="3"/>
      <c r="N712" s="3"/>
      <c r="O712" s="2"/>
      <c r="P712" s="277"/>
    </row>
    <row r="713" spans="1:16" ht="30" customHeight="1" x14ac:dyDescent="0.15">
      <c r="A713" s="284" t="s">
        <v>8122</v>
      </c>
      <c r="B713" s="157"/>
      <c r="C713" s="157"/>
      <c r="D713" s="157"/>
      <c r="E713" s="6"/>
      <c r="F713" s="6"/>
      <c r="G713" s="2"/>
      <c r="H713" s="157"/>
      <c r="I713" s="157"/>
      <c r="J713" s="2"/>
      <c r="K713" s="157"/>
      <c r="L713" s="3"/>
      <c r="M713" s="3"/>
      <c r="N713" s="3"/>
      <c r="O713" s="2"/>
      <c r="P713" s="277"/>
    </row>
    <row r="714" spans="1:16" ht="30" customHeight="1" x14ac:dyDescent="0.15">
      <c r="A714" s="284" t="s">
        <v>8123</v>
      </c>
      <c r="B714" s="157"/>
      <c r="C714" s="157"/>
      <c r="D714" s="157"/>
      <c r="E714" s="6"/>
      <c r="F714" s="6"/>
      <c r="G714" s="2"/>
      <c r="H714" s="157"/>
      <c r="I714" s="157"/>
      <c r="J714" s="2"/>
      <c r="K714" s="157"/>
      <c r="L714" s="3"/>
      <c r="M714" s="3"/>
      <c r="N714" s="3"/>
      <c r="O714" s="2"/>
      <c r="P714" s="277"/>
    </row>
    <row r="715" spans="1:16" ht="30" customHeight="1" x14ac:dyDescent="0.15">
      <c r="A715" s="284" t="s">
        <v>8124</v>
      </c>
      <c r="B715" s="157"/>
      <c r="C715" s="157"/>
      <c r="D715" s="157"/>
      <c r="E715" s="6"/>
      <c r="F715" s="6"/>
      <c r="G715" s="2"/>
      <c r="H715" s="157"/>
      <c r="I715" s="157"/>
      <c r="J715" s="2"/>
      <c r="K715" s="157"/>
      <c r="L715" s="3"/>
      <c r="M715" s="3"/>
      <c r="N715" s="3"/>
      <c r="O715" s="2"/>
      <c r="P715" s="277"/>
    </row>
    <row r="716" spans="1:16" ht="30" customHeight="1" x14ac:dyDescent="0.15">
      <c r="A716" s="284" t="s">
        <v>8125</v>
      </c>
      <c r="B716" s="157"/>
      <c r="C716" s="157"/>
      <c r="D716" s="157"/>
      <c r="E716" s="6"/>
      <c r="F716" s="6"/>
      <c r="G716" s="2"/>
      <c r="H716" s="157"/>
      <c r="I716" s="157"/>
      <c r="J716" s="2"/>
      <c r="K716" s="157"/>
      <c r="L716" s="3"/>
      <c r="M716" s="3"/>
      <c r="N716" s="3"/>
      <c r="O716" s="2"/>
      <c r="P716" s="277"/>
    </row>
    <row r="717" spans="1:16" ht="30" customHeight="1" x14ac:dyDescent="0.15">
      <c r="A717" s="284" t="s">
        <v>8126</v>
      </c>
      <c r="B717" s="157"/>
      <c r="C717" s="157"/>
      <c r="D717" s="157"/>
      <c r="E717" s="6"/>
      <c r="F717" s="6"/>
      <c r="G717" s="2"/>
      <c r="H717" s="157"/>
      <c r="I717" s="157"/>
      <c r="J717" s="2"/>
      <c r="K717" s="157"/>
      <c r="L717" s="3"/>
      <c r="M717" s="3"/>
      <c r="N717" s="3"/>
      <c r="O717" s="2"/>
      <c r="P717" s="277"/>
    </row>
    <row r="718" spans="1:16" ht="30" customHeight="1" x14ac:dyDescent="0.15">
      <c r="A718" s="284" t="s">
        <v>8127</v>
      </c>
      <c r="B718" s="157"/>
      <c r="C718" s="157"/>
      <c r="D718" s="157"/>
      <c r="E718" s="6"/>
      <c r="F718" s="6"/>
      <c r="G718" s="2"/>
      <c r="H718" s="157"/>
      <c r="I718" s="157"/>
      <c r="J718" s="2"/>
      <c r="K718" s="157"/>
      <c r="L718" s="3"/>
      <c r="M718" s="3"/>
      <c r="N718" s="3"/>
      <c r="O718" s="2"/>
      <c r="P718" s="277"/>
    </row>
    <row r="719" spans="1:16" ht="30" customHeight="1" x14ac:dyDescent="0.15">
      <c r="A719" s="284" t="s">
        <v>8128</v>
      </c>
      <c r="B719" s="157"/>
      <c r="C719" s="157"/>
      <c r="D719" s="157"/>
      <c r="E719" s="6"/>
      <c r="F719" s="6"/>
      <c r="G719" s="2"/>
      <c r="H719" s="157"/>
      <c r="I719" s="157"/>
      <c r="J719" s="2"/>
      <c r="K719" s="157"/>
      <c r="L719" s="3"/>
      <c r="M719" s="3"/>
      <c r="N719" s="3"/>
      <c r="O719" s="2"/>
      <c r="P719" s="277"/>
    </row>
    <row r="720" spans="1:16" ht="30" customHeight="1" x14ac:dyDescent="0.15">
      <c r="A720" s="284" t="s">
        <v>8129</v>
      </c>
      <c r="B720" s="157"/>
      <c r="C720" s="157"/>
      <c r="D720" s="157"/>
      <c r="E720" s="6"/>
      <c r="F720" s="6"/>
      <c r="G720" s="2"/>
      <c r="H720" s="157"/>
      <c r="I720" s="157"/>
      <c r="J720" s="2"/>
      <c r="K720" s="157"/>
      <c r="L720" s="3"/>
      <c r="M720" s="3"/>
      <c r="N720" s="3"/>
      <c r="O720" s="2"/>
      <c r="P720" s="277"/>
    </row>
    <row r="721" spans="1:16" ht="30" customHeight="1" x14ac:dyDescent="0.15">
      <c r="A721" s="284" t="s">
        <v>8130</v>
      </c>
      <c r="B721" s="157"/>
      <c r="C721" s="157"/>
      <c r="D721" s="157"/>
      <c r="E721" s="6"/>
      <c r="F721" s="6"/>
      <c r="G721" s="2"/>
      <c r="H721" s="157"/>
      <c r="I721" s="157"/>
      <c r="J721" s="2"/>
      <c r="K721" s="157"/>
      <c r="L721" s="3"/>
      <c r="M721" s="3"/>
      <c r="N721" s="3"/>
      <c r="O721" s="2"/>
      <c r="P721" s="277"/>
    </row>
    <row r="722" spans="1:16" ht="30" customHeight="1" x14ac:dyDescent="0.15">
      <c r="A722" s="284" t="s">
        <v>8131</v>
      </c>
      <c r="B722" s="157"/>
      <c r="C722" s="157"/>
      <c r="D722" s="157"/>
      <c r="E722" s="6"/>
      <c r="F722" s="6"/>
      <c r="G722" s="2"/>
      <c r="H722" s="157"/>
      <c r="I722" s="157"/>
      <c r="J722" s="2"/>
      <c r="K722" s="157"/>
      <c r="L722" s="3"/>
      <c r="M722" s="3"/>
      <c r="N722" s="3"/>
      <c r="O722" s="2"/>
      <c r="P722" s="277"/>
    </row>
    <row r="723" spans="1:16" ht="30" customHeight="1" x14ac:dyDescent="0.15">
      <c r="A723" s="284" t="s">
        <v>8132</v>
      </c>
      <c r="B723" s="157"/>
      <c r="C723" s="157"/>
      <c r="D723" s="157"/>
      <c r="E723" s="6"/>
      <c r="F723" s="6"/>
      <c r="G723" s="2"/>
      <c r="H723" s="157"/>
      <c r="I723" s="157"/>
      <c r="J723" s="2"/>
      <c r="K723" s="157"/>
      <c r="L723" s="3"/>
      <c r="M723" s="3"/>
      <c r="N723" s="3"/>
      <c r="O723" s="2"/>
      <c r="P723" s="277"/>
    </row>
    <row r="724" spans="1:16" ht="30" customHeight="1" x14ac:dyDescent="0.15">
      <c r="A724" s="284" t="s">
        <v>8133</v>
      </c>
      <c r="B724" s="157"/>
      <c r="C724" s="157"/>
      <c r="D724" s="157"/>
      <c r="E724" s="6"/>
      <c r="F724" s="6"/>
      <c r="G724" s="2"/>
      <c r="H724" s="157"/>
      <c r="I724" s="157"/>
      <c r="J724" s="2"/>
      <c r="K724" s="157"/>
      <c r="L724" s="3"/>
      <c r="M724" s="3"/>
      <c r="N724" s="3"/>
      <c r="O724" s="2"/>
      <c r="P724" s="277"/>
    </row>
    <row r="725" spans="1:16" ht="30" customHeight="1" x14ac:dyDescent="0.15">
      <c r="A725" s="284" t="s">
        <v>8134</v>
      </c>
      <c r="B725" s="157"/>
      <c r="C725" s="157"/>
      <c r="D725" s="157"/>
      <c r="E725" s="6"/>
      <c r="F725" s="6"/>
      <c r="G725" s="2"/>
      <c r="H725" s="157"/>
      <c r="I725" s="157"/>
      <c r="J725" s="2"/>
      <c r="K725" s="157"/>
      <c r="L725" s="3"/>
      <c r="M725" s="3"/>
      <c r="N725" s="3"/>
      <c r="O725" s="2"/>
      <c r="P725" s="277"/>
    </row>
    <row r="726" spans="1:16" ht="30" customHeight="1" x14ac:dyDescent="0.15">
      <c r="A726" s="284" t="s">
        <v>8135</v>
      </c>
      <c r="B726" s="157"/>
      <c r="C726" s="157"/>
      <c r="D726" s="157"/>
      <c r="E726" s="6"/>
      <c r="F726" s="6"/>
      <c r="G726" s="2"/>
      <c r="H726" s="157"/>
      <c r="I726" s="157"/>
      <c r="J726" s="2"/>
      <c r="K726" s="157"/>
      <c r="L726" s="3"/>
      <c r="M726" s="3"/>
      <c r="N726" s="3"/>
      <c r="O726" s="2"/>
      <c r="P726" s="277"/>
    </row>
    <row r="727" spans="1:16" ht="30" customHeight="1" x14ac:dyDescent="0.15">
      <c r="A727" s="284" t="s">
        <v>8136</v>
      </c>
      <c r="B727" s="157"/>
      <c r="C727" s="157"/>
      <c r="D727" s="157"/>
      <c r="E727" s="6"/>
      <c r="F727" s="6"/>
      <c r="G727" s="2"/>
      <c r="H727" s="157"/>
      <c r="I727" s="157"/>
      <c r="J727" s="2"/>
      <c r="K727" s="157"/>
      <c r="L727" s="3"/>
      <c r="M727" s="3"/>
      <c r="N727" s="3"/>
      <c r="O727" s="2"/>
      <c r="P727" s="277"/>
    </row>
    <row r="728" spans="1:16" ht="30" customHeight="1" x14ac:dyDescent="0.15">
      <c r="A728" s="284" t="s">
        <v>8137</v>
      </c>
      <c r="B728" s="157"/>
      <c r="C728" s="157"/>
      <c r="D728" s="157"/>
      <c r="E728" s="6"/>
      <c r="F728" s="6"/>
      <c r="G728" s="2"/>
      <c r="H728" s="157"/>
      <c r="I728" s="157"/>
      <c r="J728" s="2"/>
      <c r="K728" s="157"/>
      <c r="L728" s="3"/>
      <c r="M728" s="3"/>
      <c r="N728" s="3"/>
      <c r="O728" s="2"/>
      <c r="P728" s="277"/>
    </row>
    <row r="729" spans="1:16" ht="30" customHeight="1" x14ac:dyDescent="0.15">
      <c r="A729" s="284" t="s">
        <v>8138</v>
      </c>
      <c r="B729" s="157"/>
      <c r="C729" s="157"/>
      <c r="D729" s="157"/>
      <c r="E729" s="6"/>
      <c r="F729" s="6"/>
      <c r="G729" s="2"/>
      <c r="H729" s="157"/>
      <c r="I729" s="157"/>
      <c r="J729" s="2"/>
      <c r="K729" s="157"/>
      <c r="L729" s="3"/>
      <c r="M729" s="3"/>
      <c r="N729" s="3"/>
      <c r="O729" s="2"/>
      <c r="P729" s="277"/>
    </row>
    <row r="730" spans="1:16" ht="30" customHeight="1" x14ac:dyDescent="0.15">
      <c r="A730" s="284" t="s">
        <v>8139</v>
      </c>
      <c r="B730" s="157"/>
      <c r="C730" s="157"/>
      <c r="D730" s="157"/>
      <c r="E730" s="6"/>
      <c r="F730" s="6"/>
      <c r="G730" s="2"/>
      <c r="H730" s="157"/>
      <c r="I730" s="157"/>
      <c r="J730" s="2"/>
      <c r="K730" s="157"/>
      <c r="L730" s="3"/>
      <c r="M730" s="3"/>
      <c r="N730" s="3"/>
      <c r="O730" s="2"/>
      <c r="P730" s="277"/>
    </row>
    <row r="731" spans="1:16" ht="30" customHeight="1" x14ac:dyDescent="0.15">
      <c r="A731" s="284" t="s">
        <v>8140</v>
      </c>
      <c r="B731" s="157"/>
      <c r="C731" s="157"/>
      <c r="D731" s="157"/>
      <c r="E731" s="6"/>
      <c r="F731" s="6"/>
      <c r="G731" s="2"/>
      <c r="H731" s="157"/>
      <c r="I731" s="157"/>
      <c r="J731" s="2"/>
      <c r="K731" s="157"/>
      <c r="L731" s="3"/>
      <c r="M731" s="3"/>
      <c r="N731" s="3"/>
      <c r="O731" s="2"/>
      <c r="P731" s="277"/>
    </row>
    <row r="732" spans="1:16" ht="30" customHeight="1" x14ac:dyDescent="0.15">
      <c r="A732" s="284" t="s">
        <v>8141</v>
      </c>
      <c r="B732" s="157"/>
      <c r="C732" s="157"/>
      <c r="D732" s="157"/>
      <c r="E732" s="6"/>
      <c r="F732" s="6"/>
      <c r="G732" s="2"/>
      <c r="H732" s="157"/>
      <c r="I732" s="157"/>
      <c r="J732" s="2"/>
      <c r="K732" s="157"/>
      <c r="L732" s="3"/>
      <c r="M732" s="3"/>
      <c r="N732" s="3"/>
      <c r="O732" s="2"/>
      <c r="P732" s="277"/>
    </row>
    <row r="733" spans="1:16" ht="30" customHeight="1" x14ac:dyDescent="0.15">
      <c r="A733" s="284" t="s">
        <v>8142</v>
      </c>
      <c r="B733" s="157"/>
      <c r="C733" s="157"/>
      <c r="D733" s="157"/>
      <c r="E733" s="6"/>
      <c r="F733" s="6"/>
      <c r="G733" s="2"/>
      <c r="H733" s="157"/>
      <c r="I733" s="157"/>
      <c r="J733" s="2"/>
      <c r="K733" s="157"/>
      <c r="L733" s="3"/>
      <c r="M733" s="3"/>
      <c r="N733" s="3"/>
      <c r="O733" s="2"/>
      <c r="P733" s="277"/>
    </row>
    <row r="734" spans="1:16" ht="30" customHeight="1" x14ac:dyDescent="0.15">
      <c r="A734" s="284" t="s">
        <v>8143</v>
      </c>
      <c r="B734" s="157"/>
      <c r="C734" s="157"/>
      <c r="D734" s="157"/>
      <c r="E734" s="6"/>
      <c r="F734" s="6"/>
      <c r="G734" s="2"/>
      <c r="H734" s="157"/>
      <c r="I734" s="157"/>
      <c r="J734" s="2"/>
      <c r="K734" s="157"/>
      <c r="L734" s="3"/>
      <c r="M734" s="3"/>
      <c r="N734" s="3"/>
      <c r="O734" s="2"/>
      <c r="P734" s="277"/>
    </row>
    <row r="735" spans="1:16" ht="30" customHeight="1" x14ac:dyDescent="0.15">
      <c r="A735" s="284" t="s">
        <v>8144</v>
      </c>
      <c r="B735" s="157"/>
      <c r="C735" s="157"/>
      <c r="D735" s="157"/>
      <c r="E735" s="6"/>
      <c r="F735" s="6"/>
      <c r="G735" s="2"/>
      <c r="H735" s="157"/>
      <c r="I735" s="157"/>
      <c r="J735" s="2"/>
      <c r="K735" s="157"/>
      <c r="L735" s="3"/>
      <c r="M735" s="3"/>
      <c r="N735" s="3"/>
      <c r="O735" s="2"/>
      <c r="P735" s="277"/>
    </row>
    <row r="736" spans="1:16" ht="30" customHeight="1" x14ac:dyDescent="0.15">
      <c r="A736" s="284" t="s">
        <v>8145</v>
      </c>
      <c r="B736" s="157"/>
      <c r="C736" s="157"/>
      <c r="D736" s="157"/>
      <c r="E736" s="6"/>
      <c r="F736" s="6"/>
      <c r="G736" s="2"/>
      <c r="H736" s="157"/>
      <c r="I736" s="157"/>
      <c r="J736" s="2"/>
      <c r="K736" s="157"/>
      <c r="L736" s="3"/>
      <c r="M736" s="3"/>
      <c r="N736" s="3"/>
      <c r="O736" s="2"/>
      <c r="P736" s="277"/>
    </row>
    <row r="737" spans="1:16" ht="30" customHeight="1" x14ac:dyDescent="0.15">
      <c r="A737" s="284" t="s">
        <v>8146</v>
      </c>
      <c r="B737" s="157"/>
      <c r="C737" s="157"/>
      <c r="D737" s="157"/>
      <c r="E737" s="6"/>
      <c r="F737" s="6"/>
      <c r="G737" s="2"/>
      <c r="H737" s="157"/>
      <c r="I737" s="157"/>
      <c r="J737" s="2"/>
      <c r="K737" s="157"/>
      <c r="L737" s="3"/>
      <c r="M737" s="3"/>
      <c r="N737" s="3"/>
      <c r="O737" s="2"/>
      <c r="P737" s="277"/>
    </row>
    <row r="738" spans="1:16" ht="30" customHeight="1" x14ac:dyDescent="0.15">
      <c r="A738" s="284" t="s">
        <v>8147</v>
      </c>
      <c r="B738" s="157"/>
      <c r="C738" s="157"/>
      <c r="D738" s="157"/>
      <c r="E738" s="6"/>
      <c r="F738" s="6"/>
      <c r="G738" s="2"/>
      <c r="H738" s="157"/>
      <c r="I738" s="157"/>
      <c r="J738" s="2"/>
      <c r="K738" s="157"/>
      <c r="L738" s="3"/>
      <c r="M738" s="3"/>
      <c r="N738" s="3"/>
      <c r="O738" s="2"/>
      <c r="P738" s="277"/>
    </row>
    <row r="739" spans="1:16" ht="30" customHeight="1" x14ac:dyDescent="0.15">
      <c r="A739" s="284" t="s">
        <v>8148</v>
      </c>
      <c r="B739" s="157"/>
      <c r="C739" s="157"/>
      <c r="D739" s="157"/>
      <c r="E739" s="6"/>
      <c r="F739" s="6"/>
      <c r="G739" s="2"/>
      <c r="H739" s="157"/>
      <c r="I739" s="157"/>
      <c r="J739" s="2"/>
      <c r="K739" s="157"/>
      <c r="L739" s="3"/>
      <c r="M739" s="3"/>
      <c r="N739" s="3"/>
      <c r="O739" s="2"/>
      <c r="P739" s="277"/>
    </row>
    <row r="740" spans="1:16" ht="30" customHeight="1" x14ac:dyDescent="0.15">
      <c r="A740" s="284" t="s">
        <v>8149</v>
      </c>
      <c r="B740" s="157"/>
      <c r="C740" s="157"/>
      <c r="D740" s="157"/>
      <c r="E740" s="6"/>
      <c r="F740" s="6"/>
      <c r="G740" s="2"/>
      <c r="H740" s="157"/>
      <c r="I740" s="157"/>
      <c r="J740" s="2"/>
      <c r="K740" s="157"/>
      <c r="L740" s="3"/>
      <c r="M740" s="3"/>
      <c r="N740" s="3"/>
      <c r="O740" s="2"/>
      <c r="P740" s="277"/>
    </row>
    <row r="741" spans="1:16" ht="30" customHeight="1" x14ac:dyDescent="0.15">
      <c r="A741" s="284" t="s">
        <v>8150</v>
      </c>
      <c r="B741" s="157"/>
      <c r="C741" s="157"/>
      <c r="D741" s="157"/>
      <c r="E741" s="6"/>
      <c r="F741" s="6"/>
      <c r="G741" s="2"/>
      <c r="H741" s="157"/>
      <c r="I741" s="157"/>
      <c r="J741" s="2"/>
      <c r="K741" s="157"/>
      <c r="L741" s="3"/>
      <c r="M741" s="3"/>
      <c r="N741" s="3"/>
      <c r="O741" s="2"/>
      <c r="P741" s="277"/>
    </row>
    <row r="742" spans="1:16" ht="30" customHeight="1" x14ac:dyDescent="0.15">
      <c r="A742" s="284" t="s">
        <v>8151</v>
      </c>
      <c r="B742" s="157"/>
      <c r="C742" s="157"/>
      <c r="D742" s="157"/>
      <c r="E742" s="6"/>
      <c r="F742" s="6"/>
      <c r="G742" s="2"/>
      <c r="H742" s="157"/>
      <c r="I742" s="157"/>
      <c r="J742" s="2"/>
      <c r="K742" s="157"/>
      <c r="L742" s="3"/>
      <c r="M742" s="3"/>
      <c r="N742" s="3"/>
      <c r="O742" s="2"/>
      <c r="P742" s="277"/>
    </row>
    <row r="743" spans="1:16" ht="30" customHeight="1" x14ac:dyDescent="0.15">
      <c r="A743" s="284" t="s">
        <v>8152</v>
      </c>
      <c r="B743" s="157"/>
      <c r="C743" s="157"/>
      <c r="D743" s="157"/>
      <c r="E743" s="6"/>
      <c r="F743" s="6"/>
      <c r="G743" s="2"/>
      <c r="H743" s="157"/>
      <c r="I743" s="157"/>
      <c r="J743" s="2"/>
      <c r="K743" s="157"/>
      <c r="L743" s="3"/>
      <c r="M743" s="3"/>
      <c r="N743" s="3"/>
      <c r="O743" s="2"/>
      <c r="P743" s="277"/>
    </row>
    <row r="744" spans="1:16" ht="30" customHeight="1" x14ac:dyDescent="0.15">
      <c r="A744" s="284" t="s">
        <v>8153</v>
      </c>
      <c r="B744" s="157"/>
      <c r="C744" s="157"/>
      <c r="D744" s="157"/>
      <c r="E744" s="6"/>
      <c r="F744" s="6"/>
      <c r="G744" s="2"/>
      <c r="H744" s="157"/>
      <c r="I744" s="157"/>
      <c r="J744" s="2"/>
      <c r="K744" s="157"/>
      <c r="L744" s="3"/>
      <c r="M744" s="3"/>
      <c r="N744" s="3"/>
      <c r="O744" s="2"/>
      <c r="P744" s="277"/>
    </row>
    <row r="745" spans="1:16" ht="30" customHeight="1" x14ac:dyDescent="0.15">
      <c r="A745" s="284" t="s">
        <v>8154</v>
      </c>
      <c r="B745" s="157"/>
      <c r="C745" s="157"/>
      <c r="D745" s="157"/>
      <c r="E745" s="6"/>
      <c r="F745" s="6"/>
      <c r="G745" s="2"/>
      <c r="H745" s="157"/>
      <c r="I745" s="157"/>
      <c r="J745" s="2"/>
      <c r="K745" s="157"/>
      <c r="L745" s="3"/>
      <c r="M745" s="3"/>
      <c r="N745" s="3"/>
      <c r="O745" s="2"/>
      <c r="P745" s="277"/>
    </row>
    <row r="746" spans="1:16" ht="30" customHeight="1" x14ac:dyDescent="0.15">
      <c r="A746" s="284" t="s">
        <v>8155</v>
      </c>
      <c r="B746" s="157"/>
      <c r="C746" s="157"/>
      <c r="D746" s="157"/>
      <c r="E746" s="6"/>
      <c r="F746" s="6"/>
      <c r="G746" s="2"/>
      <c r="H746" s="157"/>
      <c r="I746" s="157"/>
      <c r="J746" s="2"/>
      <c r="K746" s="157"/>
      <c r="L746" s="3"/>
      <c r="M746" s="3"/>
      <c r="N746" s="3"/>
      <c r="O746" s="2"/>
      <c r="P746" s="277"/>
    </row>
    <row r="747" spans="1:16" ht="30" customHeight="1" x14ac:dyDescent="0.15">
      <c r="A747" s="284" t="s">
        <v>8156</v>
      </c>
      <c r="B747" s="157"/>
      <c r="C747" s="157"/>
      <c r="D747" s="157"/>
      <c r="E747" s="6"/>
      <c r="F747" s="6"/>
      <c r="G747" s="2"/>
      <c r="H747" s="157"/>
      <c r="I747" s="157"/>
      <c r="J747" s="2"/>
      <c r="K747" s="157"/>
      <c r="L747" s="3"/>
      <c r="M747" s="3"/>
      <c r="N747" s="3"/>
      <c r="O747" s="2"/>
      <c r="P747" s="277"/>
    </row>
    <row r="748" spans="1:16" ht="30" customHeight="1" x14ac:dyDescent="0.15">
      <c r="A748" s="284" t="s">
        <v>8157</v>
      </c>
      <c r="B748" s="157"/>
      <c r="C748" s="157"/>
      <c r="D748" s="157"/>
      <c r="E748" s="6"/>
      <c r="F748" s="6"/>
      <c r="G748" s="2"/>
      <c r="H748" s="157"/>
      <c r="I748" s="157"/>
      <c r="J748" s="2"/>
      <c r="K748" s="157"/>
      <c r="L748" s="3"/>
      <c r="M748" s="3"/>
      <c r="N748" s="3"/>
      <c r="O748" s="2"/>
      <c r="P748" s="277"/>
    </row>
    <row r="749" spans="1:16" ht="30" customHeight="1" x14ac:dyDescent="0.15">
      <c r="A749" s="284" t="s">
        <v>8158</v>
      </c>
      <c r="B749" s="157"/>
      <c r="C749" s="157"/>
      <c r="D749" s="157"/>
      <c r="E749" s="6"/>
      <c r="F749" s="6"/>
      <c r="G749" s="2"/>
      <c r="H749" s="157"/>
      <c r="I749" s="157"/>
      <c r="J749" s="2"/>
      <c r="K749" s="157"/>
      <c r="L749" s="3"/>
      <c r="M749" s="3"/>
      <c r="N749" s="3"/>
      <c r="O749" s="2"/>
      <c r="P749" s="277"/>
    </row>
    <row r="750" spans="1:16" ht="30" customHeight="1" x14ac:dyDescent="0.15">
      <c r="A750" s="284" t="s">
        <v>8159</v>
      </c>
      <c r="B750" s="157"/>
      <c r="C750" s="157"/>
      <c r="D750" s="157"/>
      <c r="E750" s="6"/>
      <c r="F750" s="6"/>
      <c r="G750" s="2"/>
      <c r="H750" s="157"/>
      <c r="I750" s="157"/>
      <c r="J750" s="2"/>
      <c r="K750" s="157"/>
      <c r="L750" s="3"/>
      <c r="M750" s="3"/>
      <c r="N750" s="3"/>
      <c r="O750" s="2"/>
      <c r="P750" s="277"/>
    </row>
    <row r="751" spans="1:16" ht="30" customHeight="1" x14ac:dyDescent="0.15">
      <c r="A751" s="284" t="s">
        <v>8160</v>
      </c>
      <c r="B751" s="157"/>
      <c r="C751" s="157"/>
      <c r="D751" s="157"/>
      <c r="E751" s="6"/>
      <c r="F751" s="6"/>
      <c r="G751" s="2"/>
      <c r="H751" s="157"/>
      <c r="I751" s="157"/>
      <c r="J751" s="2"/>
      <c r="K751" s="157"/>
      <c r="L751" s="3"/>
      <c r="M751" s="3"/>
      <c r="N751" s="3"/>
      <c r="O751" s="2"/>
      <c r="P751" s="277"/>
    </row>
    <row r="752" spans="1:16" ht="30" customHeight="1" x14ac:dyDescent="0.15">
      <c r="A752" s="284" t="s">
        <v>8161</v>
      </c>
      <c r="B752" s="157"/>
      <c r="C752" s="157"/>
      <c r="D752" s="157"/>
      <c r="E752" s="6"/>
      <c r="F752" s="6"/>
      <c r="G752" s="2"/>
      <c r="H752" s="157"/>
      <c r="I752" s="157"/>
      <c r="J752" s="2"/>
      <c r="K752" s="157"/>
      <c r="L752" s="3"/>
      <c r="M752" s="3"/>
      <c r="N752" s="3"/>
      <c r="O752" s="2"/>
      <c r="P752" s="277"/>
    </row>
    <row r="753" spans="1:16" ht="30" customHeight="1" x14ac:dyDescent="0.15">
      <c r="A753" s="284" t="s">
        <v>8162</v>
      </c>
      <c r="B753" s="157"/>
      <c r="C753" s="157"/>
      <c r="D753" s="157"/>
      <c r="E753" s="6"/>
      <c r="F753" s="6"/>
      <c r="G753" s="2"/>
      <c r="H753" s="157"/>
      <c r="I753" s="157"/>
      <c r="J753" s="2"/>
      <c r="K753" s="157"/>
      <c r="L753" s="3"/>
      <c r="M753" s="3"/>
      <c r="N753" s="3"/>
      <c r="O753" s="2"/>
      <c r="P753" s="277"/>
    </row>
    <row r="754" spans="1:16" ht="30" customHeight="1" x14ac:dyDescent="0.15">
      <c r="A754" s="284" t="s">
        <v>8163</v>
      </c>
      <c r="B754" s="157"/>
      <c r="C754" s="157"/>
      <c r="D754" s="157"/>
      <c r="E754" s="6"/>
      <c r="F754" s="6"/>
      <c r="G754" s="2"/>
      <c r="H754" s="157"/>
      <c r="I754" s="157"/>
      <c r="J754" s="2"/>
      <c r="K754" s="157"/>
      <c r="L754" s="3"/>
      <c r="M754" s="3"/>
      <c r="N754" s="3"/>
      <c r="O754" s="2"/>
      <c r="P754" s="277"/>
    </row>
    <row r="755" spans="1:16" ht="30" customHeight="1" x14ac:dyDescent="0.15">
      <c r="A755" s="284" t="s">
        <v>8164</v>
      </c>
      <c r="B755" s="157"/>
      <c r="C755" s="157"/>
      <c r="D755" s="157"/>
      <c r="E755" s="6"/>
      <c r="F755" s="6"/>
      <c r="G755" s="2"/>
      <c r="H755" s="157"/>
      <c r="I755" s="157"/>
      <c r="J755" s="2"/>
      <c r="K755" s="157"/>
      <c r="L755" s="3"/>
      <c r="M755" s="3"/>
      <c r="N755" s="3"/>
      <c r="O755" s="2"/>
      <c r="P755" s="277"/>
    </row>
    <row r="756" spans="1:16" ht="30" customHeight="1" x14ac:dyDescent="0.15">
      <c r="A756" s="284" t="s">
        <v>8165</v>
      </c>
      <c r="B756" s="157"/>
      <c r="C756" s="157"/>
      <c r="D756" s="157"/>
      <c r="E756" s="6"/>
      <c r="F756" s="6"/>
      <c r="G756" s="2"/>
      <c r="H756" s="157"/>
      <c r="I756" s="157"/>
      <c r="J756" s="2"/>
      <c r="K756" s="157"/>
      <c r="L756" s="3"/>
      <c r="M756" s="3"/>
      <c r="N756" s="3"/>
      <c r="O756" s="2"/>
      <c r="P756" s="277"/>
    </row>
    <row r="757" spans="1:16" ht="30" customHeight="1" x14ac:dyDescent="0.15">
      <c r="A757" s="284" t="s">
        <v>8166</v>
      </c>
      <c r="B757" s="157"/>
      <c r="C757" s="157"/>
      <c r="D757" s="157"/>
      <c r="E757" s="6"/>
      <c r="F757" s="6"/>
      <c r="G757" s="2"/>
      <c r="H757" s="157"/>
      <c r="I757" s="157"/>
      <c r="J757" s="2"/>
      <c r="K757" s="157"/>
      <c r="L757" s="3"/>
      <c r="M757" s="3"/>
      <c r="N757" s="3"/>
      <c r="O757" s="2"/>
      <c r="P757" s="277"/>
    </row>
    <row r="758" spans="1:16" ht="30" customHeight="1" x14ac:dyDescent="0.15">
      <c r="A758" s="284" t="s">
        <v>8167</v>
      </c>
      <c r="B758" s="157"/>
      <c r="C758" s="157"/>
      <c r="D758" s="157"/>
      <c r="E758" s="6"/>
      <c r="F758" s="6"/>
      <c r="G758" s="2"/>
      <c r="H758" s="157"/>
      <c r="I758" s="157"/>
      <c r="J758" s="2"/>
      <c r="K758" s="157"/>
      <c r="L758" s="3"/>
      <c r="M758" s="3"/>
      <c r="N758" s="3"/>
      <c r="O758" s="2"/>
      <c r="P758" s="277"/>
    </row>
    <row r="759" spans="1:16" ht="30" customHeight="1" x14ac:dyDescent="0.15">
      <c r="A759" s="284" t="s">
        <v>8168</v>
      </c>
      <c r="B759" s="157"/>
      <c r="C759" s="157"/>
      <c r="D759" s="157"/>
      <c r="E759" s="6"/>
      <c r="F759" s="6"/>
      <c r="G759" s="2"/>
      <c r="H759" s="157"/>
      <c r="I759" s="157"/>
      <c r="J759" s="2"/>
      <c r="K759" s="157"/>
      <c r="L759" s="3"/>
      <c r="M759" s="3"/>
      <c r="N759" s="3"/>
      <c r="O759" s="2"/>
      <c r="P759" s="277"/>
    </row>
    <row r="760" spans="1:16" ht="30" customHeight="1" x14ac:dyDescent="0.15">
      <c r="A760" s="284" t="s">
        <v>8169</v>
      </c>
      <c r="B760" s="157"/>
      <c r="C760" s="157"/>
      <c r="D760" s="157"/>
      <c r="E760" s="6"/>
      <c r="F760" s="6"/>
      <c r="G760" s="2"/>
      <c r="H760" s="157"/>
      <c r="I760" s="157"/>
      <c r="J760" s="2"/>
      <c r="K760" s="157"/>
      <c r="L760" s="3"/>
      <c r="M760" s="3"/>
      <c r="N760" s="3"/>
      <c r="O760" s="2"/>
      <c r="P760" s="277"/>
    </row>
    <row r="761" spans="1:16" ht="30" customHeight="1" x14ac:dyDescent="0.15">
      <c r="A761" s="284" t="s">
        <v>8170</v>
      </c>
      <c r="B761" s="157"/>
      <c r="C761" s="157"/>
      <c r="D761" s="157"/>
      <c r="E761" s="6"/>
      <c r="F761" s="6"/>
      <c r="G761" s="2"/>
      <c r="H761" s="157"/>
      <c r="I761" s="157"/>
      <c r="J761" s="2"/>
      <c r="K761" s="157"/>
      <c r="L761" s="3"/>
      <c r="M761" s="3"/>
      <c r="N761" s="3"/>
      <c r="O761" s="2"/>
      <c r="P761" s="277"/>
    </row>
    <row r="762" spans="1:16" ht="30" customHeight="1" x14ac:dyDescent="0.15">
      <c r="A762" s="284" t="s">
        <v>8171</v>
      </c>
      <c r="B762" s="157"/>
      <c r="C762" s="157"/>
      <c r="D762" s="157"/>
      <c r="E762" s="6"/>
      <c r="F762" s="6"/>
      <c r="G762" s="2"/>
      <c r="H762" s="157"/>
      <c r="I762" s="157"/>
      <c r="J762" s="2"/>
      <c r="K762" s="157"/>
      <c r="L762" s="3"/>
      <c r="M762" s="3"/>
      <c r="N762" s="3"/>
      <c r="O762" s="2"/>
      <c r="P762" s="277"/>
    </row>
    <row r="763" spans="1:16" ht="30" customHeight="1" x14ac:dyDescent="0.15">
      <c r="A763" s="284" t="s">
        <v>8172</v>
      </c>
      <c r="B763" s="157"/>
      <c r="C763" s="157"/>
      <c r="D763" s="157"/>
      <c r="E763" s="6"/>
      <c r="F763" s="6"/>
      <c r="G763" s="2"/>
      <c r="H763" s="157"/>
      <c r="I763" s="157"/>
      <c r="J763" s="2"/>
      <c r="K763" s="157"/>
      <c r="L763" s="3"/>
      <c r="M763" s="3"/>
      <c r="N763" s="3"/>
      <c r="O763" s="2"/>
      <c r="P763" s="277"/>
    </row>
    <row r="764" spans="1:16" ht="30" customHeight="1" x14ac:dyDescent="0.15">
      <c r="A764" s="284" t="s">
        <v>8173</v>
      </c>
      <c r="B764" s="157"/>
      <c r="C764" s="157"/>
      <c r="D764" s="157"/>
      <c r="E764" s="6"/>
      <c r="F764" s="6"/>
      <c r="G764" s="2"/>
      <c r="H764" s="157"/>
      <c r="I764" s="157"/>
      <c r="J764" s="2"/>
      <c r="K764" s="157"/>
      <c r="L764" s="3"/>
      <c r="M764" s="3"/>
      <c r="N764" s="3"/>
      <c r="O764" s="2"/>
      <c r="P764" s="277"/>
    </row>
    <row r="765" spans="1:16" ht="30" customHeight="1" x14ac:dyDescent="0.15">
      <c r="A765" s="284" t="s">
        <v>8174</v>
      </c>
      <c r="B765" s="157"/>
      <c r="C765" s="157"/>
      <c r="D765" s="157"/>
      <c r="E765" s="6"/>
      <c r="F765" s="6"/>
      <c r="G765" s="2"/>
      <c r="H765" s="157"/>
      <c r="I765" s="157"/>
      <c r="J765" s="2"/>
      <c r="K765" s="157"/>
      <c r="L765" s="3"/>
      <c r="M765" s="3"/>
      <c r="N765" s="3"/>
      <c r="O765" s="2"/>
      <c r="P765" s="277"/>
    </row>
    <row r="766" spans="1:16" ht="30" customHeight="1" x14ac:dyDescent="0.15">
      <c r="A766" s="284" t="s">
        <v>8175</v>
      </c>
      <c r="B766" s="157"/>
      <c r="C766" s="157"/>
      <c r="D766" s="157"/>
      <c r="E766" s="6"/>
      <c r="F766" s="6"/>
      <c r="G766" s="2"/>
      <c r="H766" s="157"/>
      <c r="I766" s="157"/>
      <c r="J766" s="2"/>
      <c r="K766" s="157"/>
      <c r="L766" s="3"/>
      <c r="M766" s="3"/>
      <c r="N766" s="3"/>
      <c r="O766" s="2"/>
      <c r="P766" s="277"/>
    </row>
    <row r="767" spans="1:16" ht="30" customHeight="1" x14ac:dyDescent="0.15">
      <c r="A767" s="284" t="s">
        <v>8176</v>
      </c>
      <c r="B767" s="157"/>
      <c r="C767" s="157"/>
      <c r="D767" s="157"/>
      <c r="E767" s="6"/>
      <c r="F767" s="6"/>
      <c r="G767" s="2"/>
      <c r="H767" s="157"/>
      <c r="I767" s="157"/>
      <c r="J767" s="2"/>
      <c r="K767" s="157"/>
      <c r="L767" s="3"/>
      <c r="M767" s="3"/>
      <c r="N767" s="3"/>
      <c r="O767" s="2"/>
      <c r="P767" s="277"/>
    </row>
    <row r="768" spans="1:16" ht="30" customHeight="1" x14ac:dyDescent="0.15">
      <c r="A768" s="284" t="s">
        <v>8177</v>
      </c>
      <c r="B768" s="157"/>
      <c r="C768" s="157"/>
      <c r="D768" s="157"/>
      <c r="E768" s="6"/>
      <c r="F768" s="6"/>
      <c r="G768" s="2"/>
      <c r="H768" s="157"/>
      <c r="I768" s="157"/>
      <c r="J768" s="2"/>
      <c r="K768" s="157"/>
      <c r="L768" s="3"/>
      <c r="M768" s="3"/>
      <c r="N768" s="3"/>
      <c r="O768" s="2"/>
      <c r="P768" s="277"/>
    </row>
    <row r="769" spans="1:16" ht="30" customHeight="1" x14ac:dyDescent="0.15">
      <c r="A769" s="284" t="s">
        <v>8178</v>
      </c>
      <c r="B769" s="157"/>
      <c r="C769" s="157"/>
      <c r="D769" s="157"/>
      <c r="E769" s="6"/>
      <c r="F769" s="6"/>
      <c r="G769" s="2"/>
      <c r="H769" s="157"/>
      <c r="I769" s="157"/>
      <c r="J769" s="2"/>
      <c r="K769" s="157"/>
      <c r="L769" s="3"/>
      <c r="M769" s="3"/>
      <c r="N769" s="3"/>
      <c r="O769" s="2"/>
      <c r="P769" s="277"/>
    </row>
    <row r="770" spans="1:16" ht="30" customHeight="1" x14ac:dyDescent="0.15">
      <c r="A770" s="284" t="s">
        <v>8179</v>
      </c>
      <c r="B770" s="157"/>
      <c r="C770" s="157"/>
      <c r="D770" s="157"/>
      <c r="E770" s="6"/>
      <c r="F770" s="6"/>
      <c r="G770" s="2"/>
      <c r="H770" s="157"/>
      <c r="I770" s="157"/>
      <c r="J770" s="2"/>
      <c r="K770" s="157"/>
      <c r="L770" s="3"/>
      <c r="M770" s="3"/>
      <c r="N770" s="3"/>
      <c r="O770" s="2"/>
      <c r="P770" s="277"/>
    </row>
    <row r="771" spans="1:16" ht="30" customHeight="1" x14ac:dyDescent="0.15">
      <c r="A771" s="284" t="s">
        <v>8180</v>
      </c>
      <c r="B771" s="157"/>
      <c r="C771" s="157"/>
      <c r="D771" s="157"/>
      <c r="E771" s="6"/>
      <c r="F771" s="6"/>
      <c r="G771" s="2"/>
      <c r="H771" s="157"/>
      <c r="I771" s="157"/>
      <c r="J771" s="2"/>
      <c r="K771" s="157"/>
      <c r="L771" s="3"/>
      <c r="M771" s="3"/>
      <c r="N771" s="3"/>
      <c r="O771" s="2"/>
      <c r="P771" s="277"/>
    </row>
    <row r="772" spans="1:16" ht="30" customHeight="1" x14ac:dyDescent="0.15">
      <c r="A772" s="284" t="s">
        <v>8181</v>
      </c>
      <c r="B772" s="157"/>
      <c r="C772" s="157"/>
      <c r="D772" s="157"/>
      <c r="E772" s="6"/>
      <c r="F772" s="6"/>
      <c r="G772" s="2"/>
      <c r="H772" s="157"/>
      <c r="I772" s="157"/>
      <c r="J772" s="2"/>
      <c r="K772" s="157"/>
      <c r="L772" s="3"/>
      <c r="M772" s="3"/>
      <c r="N772" s="3"/>
      <c r="O772" s="2"/>
      <c r="P772" s="277"/>
    </row>
    <row r="773" spans="1:16" ht="30" customHeight="1" x14ac:dyDescent="0.15">
      <c r="A773" s="284" t="s">
        <v>8182</v>
      </c>
      <c r="B773" s="157"/>
      <c r="C773" s="157"/>
      <c r="D773" s="157"/>
      <c r="E773" s="6"/>
      <c r="F773" s="6"/>
      <c r="G773" s="2"/>
      <c r="H773" s="157"/>
      <c r="I773" s="157"/>
      <c r="J773" s="2"/>
      <c r="K773" s="157"/>
      <c r="L773" s="3"/>
      <c r="M773" s="3"/>
      <c r="N773" s="3"/>
      <c r="O773" s="2"/>
      <c r="P773" s="277"/>
    </row>
    <row r="774" spans="1:16" ht="30" customHeight="1" x14ac:dyDescent="0.15">
      <c r="A774" s="284" t="s">
        <v>8183</v>
      </c>
      <c r="B774" s="157"/>
      <c r="C774" s="157"/>
      <c r="D774" s="157"/>
      <c r="E774" s="6"/>
      <c r="F774" s="6"/>
      <c r="G774" s="2"/>
      <c r="H774" s="157"/>
      <c r="I774" s="157"/>
      <c r="J774" s="2"/>
      <c r="K774" s="157"/>
      <c r="L774" s="3"/>
      <c r="M774" s="3"/>
      <c r="N774" s="3"/>
      <c r="O774" s="2"/>
      <c r="P774" s="277"/>
    </row>
    <row r="775" spans="1:16" ht="30" customHeight="1" x14ac:dyDescent="0.15">
      <c r="A775" s="284" t="s">
        <v>8184</v>
      </c>
      <c r="B775" s="157"/>
      <c r="C775" s="157"/>
      <c r="D775" s="157"/>
      <c r="E775" s="6"/>
      <c r="F775" s="6"/>
      <c r="G775" s="2"/>
      <c r="H775" s="157"/>
      <c r="I775" s="157"/>
      <c r="J775" s="2"/>
      <c r="K775" s="157"/>
      <c r="L775" s="3"/>
      <c r="M775" s="3"/>
      <c r="N775" s="3"/>
      <c r="O775" s="2"/>
      <c r="P775" s="277"/>
    </row>
    <row r="776" spans="1:16" ht="30" customHeight="1" x14ac:dyDescent="0.15">
      <c r="A776" s="284" t="s">
        <v>8185</v>
      </c>
      <c r="B776" s="157"/>
      <c r="C776" s="157"/>
      <c r="D776" s="157"/>
      <c r="E776" s="6"/>
      <c r="F776" s="6"/>
      <c r="G776" s="2"/>
      <c r="H776" s="157"/>
      <c r="I776" s="157"/>
      <c r="J776" s="2"/>
      <c r="K776" s="157"/>
      <c r="L776" s="3"/>
      <c r="M776" s="3"/>
      <c r="N776" s="3"/>
      <c r="O776" s="2"/>
      <c r="P776" s="277"/>
    </row>
    <row r="777" spans="1:16" ht="30" customHeight="1" x14ac:dyDescent="0.15">
      <c r="A777" s="284" t="s">
        <v>8186</v>
      </c>
      <c r="B777" s="157"/>
      <c r="C777" s="157"/>
      <c r="D777" s="157"/>
      <c r="E777" s="6"/>
      <c r="F777" s="6"/>
      <c r="G777" s="2"/>
      <c r="H777" s="157"/>
      <c r="I777" s="157"/>
      <c r="J777" s="2"/>
      <c r="K777" s="157"/>
      <c r="L777" s="3"/>
      <c r="M777" s="3"/>
      <c r="N777" s="3"/>
      <c r="O777" s="2"/>
      <c r="P777" s="277"/>
    </row>
    <row r="778" spans="1:16" ht="30" customHeight="1" x14ac:dyDescent="0.15">
      <c r="A778" s="284" t="s">
        <v>8187</v>
      </c>
      <c r="B778" s="157"/>
      <c r="C778" s="157"/>
      <c r="D778" s="157"/>
      <c r="E778" s="6"/>
      <c r="F778" s="6"/>
      <c r="G778" s="2"/>
      <c r="H778" s="157"/>
      <c r="I778" s="157"/>
      <c r="J778" s="2"/>
      <c r="K778" s="157"/>
      <c r="L778" s="3"/>
      <c r="M778" s="3"/>
      <c r="N778" s="3"/>
      <c r="O778" s="2"/>
      <c r="P778" s="277"/>
    </row>
    <row r="779" spans="1:16" ht="30" customHeight="1" x14ac:dyDescent="0.15">
      <c r="A779" s="284" t="s">
        <v>8188</v>
      </c>
      <c r="B779" s="157"/>
      <c r="C779" s="157"/>
      <c r="D779" s="157"/>
      <c r="E779" s="6"/>
      <c r="F779" s="6"/>
      <c r="G779" s="2"/>
      <c r="H779" s="157"/>
      <c r="I779" s="157"/>
      <c r="J779" s="2"/>
      <c r="K779" s="157"/>
      <c r="L779" s="3"/>
      <c r="M779" s="3"/>
      <c r="N779" s="3"/>
      <c r="O779" s="2"/>
      <c r="P779" s="277"/>
    </row>
    <row r="780" spans="1:16" ht="30" customHeight="1" x14ac:dyDescent="0.15">
      <c r="A780" s="284" t="s">
        <v>8189</v>
      </c>
      <c r="B780" s="157"/>
      <c r="C780" s="157"/>
      <c r="D780" s="157"/>
      <c r="E780" s="6"/>
      <c r="F780" s="6"/>
      <c r="G780" s="2"/>
      <c r="H780" s="157"/>
      <c r="I780" s="157"/>
      <c r="J780" s="2"/>
      <c r="K780" s="157"/>
      <c r="L780" s="3"/>
      <c r="M780" s="3"/>
      <c r="N780" s="3"/>
      <c r="O780" s="2"/>
      <c r="P780" s="277"/>
    </row>
    <row r="781" spans="1:16" ht="30" customHeight="1" x14ac:dyDescent="0.15">
      <c r="A781" s="284" t="s">
        <v>8190</v>
      </c>
      <c r="B781" s="157"/>
      <c r="C781" s="157"/>
      <c r="D781" s="157"/>
      <c r="E781" s="6"/>
      <c r="F781" s="6"/>
      <c r="G781" s="2"/>
      <c r="H781" s="157"/>
      <c r="I781" s="157"/>
      <c r="J781" s="2"/>
      <c r="K781" s="157"/>
      <c r="L781" s="3"/>
      <c r="M781" s="3"/>
      <c r="N781" s="3"/>
      <c r="O781" s="2"/>
      <c r="P781" s="277"/>
    </row>
    <row r="782" spans="1:16" ht="30" customHeight="1" x14ac:dyDescent="0.15">
      <c r="A782" s="284" t="s">
        <v>8191</v>
      </c>
      <c r="B782" s="157"/>
      <c r="C782" s="157"/>
      <c r="D782" s="157"/>
      <c r="E782" s="6"/>
      <c r="F782" s="6"/>
      <c r="G782" s="2"/>
      <c r="H782" s="157"/>
      <c r="I782" s="157"/>
      <c r="J782" s="2"/>
      <c r="K782" s="157"/>
      <c r="L782" s="3"/>
      <c r="M782" s="3"/>
      <c r="N782" s="3"/>
      <c r="O782" s="2"/>
      <c r="P782" s="277"/>
    </row>
    <row r="783" spans="1:16" ht="30" customHeight="1" x14ac:dyDescent="0.15">
      <c r="A783" s="284" t="s">
        <v>8192</v>
      </c>
      <c r="B783" s="157"/>
      <c r="C783" s="157"/>
      <c r="D783" s="157"/>
      <c r="E783" s="6"/>
      <c r="F783" s="6"/>
      <c r="G783" s="2"/>
      <c r="H783" s="157"/>
      <c r="I783" s="157"/>
      <c r="J783" s="2"/>
      <c r="K783" s="157"/>
      <c r="L783" s="3"/>
      <c r="M783" s="3"/>
      <c r="N783" s="3"/>
      <c r="O783" s="2"/>
      <c r="P783" s="277"/>
    </row>
    <row r="784" spans="1:16" ht="30" customHeight="1" x14ac:dyDescent="0.15">
      <c r="A784" s="284" t="s">
        <v>8193</v>
      </c>
      <c r="B784" s="157"/>
      <c r="C784" s="157"/>
      <c r="D784" s="157"/>
      <c r="E784" s="6"/>
      <c r="F784" s="6"/>
      <c r="G784" s="2"/>
      <c r="H784" s="157"/>
      <c r="I784" s="157"/>
      <c r="J784" s="2"/>
      <c r="K784" s="157"/>
      <c r="L784" s="3"/>
      <c r="M784" s="3"/>
      <c r="N784" s="3"/>
      <c r="O784" s="2"/>
      <c r="P784" s="277"/>
    </row>
    <row r="785" spans="1:16" ht="30" customHeight="1" x14ac:dyDescent="0.15">
      <c r="A785" s="284" t="s">
        <v>8194</v>
      </c>
      <c r="B785" s="157"/>
      <c r="C785" s="157"/>
      <c r="D785" s="157"/>
      <c r="E785" s="6"/>
      <c r="F785" s="6"/>
      <c r="G785" s="2"/>
      <c r="H785" s="157"/>
      <c r="I785" s="157"/>
      <c r="J785" s="2"/>
      <c r="K785" s="157"/>
      <c r="L785" s="3"/>
      <c r="M785" s="3"/>
      <c r="N785" s="3"/>
      <c r="O785" s="2"/>
      <c r="P785" s="277"/>
    </row>
    <row r="786" spans="1:16" ht="30" customHeight="1" x14ac:dyDescent="0.15">
      <c r="A786" s="284" t="s">
        <v>8195</v>
      </c>
      <c r="B786" s="157"/>
      <c r="C786" s="157"/>
      <c r="D786" s="157"/>
      <c r="E786" s="6"/>
      <c r="F786" s="6"/>
      <c r="G786" s="2"/>
      <c r="H786" s="157"/>
      <c r="I786" s="157"/>
      <c r="J786" s="2"/>
      <c r="K786" s="157"/>
      <c r="L786" s="3"/>
      <c r="M786" s="3"/>
      <c r="N786" s="3"/>
      <c r="O786" s="2"/>
      <c r="P786" s="277"/>
    </row>
    <row r="787" spans="1:16" ht="30" customHeight="1" x14ac:dyDescent="0.15">
      <c r="A787" s="284" t="s">
        <v>8196</v>
      </c>
      <c r="B787" s="157"/>
      <c r="C787" s="157"/>
      <c r="D787" s="157"/>
      <c r="E787" s="6"/>
      <c r="F787" s="6"/>
      <c r="G787" s="2"/>
      <c r="H787" s="157"/>
      <c r="I787" s="157"/>
      <c r="J787" s="2"/>
      <c r="K787" s="157"/>
      <c r="L787" s="3"/>
      <c r="M787" s="3"/>
      <c r="N787" s="3"/>
      <c r="O787" s="2"/>
      <c r="P787" s="277"/>
    </row>
    <row r="788" spans="1:16" ht="30" customHeight="1" x14ac:dyDescent="0.15">
      <c r="A788" s="284" t="s">
        <v>8197</v>
      </c>
      <c r="B788" s="157"/>
      <c r="C788" s="157"/>
      <c r="D788" s="157"/>
      <c r="E788" s="6"/>
      <c r="F788" s="6"/>
      <c r="G788" s="2"/>
      <c r="H788" s="157"/>
      <c r="I788" s="157"/>
      <c r="J788" s="2"/>
      <c r="K788" s="157"/>
      <c r="L788" s="3"/>
      <c r="M788" s="3"/>
      <c r="N788" s="3"/>
      <c r="O788" s="2"/>
      <c r="P788" s="277"/>
    </row>
    <row r="789" spans="1:16" ht="30" customHeight="1" x14ac:dyDescent="0.15">
      <c r="A789" s="284" t="s">
        <v>8198</v>
      </c>
      <c r="B789" s="157"/>
      <c r="C789" s="157"/>
      <c r="D789" s="157"/>
      <c r="E789" s="6"/>
      <c r="F789" s="6"/>
      <c r="G789" s="2"/>
      <c r="H789" s="157"/>
      <c r="I789" s="157"/>
      <c r="J789" s="2"/>
      <c r="K789" s="157"/>
      <c r="L789" s="3"/>
      <c r="M789" s="3"/>
      <c r="N789" s="3"/>
      <c r="O789" s="2"/>
      <c r="P789" s="277"/>
    </row>
    <row r="790" spans="1:16" ht="30" customHeight="1" x14ac:dyDescent="0.15">
      <c r="A790" s="284" t="s">
        <v>8199</v>
      </c>
      <c r="B790" s="157"/>
      <c r="C790" s="157"/>
      <c r="D790" s="157"/>
      <c r="E790" s="6"/>
      <c r="F790" s="6"/>
      <c r="G790" s="2"/>
      <c r="H790" s="157"/>
      <c r="I790" s="157"/>
      <c r="J790" s="2"/>
      <c r="K790" s="157"/>
      <c r="L790" s="3"/>
      <c r="M790" s="3"/>
      <c r="N790" s="3"/>
      <c r="O790" s="2"/>
      <c r="P790" s="277"/>
    </row>
    <row r="791" spans="1:16" ht="30" customHeight="1" x14ac:dyDescent="0.15">
      <c r="A791" s="284" t="s">
        <v>8200</v>
      </c>
      <c r="B791" s="157"/>
      <c r="C791" s="157"/>
      <c r="D791" s="157"/>
      <c r="E791" s="6"/>
      <c r="F791" s="6"/>
      <c r="G791" s="2"/>
      <c r="H791" s="157"/>
      <c r="I791" s="157"/>
      <c r="J791" s="2"/>
      <c r="K791" s="157"/>
      <c r="L791" s="3"/>
      <c r="M791" s="3"/>
      <c r="N791" s="3"/>
      <c r="O791" s="2"/>
      <c r="P791" s="277"/>
    </row>
    <row r="792" spans="1:16" ht="30" customHeight="1" x14ac:dyDescent="0.15">
      <c r="A792" s="284" t="s">
        <v>8201</v>
      </c>
      <c r="B792" s="157"/>
      <c r="C792" s="157"/>
      <c r="D792" s="157"/>
      <c r="E792" s="6"/>
      <c r="F792" s="6"/>
      <c r="G792" s="2"/>
      <c r="H792" s="157"/>
      <c r="I792" s="157"/>
      <c r="J792" s="2"/>
      <c r="K792" s="157"/>
      <c r="L792" s="3"/>
      <c r="M792" s="3"/>
      <c r="N792" s="3"/>
      <c r="O792" s="2"/>
      <c r="P792" s="277"/>
    </row>
    <row r="793" spans="1:16" ht="30" customHeight="1" x14ac:dyDescent="0.15">
      <c r="A793" s="284" t="s">
        <v>8202</v>
      </c>
      <c r="B793" s="157"/>
      <c r="C793" s="157"/>
      <c r="D793" s="157"/>
      <c r="E793" s="6"/>
      <c r="F793" s="6"/>
      <c r="G793" s="2"/>
      <c r="H793" s="157"/>
      <c r="I793" s="157"/>
      <c r="J793" s="2"/>
      <c r="K793" s="157"/>
      <c r="L793" s="3"/>
      <c r="M793" s="3"/>
      <c r="N793" s="3"/>
      <c r="O793" s="2"/>
      <c r="P793" s="277"/>
    </row>
    <row r="794" spans="1:16" ht="30" customHeight="1" x14ac:dyDescent="0.15">
      <c r="A794" s="284" t="s">
        <v>8203</v>
      </c>
      <c r="B794" s="157"/>
      <c r="C794" s="157"/>
      <c r="D794" s="157"/>
      <c r="E794" s="6"/>
      <c r="F794" s="6"/>
      <c r="G794" s="2"/>
      <c r="H794" s="157"/>
      <c r="I794" s="157"/>
      <c r="J794" s="2"/>
      <c r="K794" s="157"/>
      <c r="L794" s="3"/>
      <c r="M794" s="3"/>
      <c r="N794" s="3"/>
      <c r="O794" s="2"/>
      <c r="P794" s="277"/>
    </row>
    <row r="795" spans="1:16" ht="30" customHeight="1" x14ac:dyDescent="0.15">
      <c r="A795" s="284" t="s">
        <v>8204</v>
      </c>
      <c r="B795" s="157"/>
      <c r="C795" s="157"/>
      <c r="D795" s="157"/>
      <c r="E795" s="6"/>
      <c r="F795" s="6"/>
      <c r="G795" s="2"/>
      <c r="H795" s="157"/>
      <c r="I795" s="157"/>
      <c r="J795" s="2"/>
      <c r="K795" s="157"/>
      <c r="L795" s="3"/>
      <c r="M795" s="3"/>
      <c r="N795" s="3"/>
      <c r="O795" s="2"/>
      <c r="P795" s="277"/>
    </row>
    <row r="796" spans="1:16" ht="30" customHeight="1" x14ac:dyDescent="0.15">
      <c r="A796" s="284" t="s">
        <v>8205</v>
      </c>
      <c r="B796" s="157"/>
      <c r="C796" s="157"/>
      <c r="D796" s="157"/>
      <c r="E796" s="6"/>
      <c r="F796" s="6"/>
      <c r="G796" s="2"/>
      <c r="H796" s="157"/>
      <c r="I796" s="157"/>
      <c r="J796" s="2"/>
      <c r="K796" s="157"/>
      <c r="L796" s="3"/>
      <c r="M796" s="3"/>
      <c r="N796" s="3"/>
      <c r="O796" s="2"/>
      <c r="P796" s="277"/>
    </row>
    <row r="797" spans="1:16" ht="30" customHeight="1" x14ac:dyDescent="0.15">
      <c r="A797" s="284" t="s">
        <v>8206</v>
      </c>
      <c r="B797" s="157"/>
      <c r="C797" s="157"/>
      <c r="D797" s="157"/>
      <c r="E797" s="6"/>
      <c r="F797" s="6"/>
      <c r="G797" s="2"/>
      <c r="H797" s="157"/>
      <c r="I797" s="157"/>
      <c r="J797" s="2"/>
      <c r="K797" s="157"/>
      <c r="L797" s="3"/>
      <c r="M797" s="3"/>
      <c r="N797" s="3"/>
      <c r="O797" s="2"/>
      <c r="P797" s="277"/>
    </row>
    <row r="798" spans="1:16" ht="30" customHeight="1" x14ac:dyDescent="0.15">
      <c r="A798" s="284" t="s">
        <v>8207</v>
      </c>
      <c r="B798" s="157"/>
      <c r="C798" s="157"/>
      <c r="D798" s="157"/>
      <c r="E798" s="6"/>
      <c r="F798" s="6"/>
      <c r="G798" s="2"/>
      <c r="H798" s="157"/>
      <c r="I798" s="157"/>
      <c r="J798" s="2"/>
      <c r="K798" s="157"/>
      <c r="L798" s="3"/>
      <c r="M798" s="3"/>
      <c r="N798" s="3"/>
      <c r="O798" s="2"/>
      <c r="P798" s="277"/>
    </row>
    <row r="799" spans="1:16" ht="30" customHeight="1" x14ac:dyDescent="0.15">
      <c r="A799" s="284" t="s">
        <v>8208</v>
      </c>
      <c r="B799" s="157"/>
      <c r="C799" s="157"/>
      <c r="D799" s="157"/>
      <c r="E799" s="6"/>
      <c r="F799" s="6"/>
      <c r="G799" s="2"/>
      <c r="H799" s="157"/>
      <c r="I799" s="157"/>
      <c r="J799" s="2"/>
      <c r="K799" s="157"/>
      <c r="L799" s="3"/>
      <c r="M799" s="3"/>
      <c r="N799" s="3"/>
      <c r="O799" s="2"/>
      <c r="P799" s="277"/>
    </row>
    <row r="800" spans="1:16" ht="30" customHeight="1" x14ac:dyDescent="0.15">
      <c r="A800" s="284" t="s">
        <v>8209</v>
      </c>
      <c r="B800" s="157"/>
      <c r="C800" s="157"/>
      <c r="D800" s="157"/>
      <c r="E800" s="6"/>
      <c r="F800" s="6"/>
      <c r="G800" s="2"/>
      <c r="H800" s="157"/>
      <c r="I800" s="157"/>
      <c r="J800" s="2"/>
      <c r="K800" s="157"/>
      <c r="L800" s="3"/>
      <c r="M800" s="3"/>
      <c r="N800" s="3"/>
      <c r="O800" s="2"/>
      <c r="P800" s="277"/>
    </row>
    <row r="801" spans="1:16" ht="30" customHeight="1" x14ac:dyDescent="0.15">
      <c r="A801" s="284" t="s">
        <v>8210</v>
      </c>
      <c r="B801" s="157"/>
      <c r="C801" s="157"/>
      <c r="D801" s="157"/>
      <c r="E801" s="6"/>
      <c r="F801" s="6"/>
      <c r="G801" s="2"/>
      <c r="H801" s="157"/>
      <c r="I801" s="157"/>
      <c r="J801" s="2"/>
      <c r="K801" s="157"/>
      <c r="L801" s="3"/>
      <c r="M801" s="3"/>
      <c r="N801" s="3"/>
      <c r="O801" s="2"/>
      <c r="P801" s="277"/>
    </row>
    <row r="802" spans="1:16" ht="30" customHeight="1" x14ac:dyDescent="0.15">
      <c r="A802" s="284" t="s">
        <v>8211</v>
      </c>
      <c r="B802" s="157"/>
      <c r="C802" s="157"/>
      <c r="D802" s="157"/>
      <c r="E802" s="6"/>
      <c r="F802" s="6"/>
      <c r="G802" s="2"/>
      <c r="H802" s="157"/>
      <c r="I802" s="157"/>
      <c r="J802" s="2"/>
      <c r="K802" s="157"/>
      <c r="L802" s="3"/>
      <c r="M802" s="3"/>
      <c r="N802" s="3"/>
      <c r="O802" s="2"/>
      <c r="P802" s="277"/>
    </row>
    <row r="803" spans="1:16" ht="30" customHeight="1" x14ac:dyDescent="0.15">
      <c r="A803" s="284" t="s">
        <v>8212</v>
      </c>
      <c r="B803" s="157"/>
      <c r="C803" s="157"/>
      <c r="D803" s="157"/>
      <c r="E803" s="6"/>
      <c r="F803" s="6"/>
      <c r="G803" s="2"/>
      <c r="H803" s="157"/>
      <c r="I803" s="157"/>
      <c r="J803" s="2"/>
      <c r="K803" s="157"/>
      <c r="L803" s="3"/>
      <c r="M803" s="3"/>
      <c r="N803" s="3"/>
      <c r="O803" s="2"/>
      <c r="P803" s="277"/>
    </row>
    <row r="804" spans="1:16" ht="30" customHeight="1" x14ac:dyDescent="0.15">
      <c r="A804" s="284" t="s">
        <v>8213</v>
      </c>
      <c r="B804" s="157"/>
      <c r="C804" s="157"/>
      <c r="D804" s="157"/>
      <c r="E804" s="6"/>
      <c r="F804" s="6"/>
      <c r="G804" s="2"/>
      <c r="H804" s="157"/>
      <c r="I804" s="157"/>
      <c r="J804" s="2"/>
      <c r="K804" s="157"/>
      <c r="L804" s="3"/>
      <c r="M804" s="3"/>
      <c r="N804" s="3"/>
      <c r="O804" s="2"/>
      <c r="P804" s="277"/>
    </row>
    <row r="805" spans="1:16" ht="30" customHeight="1" x14ac:dyDescent="0.15">
      <c r="A805" s="284" t="s">
        <v>8214</v>
      </c>
      <c r="B805" s="157"/>
      <c r="C805" s="157"/>
      <c r="D805" s="157"/>
      <c r="E805" s="6"/>
      <c r="F805" s="6"/>
      <c r="G805" s="2"/>
      <c r="H805" s="157"/>
      <c r="I805" s="157"/>
      <c r="J805" s="2"/>
      <c r="K805" s="157"/>
      <c r="L805" s="3"/>
      <c r="M805" s="3"/>
      <c r="N805" s="3"/>
      <c r="O805" s="2"/>
      <c r="P805" s="277"/>
    </row>
    <row r="806" spans="1:16" ht="30" customHeight="1" x14ac:dyDescent="0.15">
      <c r="A806" s="284" t="s">
        <v>8215</v>
      </c>
      <c r="B806" s="157"/>
      <c r="C806" s="157"/>
      <c r="D806" s="157"/>
      <c r="E806" s="6"/>
      <c r="F806" s="6"/>
      <c r="G806" s="2"/>
      <c r="H806" s="157"/>
      <c r="I806" s="157"/>
      <c r="J806" s="2"/>
      <c r="K806" s="157"/>
      <c r="L806" s="3"/>
      <c r="M806" s="3"/>
      <c r="N806" s="3"/>
      <c r="O806" s="2"/>
      <c r="P806" s="277"/>
    </row>
    <row r="807" spans="1:16" ht="30" customHeight="1" x14ac:dyDescent="0.15">
      <c r="A807" s="284" t="s">
        <v>8216</v>
      </c>
      <c r="B807" s="157"/>
      <c r="C807" s="157"/>
      <c r="D807" s="157"/>
      <c r="E807" s="6"/>
      <c r="F807" s="6"/>
      <c r="G807" s="2"/>
      <c r="H807" s="157"/>
      <c r="I807" s="157"/>
      <c r="J807" s="2"/>
      <c r="K807" s="157"/>
      <c r="L807" s="3"/>
      <c r="M807" s="3"/>
      <c r="N807" s="3"/>
      <c r="O807" s="2"/>
      <c r="P807" s="277"/>
    </row>
    <row r="808" spans="1:16" ht="30" customHeight="1" x14ac:dyDescent="0.15">
      <c r="A808" s="284" t="s">
        <v>8217</v>
      </c>
      <c r="B808" s="157"/>
      <c r="C808" s="157"/>
      <c r="D808" s="157"/>
      <c r="E808" s="6"/>
      <c r="F808" s="6"/>
      <c r="G808" s="2"/>
      <c r="H808" s="157"/>
      <c r="I808" s="157"/>
      <c r="J808" s="2"/>
      <c r="K808" s="157"/>
      <c r="L808" s="3"/>
      <c r="M808" s="3"/>
      <c r="N808" s="3"/>
      <c r="O808" s="2"/>
      <c r="P808" s="277"/>
    </row>
    <row r="809" spans="1:16" ht="30" customHeight="1" x14ac:dyDescent="0.15">
      <c r="A809" s="284" t="s">
        <v>8218</v>
      </c>
      <c r="B809" s="157"/>
      <c r="C809" s="157"/>
      <c r="D809" s="157"/>
      <c r="E809" s="6"/>
      <c r="F809" s="6"/>
      <c r="G809" s="2"/>
      <c r="H809" s="157"/>
      <c r="I809" s="157"/>
      <c r="J809" s="2"/>
      <c r="K809" s="157"/>
      <c r="L809" s="3"/>
      <c r="M809" s="3"/>
      <c r="N809" s="3"/>
      <c r="O809" s="2"/>
      <c r="P809" s="277"/>
    </row>
    <row r="810" spans="1:16" ht="30" customHeight="1" x14ac:dyDescent="0.15">
      <c r="A810" s="284" t="s">
        <v>8219</v>
      </c>
      <c r="B810" s="157"/>
      <c r="C810" s="157"/>
      <c r="D810" s="157"/>
      <c r="E810" s="6"/>
      <c r="F810" s="6"/>
      <c r="G810" s="2"/>
      <c r="H810" s="157"/>
      <c r="I810" s="157"/>
      <c r="J810" s="2"/>
      <c r="K810" s="157"/>
      <c r="L810" s="3"/>
      <c r="M810" s="3"/>
      <c r="N810" s="3"/>
      <c r="O810" s="2"/>
      <c r="P810" s="277"/>
    </row>
    <row r="811" spans="1:16" ht="30" customHeight="1" x14ac:dyDescent="0.15">
      <c r="A811" s="284" t="s">
        <v>8220</v>
      </c>
      <c r="B811" s="157"/>
      <c r="C811" s="157"/>
      <c r="D811" s="157"/>
      <c r="E811" s="6"/>
      <c r="F811" s="6"/>
      <c r="G811" s="2"/>
      <c r="H811" s="157"/>
      <c r="I811" s="157"/>
      <c r="J811" s="2"/>
      <c r="K811" s="157"/>
      <c r="L811" s="3"/>
      <c r="M811" s="3"/>
      <c r="N811" s="3"/>
      <c r="O811" s="2"/>
      <c r="P811" s="277"/>
    </row>
    <row r="812" spans="1:16" ht="30" customHeight="1" x14ac:dyDescent="0.15">
      <c r="A812" s="284" t="s">
        <v>8221</v>
      </c>
      <c r="B812" s="157"/>
      <c r="C812" s="157"/>
      <c r="D812" s="157"/>
      <c r="E812" s="6"/>
      <c r="F812" s="6"/>
      <c r="G812" s="2"/>
      <c r="H812" s="157"/>
      <c r="I812" s="157"/>
      <c r="J812" s="2"/>
      <c r="K812" s="157"/>
      <c r="L812" s="3"/>
      <c r="M812" s="3"/>
      <c r="N812" s="3"/>
      <c r="O812" s="2"/>
      <c r="P812" s="277"/>
    </row>
    <row r="813" spans="1:16" ht="30" customHeight="1" x14ac:dyDescent="0.15">
      <c r="A813" s="284" t="s">
        <v>8222</v>
      </c>
      <c r="B813" s="157"/>
      <c r="C813" s="157"/>
      <c r="D813" s="157"/>
      <c r="E813" s="6"/>
      <c r="F813" s="6"/>
      <c r="G813" s="2"/>
      <c r="H813" s="157"/>
      <c r="I813" s="157"/>
      <c r="J813" s="2"/>
      <c r="K813" s="157"/>
      <c r="L813" s="3"/>
      <c r="M813" s="3"/>
      <c r="N813" s="3"/>
      <c r="O813" s="2"/>
      <c r="P813" s="277"/>
    </row>
    <row r="814" spans="1:16" ht="30" customHeight="1" x14ac:dyDescent="0.15">
      <c r="A814" s="284" t="s">
        <v>8223</v>
      </c>
      <c r="B814" s="157"/>
      <c r="C814" s="157"/>
      <c r="D814" s="157"/>
      <c r="E814" s="6"/>
      <c r="F814" s="6"/>
      <c r="G814" s="2"/>
      <c r="H814" s="157"/>
      <c r="I814" s="157"/>
      <c r="J814" s="2"/>
      <c r="K814" s="157"/>
      <c r="L814" s="3"/>
      <c r="M814" s="3"/>
      <c r="N814" s="3"/>
      <c r="O814" s="2"/>
      <c r="P814" s="277"/>
    </row>
    <row r="815" spans="1:16" ht="30" customHeight="1" x14ac:dyDescent="0.15">
      <c r="A815" s="284" t="s">
        <v>8224</v>
      </c>
      <c r="B815" s="157"/>
      <c r="C815" s="157"/>
      <c r="D815" s="157"/>
      <c r="E815" s="6"/>
      <c r="F815" s="6"/>
      <c r="G815" s="2"/>
      <c r="H815" s="157"/>
      <c r="I815" s="157"/>
      <c r="J815" s="2"/>
      <c r="K815" s="157"/>
      <c r="L815" s="3"/>
      <c r="M815" s="3"/>
      <c r="N815" s="3"/>
      <c r="O815" s="2"/>
      <c r="P815" s="277"/>
    </row>
    <row r="816" spans="1:16" ht="30" customHeight="1" x14ac:dyDescent="0.15">
      <c r="A816" s="284" t="s">
        <v>8225</v>
      </c>
      <c r="B816" s="157"/>
      <c r="C816" s="157"/>
      <c r="D816" s="157"/>
      <c r="E816" s="6"/>
      <c r="F816" s="6"/>
      <c r="G816" s="2"/>
      <c r="H816" s="157"/>
      <c r="I816" s="157"/>
      <c r="J816" s="2"/>
      <c r="K816" s="157"/>
      <c r="L816" s="3"/>
      <c r="M816" s="3"/>
      <c r="N816" s="3"/>
      <c r="O816" s="2"/>
      <c r="P816" s="277"/>
    </row>
    <row r="817" spans="1:16" ht="30" customHeight="1" x14ac:dyDescent="0.15">
      <c r="A817" s="284" t="s">
        <v>8226</v>
      </c>
      <c r="B817" s="157"/>
      <c r="C817" s="157"/>
      <c r="D817" s="157"/>
      <c r="E817" s="6"/>
      <c r="F817" s="6"/>
      <c r="G817" s="2"/>
      <c r="H817" s="157"/>
      <c r="I817" s="157"/>
      <c r="J817" s="2"/>
      <c r="K817" s="157"/>
      <c r="L817" s="3"/>
      <c r="M817" s="3"/>
      <c r="N817" s="3"/>
      <c r="O817" s="2"/>
      <c r="P817" s="277"/>
    </row>
    <row r="818" spans="1:16" ht="30" customHeight="1" x14ac:dyDescent="0.15">
      <c r="A818" s="284" t="s">
        <v>8227</v>
      </c>
      <c r="B818" s="157"/>
      <c r="C818" s="157"/>
      <c r="D818" s="157"/>
      <c r="E818" s="6"/>
      <c r="F818" s="6"/>
      <c r="G818" s="2"/>
      <c r="H818" s="157"/>
      <c r="I818" s="157"/>
      <c r="J818" s="2"/>
      <c r="K818" s="157"/>
      <c r="L818" s="3"/>
      <c r="M818" s="3"/>
      <c r="N818" s="3"/>
      <c r="O818" s="2"/>
      <c r="P818" s="277"/>
    </row>
    <row r="819" spans="1:16" ht="30" customHeight="1" x14ac:dyDescent="0.15">
      <c r="A819" s="284" t="s">
        <v>8228</v>
      </c>
      <c r="B819" s="157"/>
      <c r="C819" s="157"/>
      <c r="D819" s="157"/>
      <c r="E819" s="6"/>
      <c r="F819" s="6"/>
      <c r="G819" s="2"/>
      <c r="H819" s="157"/>
      <c r="I819" s="157"/>
      <c r="J819" s="2"/>
      <c r="K819" s="157"/>
      <c r="L819" s="3"/>
      <c r="M819" s="3"/>
      <c r="N819" s="3"/>
      <c r="O819" s="2"/>
      <c r="P819" s="277"/>
    </row>
    <row r="820" spans="1:16" ht="30" customHeight="1" x14ac:dyDescent="0.15">
      <c r="A820" s="284" t="s">
        <v>8229</v>
      </c>
      <c r="B820" s="157"/>
      <c r="C820" s="157"/>
      <c r="D820" s="157"/>
      <c r="E820" s="6"/>
      <c r="F820" s="6"/>
      <c r="G820" s="2"/>
      <c r="H820" s="157"/>
      <c r="I820" s="157"/>
      <c r="J820" s="2"/>
      <c r="K820" s="157"/>
      <c r="L820" s="3"/>
      <c r="M820" s="3"/>
      <c r="N820" s="3"/>
      <c r="O820" s="2"/>
      <c r="P820" s="277"/>
    </row>
    <row r="821" spans="1:16" ht="30" customHeight="1" x14ac:dyDescent="0.15">
      <c r="A821" s="284" t="s">
        <v>8230</v>
      </c>
      <c r="B821" s="157"/>
      <c r="C821" s="157"/>
      <c r="D821" s="157"/>
      <c r="E821" s="6"/>
      <c r="F821" s="6"/>
      <c r="G821" s="2"/>
      <c r="H821" s="157"/>
      <c r="I821" s="157"/>
      <c r="J821" s="2"/>
      <c r="K821" s="157"/>
      <c r="L821" s="3"/>
      <c r="M821" s="3"/>
      <c r="N821" s="3"/>
      <c r="O821" s="2"/>
      <c r="P821" s="277"/>
    </row>
    <row r="822" spans="1:16" ht="30" customHeight="1" x14ac:dyDescent="0.15">
      <c r="A822" s="284" t="s">
        <v>8231</v>
      </c>
      <c r="B822" s="157"/>
      <c r="C822" s="157"/>
      <c r="D822" s="157"/>
      <c r="E822" s="6"/>
      <c r="F822" s="6"/>
      <c r="G822" s="2"/>
      <c r="H822" s="157"/>
      <c r="I822" s="157"/>
      <c r="J822" s="2"/>
      <c r="K822" s="157"/>
      <c r="L822" s="3"/>
      <c r="M822" s="3"/>
      <c r="N822" s="3"/>
      <c r="O822" s="2"/>
      <c r="P822" s="277"/>
    </row>
    <row r="823" spans="1:16" ht="30" customHeight="1" x14ac:dyDescent="0.15">
      <c r="A823" s="284" t="s">
        <v>8232</v>
      </c>
      <c r="B823" s="157"/>
      <c r="C823" s="157"/>
      <c r="D823" s="157"/>
      <c r="E823" s="6"/>
      <c r="F823" s="6"/>
      <c r="G823" s="2"/>
      <c r="H823" s="157"/>
      <c r="I823" s="157"/>
      <c r="J823" s="2"/>
      <c r="K823" s="157"/>
      <c r="L823" s="3"/>
      <c r="M823" s="3"/>
      <c r="N823" s="3"/>
      <c r="O823" s="2"/>
      <c r="P823" s="277"/>
    </row>
    <row r="824" spans="1:16" ht="30" customHeight="1" x14ac:dyDescent="0.15">
      <c r="A824" s="284" t="s">
        <v>8233</v>
      </c>
      <c r="B824" s="157"/>
      <c r="C824" s="157"/>
      <c r="D824" s="157"/>
      <c r="E824" s="6"/>
      <c r="F824" s="6"/>
      <c r="G824" s="2"/>
      <c r="H824" s="157"/>
      <c r="I824" s="157"/>
      <c r="J824" s="2"/>
      <c r="K824" s="157"/>
      <c r="L824" s="3"/>
      <c r="M824" s="3"/>
      <c r="N824" s="3"/>
      <c r="O824" s="2"/>
      <c r="P824" s="277"/>
    </row>
    <row r="825" spans="1:16" ht="30" customHeight="1" x14ac:dyDescent="0.15">
      <c r="A825" s="284" t="s">
        <v>8234</v>
      </c>
      <c r="B825" s="157"/>
      <c r="C825" s="157"/>
      <c r="D825" s="157"/>
      <c r="E825" s="6"/>
      <c r="F825" s="6"/>
      <c r="G825" s="2"/>
      <c r="H825" s="157"/>
      <c r="I825" s="157"/>
      <c r="J825" s="2"/>
      <c r="K825" s="157"/>
      <c r="L825" s="3"/>
      <c r="M825" s="3"/>
      <c r="N825" s="3"/>
      <c r="O825" s="2"/>
      <c r="P825" s="277"/>
    </row>
    <row r="826" spans="1:16" ht="30" customHeight="1" x14ac:dyDescent="0.15">
      <c r="A826" s="284" t="s">
        <v>8235</v>
      </c>
      <c r="B826" s="157"/>
      <c r="C826" s="157"/>
      <c r="D826" s="157"/>
      <c r="E826" s="6"/>
      <c r="F826" s="6"/>
      <c r="G826" s="2"/>
      <c r="H826" s="157"/>
      <c r="I826" s="157"/>
      <c r="J826" s="2"/>
      <c r="K826" s="157"/>
      <c r="L826" s="3"/>
      <c r="M826" s="3"/>
      <c r="N826" s="3"/>
      <c r="O826" s="2"/>
      <c r="P826" s="277"/>
    </row>
    <row r="827" spans="1:16" ht="30" customHeight="1" x14ac:dyDescent="0.15">
      <c r="A827" s="284" t="s">
        <v>8236</v>
      </c>
      <c r="B827" s="157"/>
      <c r="C827" s="157"/>
      <c r="D827" s="157"/>
      <c r="E827" s="6"/>
      <c r="F827" s="6"/>
      <c r="G827" s="2"/>
      <c r="H827" s="157"/>
      <c r="I827" s="157"/>
      <c r="J827" s="2"/>
      <c r="K827" s="157"/>
      <c r="L827" s="3"/>
      <c r="M827" s="3"/>
      <c r="N827" s="3"/>
      <c r="O827" s="2"/>
      <c r="P827" s="277"/>
    </row>
    <row r="828" spans="1:16" ht="30" customHeight="1" x14ac:dyDescent="0.15">
      <c r="A828" s="284" t="s">
        <v>8237</v>
      </c>
      <c r="B828" s="157"/>
      <c r="C828" s="157"/>
      <c r="D828" s="157"/>
      <c r="E828" s="6"/>
      <c r="F828" s="6"/>
      <c r="G828" s="2"/>
      <c r="H828" s="157"/>
      <c r="I828" s="157"/>
      <c r="J828" s="2"/>
      <c r="K828" s="157"/>
      <c r="L828" s="3"/>
      <c r="M828" s="3"/>
      <c r="N828" s="3"/>
      <c r="O828" s="2"/>
      <c r="P828" s="277"/>
    </row>
    <row r="829" spans="1:16" ht="30" customHeight="1" x14ac:dyDescent="0.15">
      <c r="A829" s="284" t="s">
        <v>8238</v>
      </c>
      <c r="B829" s="157"/>
      <c r="C829" s="157"/>
      <c r="D829" s="157"/>
      <c r="E829" s="6"/>
      <c r="F829" s="6"/>
      <c r="G829" s="2"/>
      <c r="H829" s="157"/>
      <c r="I829" s="157"/>
      <c r="J829" s="2"/>
      <c r="K829" s="157"/>
      <c r="L829" s="3"/>
      <c r="M829" s="3"/>
      <c r="N829" s="3"/>
      <c r="O829" s="2"/>
      <c r="P829" s="277"/>
    </row>
    <row r="830" spans="1:16" ht="30" customHeight="1" x14ac:dyDescent="0.15">
      <c r="A830" s="284" t="s">
        <v>8239</v>
      </c>
      <c r="B830" s="157"/>
      <c r="C830" s="157"/>
      <c r="D830" s="157"/>
      <c r="E830" s="6"/>
      <c r="F830" s="6"/>
      <c r="G830" s="2"/>
      <c r="H830" s="157"/>
      <c r="I830" s="157"/>
      <c r="J830" s="2"/>
      <c r="K830" s="157"/>
      <c r="L830" s="3"/>
      <c r="M830" s="3"/>
      <c r="N830" s="3"/>
      <c r="O830" s="2"/>
      <c r="P830" s="277"/>
    </row>
    <row r="831" spans="1:16" ht="30" customHeight="1" x14ac:dyDescent="0.15">
      <c r="A831" s="284" t="s">
        <v>8240</v>
      </c>
      <c r="B831" s="157"/>
      <c r="C831" s="157"/>
      <c r="D831" s="157"/>
      <c r="E831" s="6"/>
      <c r="F831" s="6"/>
      <c r="G831" s="2"/>
      <c r="H831" s="157"/>
      <c r="I831" s="157"/>
      <c r="J831" s="2"/>
      <c r="K831" s="157"/>
      <c r="L831" s="3"/>
      <c r="M831" s="3"/>
      <c r="N831" s="3"/>
      <c r="O831" s="2"/>
      <c r="P831" s="277"/>
    </row>
    <row r="832" spans="1:16" ht="30" customHeight="1" x14ac:dyDescent="0.15">
      <c r="A832" s="284" t="s">
        <v>8241</v>
      </c>
      <c r="B832" s="157"/>
      <c r="C832" s="157"/>
      <c r="D832" s="157"/>
      <c r="E832" s="6"/>
      <c r="F832" s="6"/>
      <c r="G832" s="2"/>
      <c r="H832" s="157"/>
      <c r="I832" s="157"/>
      <c r="J832" s="2"/>
      <c r="K832" s="157"/>
      <c r="L832" s="3"/>
      <c r="M832" s="3"/>
      <c r="N832" s="3"/>
      <c r="O832" s="2"/>
      <c r="P832" s="277"/>
    </row>
    <row r="833" spans="1:16" ht="30" customHeight="1" x14ac:dyDescent="0.15">
      <c r="A833" s="284" t="s">
        <v>8242</v>
      </c>
      <c r="B833" s="157"/>
      <c r="C833" s="157"/>
      <c r="D833" s="157"/>
      <c r="E833" s="6"/>
      <c r="F833" s="6"/>
      <c r="G833" s="2"/>
      <c r="H833" s="157"/>
      <c r="I833" s="157"/>
      <c r="J833" s="2"/>
      <c r="K833" s="157"/>
      <c r="L833" s="3"/>
      <c r="M833" s="3"/>
      <c r="N833" s="3"/>
      <c r="O833" s="2"/>
      <c r="P833" s="277"/>
    </row>
    <row r="834" spans="1:16" ht="30" customHeight="1" x14ac:dyDescent="0.15">
      <c r="A834" s="284" t="s">
        <v>8243</v>
      </c>
      <c r="B834" s="157"/>
      <c r="C834" s="157"/>
      <c r="D834" s="157"/>
      <c r="E834" s="6"/>
      <c r="F834" s="6"/>
      <c r="G834" s="2"/>
      <c r="H834" s="157"/>
      <c r="I834" s="157"/>
      <c r="J834" s="2"/>
      <c r="K834" s="157"/>
      <c r="L834" s="3"/>
      <c r="M834" s="3"/>
      <c r="N834" s="3"/>
      <c r="O834" s="2"/>
      <c r="P834" s="277"/>
    </row>
    <row r="835" spans="1:16" ht="30" customHeight="1" x14ac:dyDescent="0.15">
      <c r="A835" s="284" t="s">
        <v>8244</v>
      </c>
      <c r="B835" s="157"/>
      <c r="C835" s="157"/>
      <c r="D835" s="157"/>
      <c r="E835" s="6"/>
      <c r="F835" s="6"/>
      <c r="G835" s="2"/>
      <c r="H835" s="157"/>
      <c r="I835" s="157"/>
      <c r="J835" s="2"/>
      <c r="K835" s="157"/>
      <c r="L835" s="3"/>
      <c r="M835" s="3"/>
      <c r="N835" s="3"/>
      <c r="O835" s="2"/>
      <c r="P835" s="277"/>
    </row>
    <row r="836" spans="1:16" ht="30" customHeight="1" x14ac:dyDescent="0.15">
      <c r="A836" s="284" t="s">
        <v>8245</v>
      </c>
      <c r="B836" s="157"/>
      <c r="C836" s="157"/>
      <c r="D836" s="157"/>
      <c r="E836" s="6"/>
      <c r="F836" s="6"/>
      <c r="G836" s="2"/>
      <c r="H836" s="157"/>
      <c r="I836" s="157"/>
      <c r="J836" s="2"/>
      <c r="K836" s="157"/>
      <c r="L836" s="3"/>
      <c r="M836" s="3"/>
      <c r="N836" s="3"/>
      <c r="O836" s="2"/>
      <c r="P836" s="277"/>
    </row>
    <row r="837" spans="1:16" ht="30" customHeight="1" x14ac:dyDescent="0.15">
      <c r="A837" s="284" t="s">
        <v>8246</v>
      </c>
      <c r="B837" s="157"/>
      <c r="C837" s="157"/>
      <c r="D837" s="157"/>
      <c r="E837" s="6"/>
      <c r="F837" s="6"/>
      <c r="G837" s="2"/>
      <c r="H837" s="157"/>
      <c r="I837" s="157"/>
      <c r="J837" s="2"/>
      <c r="K837" s="157"/>
      <c r="L837" s="3"/>
      <c r="M837" s="3"/>
      <c r="N837" s="3"/>
      <c r="O837" s="2"/>
      <c r="P837" s="277"/>
    </row>
    <row r="838" spans="1:16" ht="30" customHeight="1" x14ac:dyDescent="0.15">
      <c r="A838" s="284" t="s">
        <v>8247</v>
      </c>
      <c r="B838" s="157"/>
      <c r="C838" s="157"/>
      <c r="D838" s="157"/>
      <c r="E838" s="6"/>
      <c r="F838" s="6"/>
      <c r="G838" s="2"/>
      <c r="H838" s="157"/>
      <c r="I838" s="157"/>
      <c r="J838" s="2"/>
      <c r="K838" s="157"/>
      <c r="L838" s="3"/>
      <c r="M838" s="3"/>
      <c r="N838" s="3"/>
      <c r="O838" s="2"/>
      <c r="P838" s="277"/>
    </row>
    <row r="839" spans="1:16" ht="30" customHeight="1" x14ac:dyDescent="0.15">
      <c r="A839" s="284" t="s">
        <v>8248</v>
      </c>
      <c r="B839" s="157"/>
      <c r="C839" s="157"/>
      <c r="D839" s="157"/>
      <c r="E839" s="6"/>
      <c r="F839" s="6"/>
      <c r="G839" s="2"/>
      <c r="H839" s="157"/>
      <c r="I839" s="157"/>
      <c r="J839" s="2"/>
      <c r="K839" s="157"/>
      <c r="L839" s="3"/>
      <c r="M839" s="3"/>
      <c r="N839" s="3"/>
      <c r="O839" s="2"/>
      <c r="P839" s="277"/>
    </row>
    <row r="840" spans="1:16" ht="30" customHeight="1" x14ac:dyDescent="0.15">
      <c r="A840" s="284" t="s">
        <v>8249</v>
      </c>
      <c r="B840" s="157"/>
      <c r="C840" s="157"/>
      <c r="D840" s="157"/>
      <c r="E840" s="6"/>
      <c r="F840" s="6"/>
      <c r="G840" s="2"/>
      <c r="H840" s="157"/>
      <c r="I840" s="157"/>
      <c r="J840" s="2"/>
      <c r="K840" s="157"/>
      <c r="L840" s="3"/>
      <c r="M840" s="3"/>
      <c r="N840" s="3"/>
      <c r="O840" s="2"/>
      <c r="P840" s="277"/>
    </row>
    <row r="841" spans="1:16" ht="30" customHeight="1" x14ac:dyDescent="0.15">
      <c r="A841" s="284" t="s">
        <v>8250</v>
      </c>
      <c r="B841" s="157"/>
      <c r="C841" s="157"/>
      <c r="D841" s="157"/>
      <c r="E841" s="6"/>
      <c r="F841" s="6"/>
      <c r="G841" s="2"/>
      <c r="H841" s="157"/>
      <c r="I841" s="157"/>
      <c r="J841" s="2"/>
      <c r="K841" s="157"/>
      <c r="L841" s="3"/>
      <c r="M841" s="3"/>
      <c r="N841" s="3"/>
      <c r="O841" s="2"/>
      <c r="P841" s="277"/>
    </row>
    <row r="842" spans="1:16" ht="30" customHeight="1" x14ac:dyDescent="0.15">
      <c r="A842" s="284" t="s">
        <v>8251</v>
      </c>
      <c r="B842" s="157"/>
      <c r="C842" s="157"/>
      <c r="D842" s="157"/>
      <c r="E842" s="6"/>
      <c r="F842" s="6"/>
      <c r="G842" s="2"/>
      <c r="H842" s="157"/>
      <c r="I842" s="157"/>
      <c r="J842" s="2"/>
      <c r="K842" s="157"/>
      <c r="L842" s="3"/>
      <c r="M842" s="3"/>
      <c r="N842" s="3"/>
      <c r="O842" s="2"/>
      <c r="P842" s="277"/>
    </row>
    <row r="843" spans="1:16" ht="30" customHeight="1" x14ac:dyDescent="0.15">
      <c r="A843" s="284" t="s">
        <v>8252</v>
      </c>
      <c r="B843" s="157"/>
      <c r="C843" s="157"/>
      <c r="D843" s="157"/>
      <c r="E843" s="6"/>
      <c r="F843" s="6"/>
      <c r="G843" s="2"/>
      <c r="H843" s="157"/>
      <c r="I843" s="157"/>
      <c r="J843" s="2"/>
      <c r="K843" s="157"/>
      <c r="L843" s="3"/>
      <c r="M843" s="3"/>
      <c r="N843" s="3"/>
      <c r="O843" s="2"/>
      <c r="P843" s="277"/>
    </row>
    <row r="844" spans="1:16" ht="30" customHeight="1" x14ac:dyDescent="0.15">
      <c r="A844" s="284" t="s">
        <v>8253</v>
      </c>
      <c r="B844" s="157"/>
      <c r="C844" s="157"/>
      <c r="D844" s="157"/>
      <c r="E844" s="6"/>
      <c r="F844" s="6"/>
      <c r="G844" s="2"/>
      <c r="H844" s="157"/>
      <c r="I844" s="157"/>
      <c r="J844" s="2"/>
      <c r="K844" s="157"/>
      <c r="L844" s="3"/>
      <c r="M844" s="3"/>
      <c r="N844" s="3"/>
      <c r="O844" s="2"/>
      <c r="P844" s="277"/>
    </row>
    <row r="845" spans="1:16" ht="30" customHeight="1" x14ac:dyDescent="0.15">
      <c r="A845" s="284" t="s">
        <v>8254</v>
      </c>
      <c r="B845" s="157"/>
      <c r="C845" s="157"/>
      <c r="D845" s="157"/>
      <c r="E845" s="6"/>
      <c r="F845" s="6"/>
      <c r="G845" s="2"/>
      <c r="H845" s="157"/>
      <c r="I845" s="157"/>
      <c r="J845" s="2"/>
      <c r="K845" s="157"/>
      <c r="L845" s="3"/>
      <c r="M845" s="3"/>
      <c r="N845" s="3"/>
      <c r="O845" s="2"/>
      <c r="P845" s="277"/>
    </row>
    <row r="846" spans="1:16" ht="30" customHeight="1" x14ac:dyDescent="0.15">
      <c r="A846" s="284" t="s">
        <v>8255</v>
      </c>
      <c r="B846" s="157"/>
      <c r="C846" s="157"/>
      <c r="D846" s="157"/>
      <c r="E846" s="6"/>
      <c r="F846" s="6"/>
      <c r="G846" s="2"/>
      <c r="H846" s="157"/>
      <c r="I846" s="157"/>
      <c r="J846" s="2"/>
      <c r="K846" s="157"/>
      <c r="L846" s="3"/>
      <c r="M846" s="3"/>
      <c r="N846" s="3"/>
      <c r="O846" s="2"/>
      <c r="P846" s="277"/>
    </row>
    <row r="847" spans="1:16" ht="30" customHeight="1" x14ac:dyDescent="0.15">
      <c r="A847" s="284" t="s">
        <v>8256</v>
      </c>
      <c r="B847" s="157"/>
      <c r="C847" s="157"/>
      <c r="D847" s="157"/>
      <c r="E847" s="6"/>
      <c r="F847" s="6"/>
      <c r="G847" s="2"/>
      <c r="H847" s="157"/>
      <c r="I847" s="157"/>
      <c r="J847" s="2"/>
      <c r="K847" s="157"/>
      <c r="L847" s="3"/>
      <c r="M847" s="3"/>
      <c r="N847" s="3"/>
      <c r="O847" s="2"/>
      <c r="P847" s="277"/>
    </row>
    <row r="848" spans="1:16" ht="30" customHeight="1" x14ac:dyDescent="0.15">
      <c r="A848" s="284" t="s">
        <v>8257</v>
      </c>
      <c r="B848" s="157"/>
      <c r="C848" s="157"/>
      <c r="D848" s="157"/>
      <c r="E848" s="6"/>
      <c r="F848" s="6"/>
      <c r="G848" s="2"/>
      <c r="H848" s="157"/>
      <c r="I848" s="157"/>
      <c r="J848" s="2"/>
      <c r="K848" s="157"/>
      <c r="L848" s="3"/>
      <c r="M848" s="3"/>
      <c r="N848" s="3"/>
      <c r="O848" s="2"/>
      <c r="P848" s="277"/>
    </row>
    <row r="849" spans="1:16" ht="30" customHeight="1" x14ac:dyDescent="0.15">
      <c r="A849" s="284" t="s">
        <v>8258</v>
      </c>
      <c r="B849" s="157"/>
      <c r="C849" s="157"/>
      <c r="D849" s="157"/>
      <c r="E849" s="6"/>
      <c r="F849" s="6"/>
      <c r="G849" s="2"/>
      <c r="H849" s="157"/>
      <c r="I849" s="157"/>
      <c r="J849" s="2"/>
      <c r="K849" s="157"/>
      <c r="L849" s="3"/>
      <c r="M849" s="3"/>
      <c r="N849" s="3"/>
      <c r="O849" s="2"/>
      <c r="P849" s="277"/>
    </row>
    <row r="850" spans="1:16" ht="30" customHeight="1" x14ac:dyDescent="0.15">
      <c r="A850" s="284" t="s">
        <v>8259</v>
      </c>
      <c r="B850" s="157"/>
      <c r="C850" s="157"/>
      <c r="D850" s="157"/>
      <c r="E850" s="6"/>
      <c r="F850" s="6"/>
      <c r="G850" s="2"/>
      <c r="H850" s="157"/>
      <c r="I850" s="157"/>
      <c r="J850" s="2"/>
      <c r="K850" s="157"/>
      <c r="L850" s="3"/>
      <c r="M850" s="3"/>
      <c r="N850" s="3"/>
      <c r="O850" s="2"/>
      <c r="P850" s="277"/>
    </row>
    <row r="851" spans="1:16" ht="30" customHeight="1" x14ac:dyDescent="0.15">
      <c r="A851" s="284" t="s">
        <v>8260</v>
      </c>
      <c r="B851" s="157"/>
      <c r="C851" s="157"/>
      <c r="D851" s="157"/>
      <c r="E851" s="6"/>
      <c r="F851" s="6"/>
      <c r="G851" s="2"/>
      <c r="H851" s="157"/>
      <c r="I851" s="157"/>
      <c r="J851" s="2"/>
      <c r="K851" s="157"/>
      <c r="L851" s="3"/>
      <c r="M851" s="3"/>
      <c r="N851" s="3"/>
      <c r="O851" s="2"/>
      <c r="P851" s="277"/>
    </row>
    <row r="852" spans="1:16" ht="30" customHeight="1" x14ac:dyDescent="0.15">
      <c r="A852" s="284" t="s">
        <v>8261</v>
      </c>
      <c r="B852" s="157"/>
      <c r="C852" s="157"/>
      <c r="D852" s="157"/>
      <c r="E852" s="6"/>
      <c r="F852" s="6"/>
      <c r="G852" s="2"/>
      <c r="H852" s="157"/>
      <c r="I852" s="157"/>
      <c r="J852" s="2"/>
      <c r="K852" s="157"/>
      <c r="L852" s="3"/>
      <c r="M852" s="3"/>
      <c r="N852" s="3"/>
      <c r="O852" s="2"/>
      <c r="P852" s="277"/>
    </row>
    <row r="853" spans="1:16" ht="30" customHeight="1" x14ac:dyDescent="0.15">
      <c r="A853" s="284" t="s">
        <v>8262</v>
      </c>
      <c r="B853" s="157"/>
      <c r="C853" s="157"/>
      <c r="D853" s="157"/>
      <c r="E853" s="6"/>
      <c r="F853" s="6"/>
      <c r="G853" s="2"/>
      <c r="H853" s="157"/>
      <c r="I853" s="157"/>
      <c r="J853" s="2"/>
      <c r="K853" s="157"/>
      <c r="L853" s="3"/>
      <c r="M853" s="3"/>
      <c r="N853" s="3"/>
      <c r="O853" s="2"/>
      <c r="P853" s="277"/>
    </row>
    <row r="854" spans="1:16" ht="30" customHeight="1" x14ac:dyDescent="0.15">
      <c r="A854" s="284" t="s">
        <v>8263</v>
      </c>
      <c r="B854" s="157"/>
      <c r="C854" s="157"/>
      <c r="D854" s="157"/>
      <c r="E854" s="6"/>
      <c r="F854" s="6"/>
      <c r="G854" s="2"/>
      <c r="H854" s="157"/>
      <c r="I854" s="157"/>
      <c r="J854" s="2"/>
      <c r="K854" s="157"/>
      <c r="L854" s="3"/>
      <c r="M854" s="3"/>
      <c r="N854" s="3"/>
      <c r="O854" s="2"/>
      <c r="P854" s="277"/>
    </row>
    <row r="855" spans="1:16" ht="30" customHeight="1" x14ac:dyDescent="0.15">
      <c r="A855" s="284" t="s">
        <v>8264</v>
      </c>
      <c r="B855" s="157"/>
      <c r="C855" s="157"/>
      <c r="D855" s="157"/>
      <c r="E855" s="6"/>
      <c r="F855" s="6"/>
      <c r="G855" s="2"/>
      <c r="H855" s="157"/>
      <c r="I855" s="157"/>
      <c r="J855" s="2"/>
      <c r="K855" s="157"/>
      <c r="L855" s="3"/>
      <c r="M855" s="3"/>
      <c r="N855" s="3"/>
      <c r="O855" s="2"/>
      <c r="P855" s="277"/>
    </row>
    <row r="856" spans="1:16" ht="30" customHeight="1" x14ac:dyDescent="0.15">
      <c r="A856" s="284" t="s">
        <v>8265</v>
      </c>
      <c r="B856" s="157"/>
      <c r="C856" s="157"/>
      <c r="D856" s="157"/>
      <c r="E856" s="6"/>
      <c r="F856" s="6"/>
      <c r="G856" s="2"/>
      <c r="H856" s="157"/>
      <c r="I856" s="157"/>
      <c r="J856" s="2"/>
      <c r="K856" s="157"/>
      <c r="L856" s="3"/>
      <c r="M856" s="3"/>
      <c r="N856" s="3"/>
      <c r="O856" s="2"/>
      <c r="P856" s="277"/>
    </row>
    <row r="857" spans="1:16" ht="30" customHeight="1" x14ac:dyDescent="0.15">
      <c r="A857" s="284" t="s">
        <v>8266</v>
      </c>
      <c r="B857" s="157"/>
      <c r="C857" s="157"/>
      <c r="D857" s="157"/>
      <c r="E857" s="6"/>
      <c r="F857" s="6"/>
      <c r="G857" s="2"/>
      <c r="H857" s="157"/>
      <c r="I857" s="157"/>
      <c r="J857" s="2"/>
      <c r="K857" s="157"/>
      <c r="L857" s="3"/>
      <c r="M857" s="3"/>
      <c r="N857" s="3"/>
      <c r="O857" s="2"/>
      <c r="P857" s="277"/>
    </row>
    <row r="858" spans="1:16" ht="30" customHeight="1" x14ac:dyDescent="0.15">
      <c r="A858" s="284" t="s">
        <v>8267</v>
      </c>
      <c r="B858" s="157"/>
      <c r="C858" s="157"/>
      <c r="D858" s="157"/>
      <c r="E858" s="6"/>
      <c r="F858" s="6"/>
      <c r="G858" s="2"/>
      <c r="H858" s="157"/>
      <c r="I858" s="157"/>
      <c r="J858" s="2"/>
      <c r="K858" s="157"/>
      <c r="L858" s="3"/>
      <c r="M858" s="3"/>
      <c r="N858" s="3"/>
      <c r="O858" s="2"/>
      <c r="P858" s="277"/>
    </row>
    <row r="859" spans="1:16" ht="30" customHeight="1" x14ac:dyDescent="0.15">
      <c r="A859" s="284" t="s">
        <v>8268</v>
      </c>
      <c r="B859" s="157"/>
      <c r="C859" s="157"/>
      <c r="D859" s="157"/>
      <c r="E859" s="6"/>
      <c r="F859" s="6"/>
      <c r="G859" s="2"/>
      <c r="H859" s="157"/>
      <c r="I859" s="157"/>
      <c r="J859" s="2"/>
      <c r="K859" s="157"/>
      <c r="L859" s="3"/>
      <c r="M859" s="3"/>
      <c r="N859" s="3"/>
      <c r="O859" s="2"/>
      <c r="P859" s="277"/>
    </row>
    <row r="860" spans="1:16" ht="30" customHeight="1" x14ac:dyDescent="0.15">
      <c r="A860" s="284" t="s">
        <v>8269</v>
      </c>
      <c r="B860" s="157"/>
      <c r="C860" s="157"/>
      <c r="D860" s="157"/>
      <c r="E860" s="6"/>
      <c r="F860" s="6"/>
      <c r="G860" s="2"/>
      <c r="H860" s="157"/>
      <c r="I860" s="157"/>
      <c r="J860" s="2"/>
      <c r="K860" s="157"/>
      <c r="L860" s="3"/>
      <c r="M860" s="3"/>
      <c r="N860" s="3"/>
      <c r="O860" s="2"/>
      <c r="P860" s="277"/>
    </row>
    <row r="861" spans="1:16" ht="30" customHeight="1" x14ac:dyDescent="0.15">
      <c r="A861" s="284" t="s">
        <v>8270</v>
      </c>
      <c r="B861" s="157"/>
      <c r="C861" s="157"/>
      <c r="D861" s="157"/>
      <c r="E861" s="6"/>
      <c r="F861" s="6"/>
      <c r="G861" s="2"/>
      <c r="H861" s="157"/>
      <c r="I861" s="157"/>
      <c r="J861" s="2"/>
      <c r="K861" s="157"/>
      <c r="L861" s="3"/>
      <c r="M861" s="3"/>
      <c r="N861" s="3"/>
      <c r="O861" s="2"/>
      <c r="P861" s="277"/>
    </row>
    <row r="862" spans="1:16" ht="30" customHeight="1" x14ac:dyDescent="0.15">
      <c r="A862" s="284" t="s">
        <v>8271</v>
      </c>
      <c r="B862" s="157"/>
      <c r="C862" s="157"/>
      <c r="D862" s="157"/>
      <c r="E862" s="6"/>
      <c r="F862" s="6"/>
      <c r="G862" s="2"/>
      <c r="H862" s="157"/>
      <c r="I862" s="157"/>
      <c r="J862" s="2"/>
      <c r="K862" s="157"/>
      <c r="L862" s="3"/>
      <c r="M862" s="3"/>
      <c r="N862" s="3"/>
      <c r="O862" s="2"/>
      <c r="P862" s="277"/>
    </row>
    <row r="863" spans="1:16" ht="30" customHeight="1" x14ac:dyDescent="0.15">
      <c r="A863" s="284" t="s">
        <v>8272</v>
      </c>
      <c r="B863" s="157"/>
      <c r="C863" s="157"/>
      <c r="D863" s="157"/>
      <c r="E863" s="6"/>
      <c r="F863" s="6"/>
      <c r="G863" s="2"/>
      <c r="H863" s="157"/>
      <c r="I863" s="157"/>
      <c r="J863" s="2"/>
      <c r="K863" s="157"/>
      <c r="L863" s="3"/>
      <c r="M863" s="3"/>
      <c r="N863" s="3"/>
      <c r="O863" s="2"/>
      <c r="P863" s="277"/>
    </row>
    <row r="864" spans="1:16" ht="30" customHeight="1" x14ac:dyDescent="0.15">
      <c r="A864" s="284" t="s">
        <v>8273</v>
      </c>
      <c r="B864" s="157"/>
      <c r="C864" s="157"/>
      <c r="D864" s="157"/>
      <c r="E864" s="6"/>
      <c r="F864" s="6"/>
      <c r="G864" s="2"/>
      <c r="H864" s="157"/>
      <c r="I864" s="157"/>
      <c r="J864" s="2"/>
      <c r="K864" s="157"/>
      <c r="L864" s="3"/>
      <c r="M864" s="3"/>
      <c r="N864" s="3"/>
      <c r="O864" s="2"/>
      <c r="P864" s="277"/>
    </row>
    <row r="865" spans="1:16" ht="30" customHeight="1" x14ac:dyDescent="0.15">
      <c r="A865" s="284" t="s">
        <v>8274</v>
      </c>
      <c r="B865" s="157"/>
      <c r="C865" s="157"/>
      <c r="D865" s="157"/>
      <c r="E865" s="6"/>
      <c r="F865" s="6"/>
      <c r="G865" s="2"/>
      <c r="H865" s="157"/>
      <c r="I865" s="157"/>
      <c r="J865" s="2"/>
      <c r="K865" s="157"/>
      <c r="L865" s="3"/>
      <c r="M865" s="3"/>
      <c r="N865" s="3"/>
      <c r="O865" s="2"/>
      <c r="P865" s="277"/>
    </row>
    <row r="866" spans="1:16" ht="30" customHeight="1" x14ac:dyDescent="0.15">
      <c r="A866" s="284" t="s">
        <v>8275</v>
      </c>
      <c r="B866" s="157"/>
      <c r="C866" s="157"/>
      <c r="D866" s="157"/>
      <c r="E866" s="6"/>
      <c r="F866" s="6"/>
      <c r="G866" s="2"/>
      <c r="H866" s="157"/>
      <c r="I866" s="157"/>
      <c r="J866" s="2"/>
      <c r="K866" s="157"/>
      <c r="L866" s="3"/>
      <c r="M866" s="3"/>
      <c r="N866" s="3"/>
      <c r="O866" s="2"/>
      <c r="P866" s="277"/>
    </row>
    <row r="867" spans="1:16" ht="30" customHeight="1" x14ac:dyDescent="0.15">
      <c r="A867" s="284" t="s">
        <v>8276</v>
      </c>
      <c r="B867" s="157"/>
      <c r="C867" s="157"/>
      <c r="D867" s="157"/>
      <c r="E867" s="6"/>
      <c r="F867" s="6"/>
      <c r="G867" s="2"/>
      <c r="H867" s="157"/>
      <c r="I867" s="157"/>
      <c r="J867" s="2"/>
      <c r="K867" s="157"/>
      <c r="L867" s="3"/>
      <c r="M867" s="3"/>
      <c r="N867" s="3"/>
      <c r="O867" s="2"/>
      <c r="P867" s="277"/>
    </row>
    <row r="868" spans="1:16" ht="30" customHeight="1" x14ac:dyDescent="0.15">
      <c r="A868" s="284" t="s">
        <v>8277</v>
      </c>
      <c r="B868" s="157"/>
      <c r="C868" s="157"/>
      <c r="D868" s="157"/>
      <c r="E868" s="6"/>
      <c r="F868" s="6"/>
      <c r="G868" s="2"/>
      <c r="H868" s="157"/>
      <c r="I868" s="157"/>
      <c r="J868" s="2"/>
      <c r="K868" s="157"/>
      <c r="L868" s="3"/>
      <c r="M868" s="3"/>
      <c r="N868" s="3"/>
      <c r="O868" s="2"/>
      <c r="P868" s="277"/>
    </row>
    <row r="869" spans="1:16" ht="30" customHeight="1" x14ac:dyDescent="0.15">
      <c r="A869" s="284" t="s">
        <v>8278</v>
      </c>
      <c r="B869" s="157"/>
      <c r="C869" s="157"/>
      <c r="D869" s="157"/>
      <c r="E869" s="6"/>
      <c r="F869" s="6"/>
      <c r="G869" s="2"/>
      <c r="H869" s="157"/>
      <c r="I869" s="157"/>
      <c r="J869" s="2"/>
      <c r="K869" s="157"/>
      <c r="L869" s="3"/>
      <c r="M869" s="3"/>
      <c r="N869" s="3"/>
      <c r="O869" s="2"/>
      <c r="P869" s="277"/>
    </row>
    <row r="870" spans="1:16" ht="30" customHeight="1" x14ac:dyDescent="0.15">
      <c r="A870" s="284" t="s">
        <v>8279</v>
      </c>
      <c r="B870" s="157"/>
      <c r="C870" s="157"/>
      <c r="D870" s="157"/>
      <c r="E870" s="6"/>
      <c r="F870" s="6"/>
      <c r="G870" s="2"/>
      <c r="H870" s="157"/>
      <c r="I870" s="157"/>
      <c r="J870" s="2"/>
      <c r="K870" s="157"/>
      <c r="L870" s="3"/>
      <c r="M870" s="3"/>
      <c r="N870" s="3"/>
      <c r="O870" s="2"/>
      <c r="P870" s="277"/>
    </row>
    <row r="871" spans="1:16" ht="30" customHeight="1" x14ac:dyDescent="0.15">
      <c r="A871" s="284" t="s">
        <v>8280</v>
      </c>
      <c r="B871" s="157"/>
      <c r="C871" s="157"/>
      <c r="D871" s="157"/>
      <c r="E871" s="6"/>
      <c r="F871" s="6"/>
      <c r="G871" s="2"/>
      <c r="H871" s="157"/>
      <c r="I871" s="157"/>
      <c r="J871" s="2"/>
      <c r="K871" s="157"/>
      <c r="L871" s="3"/>
      <c r="M871" s="3"/>
      <c r="N871" s="3"/>
      <c r="O871" s="2"/>
      <c r="P871" s="277"/>
    </row>
    <row r="872" spans="1:16" ht="30" customHeight="1" x14ac:dyDescent="0.15">
      <c r="A872" s="284" t="s">
        <v>8281</v>
      </c>
      <c r="B872" s="157"/>
      <c r="C872" s="157"/>
      <c r="D872" s="157"/>
      <c r="E872" s="6"/>
      <c r="F872" s="6"/>
      <c r="G872" s="2"/>
      <c r="H872" s="157"/>
      <c r="I872" s="157"/>
      <c r="J872" s="2"/>
      <c r="K872" s="157"/>
      <c r="L872" s="3"/>
      <c r="M872" s="3"/>
      <c r="N872" s="3"/>
      <c r="O872" s="2"/>
      <c r="P872" s="277"/>
    </row>
    <row r="873" spans="1:16" ht="30" customHeight="1" x14ac:dyDescent="0.15">
      <c r="A873" s="284" t="s">
        <v>8282</v>
      </c>
      <c r="B873" s="157"/>
      <c r="C873" s="157"/>
      <c r="D873" s="157"/>
      <c r="E873" s="6"/>
      <c r="F873" s="6"/>
      <c r="G873" s="2"/>
      <c r="H873" s="157"/>
      <c r="I873" s="157"/>
      <c r="J873" s="2"/>
      <c r="K873" s="157"/>
      <c r="L873" s="3"/>
      <c r="M873" s="3"/>
      <c r="N873" s="3"/>
      <c r="O873" s="2"/>
      <c r="P873" s="277"/>
    </row>
    <row r="874" spans="1:16" ht="30" customHeight="1" x14ac:dyDescent="0.15">
      <c r="A874" s="284" t="s">
        <v>8283</v>
      </c>
      <c r="B874" s="157"/>
      <c r="C874" s="157"/>
      <c r="D874" s="157"/>
      <c r="E874" s="6"/>
      <c r="F874" s="6"/>
      <c r="G874" s="2"/>
      <c r="H874" s="157"/>
      <c r="I874" s="157"/>
      <c r="J874" s="2"/>
      <c r="K874" s="157"/>
      <c r="L874" s="3"/>
      <c r="M874" s="3"/>
      <c r="N874" s="3"/>
      <c r="O874" s="2"/>
      <c r="P874" s="277"/>
    </row>
    <row r="875" spans="1:16" ht="30" customHeight="1" x14ac:dyDescent="0.15">
      <c r="A875" s="284" t="s">
        <v>8284</v>
      </c>
      <c r="B875" s="157"/>
      <c r="C875" s="157"/>
      <c r="D875" s="157"/>
      <c r="E875" s="6"/>
      <c r="F875" s="6"/>
      <c r="G875" s="2"/>
      <c r="H875" s="157"/>
      <c r="I875" s="157"/>
      <c r="J875" s="2"/>
      <c r="K875" s="157"/>
      <c r="L875" s="3"/>
      <c r="M875" s="3"/>
      <c r="N875" s="3"/>
      <c r="O875" s="2"/>
      <c r="P875" s="277"/>
    </row>
    <row r="876" spans="1:16" ht="30" customHeight="1" x14ac:dyDescent="0.15">
      <c r="A876" s="284" t="s">
        <v>8285</v>
      </c>
      <c r="B876" s="157"/>
      <c r="C876" s="157"/>
      <c r="D876" s="157"/>
      <c r="E876" s="6"/>
      <c r="F876" s="6"/>
      <c r="G876" s="2"/>
      <c r="H876" s="157"/>
      <c r="I876" s="157"/>
      <c r="J876" s="2"/>
      <c r="K876" s="157"/>
      <c r="L876" s="3"/>
      <c r="M876" s="3"/>
      <c r="N876" s="3"/>
      <c r="O876" s="2"/>
      <c r="P876" s="277"/>
    </row>
    <row r="877" spans="1:16" ht="30" customHeight="1" x14ac:dyDescent="0.15">
      <c r="A877" s="284" t="s">
        <v>8286</v>
      </c>
      <c r="B877" s="157"/>
      <c r="C877" s="157"/>
      <c r="D877" s="157"/>
      <c r="E877" s="6"/>
      <c r="F877" s="6"/>
      <c r="G877" s="2"/>
      <c r="H877" s="157"/>
      <c r="I877" s="157"/>
      <c r="J877" s="2"/>
      <c r="K877" s="157"/>
      <c r="L877" s="3"/>
      <c r="M877" s="3"/>
      <c r="N877" s="3"/>
      <c r="O877" s="2"/>
      <c r="P877" s="277"/>
    </row>
    <row r="878" spans="1:16" ht="30" customHeight="1" x14ac:dyDescent="0.15">
      <c r="A878" s="284" t="s">
        <v>8287</v>
      </c>
      <c r="B878" s="157"/>
      <c r="C878" s="157"/>
      <c r="D878" s="157"/>
      <c r="E878" s="6"/>
      <c r="F878" s="6"/>
      <c r="G878" s="2"/>
      <c r="H878" s="157"/>
      <c r="I878" s="157"/>
      <c r="J878" s="2"/>
      <c r="K878" s="157"/>
      <c r="L878" s="3"/>
      <c r="M878" s="3"/>
      <c r="N878" s="3"/>
      <c r="O878" s="2"/>
      <c r="P878" s="277"/>
    </row>
    <row r="879" spans="1:16" ht="30" customHeight="1" x14ac:dyDescent="0.15">
      <c r="A879" s="284" t="s">
        <v>8288</v>
      </c>
      <c r="B879" s="157"/>
      <c r="C879" s="157"/>
      <c r="D879" s="157"/>
      <c r="E879" s="6"/>
      <c r="F879" s="6"/>
      <c r="G879" s="2"/>
      <c r="H879" s="157"/>
      <c r="I879" s="157"/>
      <c r="J879" s="2"/>
      <c r="K879" s="157"/>
      <c r="L879" s="3"/>
      <c r="M879" s="3"/>
      <c r="N879" s="3"/>
      <c r="O879" s="2"/>
      <c r="P879" s="277"/>
    </row>
    <row r="880" spans="1:16" ht="30" customHeight="1" x14ac:dyDescent="0.15">
      <c r="A880" s="284" t="s">
        <v>8289</v>
      </c>
      <c r="B880" s="157"/>
      <c r="C880" s="157"/>
      <c r="D880" s="157"/>
      <c r="E880" s="6"/>
      <c r="F880" s="6"/>
      <c r="G880" s="2"/>
      <c r="H880" s="157"/>
      <c r="I880" s="157"/>
      <c r="J880" s="2"/>
      <c r="K880" s="157"/>
      <c r="L880" s="3"/>
      <c r="M880" s="3"/>
      <c r="N880" s="3"/>
      <c r="O880" s="2"/>
      <c r="P880" s="277"/>
    </row>
    <row r="881" spans="1:16" ht="30" customHeight="1" x14ac:dyDescent="0.15">
      <c r="A881" s="284" t="s">
        <v>8290</v>
      </c>
      <c r="B881" s="157"/>
      <c r="C881" s="157"/>
      <c r="D881" s="157"/>
      <c r="E881" s="6"/>
      <c r="F881" s="6"/>
      <c r="G881" s="2"/>
      <c r="H881" s="157"/>
      <c r="I881" s="157"/>
      <c r="J881" s="2"/>
      <c r="K881" s="157"/>
      <c r="L881" s="3"/>
      <c r="M881" s="3"/>
      <c r="N881" s="3"/>
      <c r="O881" s="2"/>
      <c r="P881" s="277"/>
    </row>
    <row r="882" spans="1:16" ht="30" customHeight="1" x14ac:dyDescent="0.15">
      <c r="A882" s="284" t="s">
        <v>8291</v>
      </c>
      <c r="B882" s="157"/>
      <c r="C882" s="157"/>
      <c r="D882" s="157"/>
      <c r="E882" s="6"/>
      <c r="F882" s="6"/>
      <c r="G882" s="2"/>
      <c r="H882" s="157"/>
      <c r="I882" s="157"/>
      <c r="J882" s="2"/>
      <c r="K882" s="157"/>
      <c r="L882" s="3"/>
      <c r="M882" s="3"/>
      <c r="N882" s="3"/>
      <c r="O882" s="2"/>
      <c r="P882" s="277"/>
    </row>
    <row r="883" spans="1:16" ht="30" customHeight="1" x14ac:dyDescent="0.15">
      <c r="A883" s="284" t="s">
        <v>8292</v>
      </c>
      <c r="B883" s="157"/>
      <c r="C883" s="157"/>
      <c r="D883" s="157"/>
      <c r="E883" s="6"/>
      <c r="F883" s="6"/>
      <c r="G883" s="2"/>
      <c r="H883" s="157"/>
      <c r="I883" s="157"/>
      <c r="J883" s="2"/>
      <c r="K883" s="157"/>
      <c r="L883" s="3"/>
      <c r="M883" s="3"/>
      <c r="N883" s="3"/>
      <c r="O883" s="2"/>
      <c r="P883" s="277"/>
    </row>
    <row r="884" spans="1:16" ht="30" customHeight="1" x14ac:dyDescent="0.15">
      <c r="A884" s="284" t="s">
        <v>8293</v>
      </c>
      <c r="B884" s="157"/>
      <c r="C884" s="157"/>
      <c r="D884" s="157"/>
      <c r="E884" s="6"/>
      <c r="F884" s="6"/>
      <c r="G884" s="2"/>
      <c r="H884" s="157"/>
      <c r="I884" s="157"/>
      <c r="J884" s="2"/>
      <c r="K884" s="157"/>
      <c r="L884" s="3"/>
      <c r="M884" s="3"/>
      <c r="N884" s="3"/>
      <c r="O884" s="2"/>
      <c r="P884" s="277"/>
    </row>
    <row r="885" spans="1:16" ht="30" customHeight="1" x14ac:dyDescent="0.15">
      <c r="A885" s="284" t="s">
        <v>8294</v>
      </c>
      <c r="B885" s="157"/>
      <c r="C885" s="157"/>
      <c r="D885" s="157"/>
      <c r="E885" s="6"/>
      <c r="F885" s="6"/>
      <c r="G885" s="2"/>
      <c r="H885" s="157"/>
      <c r="I885" s="157"/>
      <c r="J885" s="2"/>
      <c r="K885" s="157"/>
      <c r="L885" s="3"/>
      <c r="M885" s="3"/>
      <c r="N885" s="3"/>
      <c r="O885" s="2"/>
      <c r="P885" s="277"/>
    </row>
    <row r="886" spans="1:16" ht="30" customHeight="1" x14ac:dyDescent="0.15">
      <c r="A886" s="284" t="s">
        <v>8295</v>
      </c>
      <c r="B886" s="157"/>
      <c r="C886" s="157"/>
      <c r="D886" s="157"/>
      <c r="E886" s="6"/>
      <c r="F886" s="6"/>
      <c r="G886" s="2"/>
      <c r="H886" s="157"/>
      <c r="I886" s="157"/>
      <c r="J886" s="2"/>
      <c r="K886" s="157"/>
      <c r="L886" s="3"/>
      <c r="M886" s="3"/>
      <c r="N886" s="3"/>
      <c r="O886" s="2"/>
      <c r="P886" s="277"/>
    </row>
    <row r="887" spans="1:16" ht="30" customHeight="1" x14ac:dyDescent="0.15">
      <c r="A887" s="284" t="s">
        <v>8296</v>
      </c>
      <c r="B887" s="157"/>
      <c r="C887" s="157"/>
      <c r="D887" s="157"/>
      <c r="E887" s="6"/>
      <c r="F887" s="6"/>
      <c r="G887" s="2"/>
      <c r="H887" s="157"/>
      <c r="I887" s="157"/>
      <c r="J887" s="2"/>
      <c r="K887" s="157"/>
      <c r="L887" s="3"/>
      <c r="M887" s="3"/>
      <c r="N887" s="3"/>
      <c r="O887" s="2"/>
      <c r="P887" s="277"/>
    </row>
    <row r="888" spans="1:16" ht="30" customHeight="1" x14ac:dyDescent="0.15">
      <c r="A888" s="284" t="s">
        <v>8297</v>
      </c>
      <c r="B888" s="157"/>
      <c r="C888" s="157"/>
      <c r="D888" s="157"/>
      <c r="E888" s="6"/>
      <c r="F888" s="6"/>
      <c r="G888" s="2"/>
      <c r="H888" s="157"/>
      <c r="I888" s="157"/>
      <c r="J888" s="2"/>
      <c r="K888" s="157"/>
      <c r="L888" s="3"/>
      <c r="M888" s="3"/>
      <c r="N888" s="3"/>
      <c r="O888" s="2"/>
      <c r="P888" s="277"/>
    </row>
    <row r="889" spans="1:16" ht="30" customHeight="1" x14ac:dyDescent="0.15">
      <c r="A889" s="284" t="s">
        <v>8298</v>
      </c>
      <c r="B889" s="157"/>
      <c r="C889" s="157"/>
      <c r="D889" s="157"/>
      <c r="E889" s="6"/>
      <c r="F889" s="6"/>
      <c r="G889" s="2"/>
      <c r="H889" s="157"/>
      <c r="I889" s="157"/>
      <c r="J889" s="2"/>
      <c r="K889" s="157"/>
      <c r="L889" s="3"/>
      <c r="M889" s="3"/>
      <c r="N889" s="3"/>
      <c r="O889" s="2"/>
      <c r="P889" s="277"/>
    </row>
    <row r="890" spans="1:16" ht="30" customHeight="1" x14ac:dyDescent="0.15">
      <c r="A890" s="284" t="s">
        <v>8299</v>
      </c>
      <c r="B890" s="157"/>
      <c r="C890" s="157"/>
      <c r="D890" s="157"/>
      <c r="E890" s="6"/>
      <c r="F890" s="6"/>
      <c r="G890" s="2"/>
      <c r="H890" s="157"/>
      <c r="I890" s="157"/>
      <c r="J890" s="2"/>
      <c r="K890" s="157"/>
      <c r="L890" s="3"/>
      <c r="M890" s="3"/>
      <c r="N890" s="3"/>
      <c r="O890" s="2"/>
      <c r="P890" s="277"/>
    </row>
    <row r="891" spans="1:16" ht="30" customHeight="1" x14ac:dyDescent="0.15">
      <c r="A891" s="284" t="s">
        <v>8300</v>
      </c>
      <c r="B891" s="157"/>
      <c r="C891" s="157"/>
      <c r="D891" s="157"/>
      <c r="E891" s="6"/>
      <c r="F891" s="6"/>
      <c r="G891" s="2"/>
      <c r="H891" s="157"/>
      <c r="I891" s="157"/>
      <c r="J891" s="2"/>
      <c r="K891" s="157"/>
      <c r="L891" s="3"/>
      <c r="M891" s="3"/>
      <c r="N891" s="3"/>
      <c r="O891" s="2"/>
      <c r="P891" s="277"/>
    </row>
    <row r="892" spans="1:16" ht="30" customHeight="1" x14ac:dyDescent="0.15">
      <c r="A892" s="284" t="s">
        <v>8301</v>
      </c>
      <c r="B892" s="157"/>
      <c r="C892" s="157"/>
      <c r="D892" s="157"/>
      <c r="E892" s="6"/>
      <c r="F892" s="6"/>
      <c r="G892" s="2"/>
      <c r="H892" s="157"/>
      <c r="I892" s="157"/>
      <c r="J892" s="2"/>
      <c r="K892" s="157"/>
      <c r="L892" s="3"/>
      <c r="M892" s="3"/>
      <c r="N892" s="3"/>
      <c r="O892" s="2"/>
      <c r="P892" s="277"/>
    </row>
    <row r="893" spans="1:16" ht="30" customHeight="1" x14ac:dyDescent="0.15">
      <c r="A893" s="284" t="s">
        <v>8302</v>
      </c>
      <c r="B893" s="157"/>
      <c r="C893" s="157"/>
      <c r="D893" s="157"/>
      <c r="E893" s="6"/>
      <c r="F893" s="6"/>
      <c r="G893" s="2"/>
      <c r="H893" s="157"/>
      <c r="I893" s="157"/>
      <c r="J893" s="2"/>
      <c r="K893" s="157"/>
      <c r="L893" s="3"/>
      <c r="M893" s="3"/>
      <c r="N893" s="3"/>
      <c r="O893" s="2"/>
      <c r="P893" s="277"/>
    </row>
    <row r="894" spans="1:16" ht="30" customHeight="1" x14ac:dyDescent="0.15">
      <c r="A894" s="284" t="s">
        <v>8303</v>
      </c>
      <c r="B894" s="157"/>
      <c r="C894" s="157"/>
      <c r="D894" s="157"/>
      <c r="E894" s="6"/>
      <c r="F894" s="6"/>
      <c r="G894" s="2"/>
      <c r="H894" s="157"/>
      <c r="I894" s="157"/>
      <c r="J894" s="2"/>
      <c r="K894" s="157"/>
      <c r="L894" s="3"/>
      <c r="M894" s="3"/>
      <c r="N894" s="3"/>
      <c r="O894" s="2"/>
      <c r="P894" s="277"/>
    </row>
    <row r="895" spans="1:16" ht="30" customHeight="1" x14ac:dyDescent="0.15">
      <c r="A895" s="284" t="s">
        <v>8304</v>
      </c>
      <c r="B895" s="157"/>
      <c r="C895" s="157"/>
      <c r="D895" s="157"/>
      <c r="E895" s="6"/>
      <c r="F895" s="6"/>
      <c r="G895" s="2"/>
      <c r="H895" s="157"/>
      <c r="I895" s="157"/>
      <c r="J895" s="2"/>
      <c r="K895" s="157"/>
      <c r="L895" s="3"/>
      <c r="M895" s="3"/>
      <c r="N895" s="3"/>
      <c r="O895" s="2"/>
      <c r="P895" s="277"/>
    </row>
    <row r="896" spans="1:16" ht="30" customHeight="1" x14ac:dyDescent="0.15">
      <c r="A896" s="284" t="s">
        <v>8305</v>
      </c>
      <c r="B896" s="157"/>
      <c r="C896" s="157"/>
      <c r="D896" s="157"/>
      <c r="E896" s="6"/>
      <c r="F896" s="6"/>
      <c r="G896" s="2"/>
      <c r="H896" s="157"/>
      <c r="I896" s="157"/>
      <c r="J896" s="2"/>
      <c r="K896" s="157"/>
      <c r="L896" s="3"/>
      <c r="M896" s="3"/>
      <c r="N896" s="3"/>
      <c r="O896" s="2"/>
      <c r="P896" s="277"/>
    </row>
    <row r="897" spans="1:16" ht="30" customHeight="1" x14ac:dyDescent="0.15">
      <c r="A897" s="284" t="s">
        <v>8306</v>
      </c>
      <c r="B897" s="157"/>
      <c r="C897" s="157"/>
      <c r="D897" s="157"/>
      <c r="E897" s="6"/>
      <c r="F897" s="6"/>
      <c r="G897" s="2"/>
      <c r="H897" s="157"/>
      <c r="I897" s="157"/>
      <c r="J897" s="2"/>
      <c r="K897" s="157"/>
      <c r="L897" s="3"/>
      <c r="M897" s="3"/>
      <c r="N897" s="3"/>
      <c r="O897" s="2"/>
      <c r="P897" s="277"/>
    </row>
    <row r="898" spans="1:16" ht="30" customHeight="1" x14ac:dyDescent="0.15">
      <c r="A898" s="284" t="s">
        <v>8307</v>
      </c>
      <c r="B898" s="157"/>
      <c r="C898" s="157"/>
      <c r="D898" s="157"/>
      <c r="E898" s="6"/>
      <c r="F898" s="6"/>
      <c r="G898" s="2"/>
      <c r="H898" s="157"/>
      <c r="I898" s="157"/>
      <c r="J898" s="2"/>
      <c r="K898" s="157"/>
      <c r="L898" s="3"/>
      <c r="M898" s="3"/>
      <c r="N898" s="3"/>
      <c r="O898" s="2"/>
      <c r="P898" s="277"/>
    </row>
    <row r="899" spans="1:16" ht="30" customHeight="1" x14ac:dyDescent="0.15">
      <c r="A899" s="284" t="s">
        <v>8308</v>
      </c>
      <c r="B899" s="157"/>
      <c r="C899" s="157"/>
      <c r="D899" s="157"/>
      <c r="E899" s="6"/>
      <c r="F899" s="6"/>
      <c r="G899" s="2"/>
      <c r="H899" s="157"/>
      <c r="I899" s="157"/>
      <c r="J899" s="2"/>
      <c r="K899" s="157"/>
      <c r="L899" s="3"/>
      <c r="M899" s="3"/>
      <c r="N899" s="3"/>
      <c r="O899" s="2"/>
      <c r="P899" s="277"/>
    </row>
    <row r="900" spans="1:16" ht="30" customHeight="1" x14ac:dyDescent="0.15">
      <c r="A900" s="284" t="s">
        <v>8309</v>
      </c>
      <c r="B900" s="157"/>
      <c r="C900" s="157"/>
      <c r="D900" s="157"/>
      <c r="E900" s="6"/>
      <c r="F900" s="6"/>
      <c r="G900" s="2"/>
      <c r="H900" s="157"/>
      <c r="I900" s="157"/>
      <c r="J900" s="2"/>
      <c r="K900" s="157"/>
      <c r="L900" s="3"/>
      <c r="M900" s="3"/>
      <c r="N900" s="3"/>
      <c r="O900" s="2"/>
      <c r="P900" s="277"/>
    </row>
    <row r="901" spans="1:16" ht="30" customHeight="1" x14ac:dyDescent="0.15">
      <c r="A901" s="284" t="s">
        <v>8310</v>
      </c>
      <c r="B901" s="157"/>
      <c r="C901" s="157"/>
      <c r="D901" s="157"/>
      <c r="E901" s="6"/>
      <c r="F901" s="6"/>
      <c r="G901" s="2"/>
      <c r="H901" s="157"/>
      <c r="I901" s="157"/>
      <c r="J901" s="2"/>
      <c r="K901" s="157"/>
      <c r="L901" s="3"/>
      <c r="M901" s="3"/>
      <c r="N901" s="3"/>
      <c r="O901" s="2"/>
      <c r="P901" s="277"/>
    </row>
    <row r="902" spans="1:16" ht="30" customHeight="1" x14ac:dyDescent="0.15">
      <c r="A902" s="284" t="s">
        <v>8311</v>
      </c>
      <c r="B902" s="157"/>
      <c r="C902" s="157"/>
      <c r="D902" s="157"/>
      <c r="E902" s="6"/>
      <c r="F902" s="6"/>
      <c r="G902" s="2"/>
      <c r="H902" s="157"/>
      <c r="I902" s="157"/>
      <c r="J902" s="2"/>
      <c r="K902" s="157"/>
      <c r="L902" s="3"/>
      <c r="M902" s="3"/>
      <c r="N902" s="3"/>
      <c r="O902" s="2"/>
      <c r="P902" s="277"/>
    </row>
    <row r="903" spans="1:16" ht="30" customHeight="1" x14ac:dyDescent="0.15">
      <c r="A903" s="284" t="s">
        <v>8312</v>
      </c>
      <c r="B903" s="157"/>
      <c r="C903" s="157"/>
      <c r="D903" s="157"/>
      <c r="E903" s="6"/>
      <c r="F903" s="6"/>
      <c r="G903" s="2"/>
      <c r="H903" s="157"/>
      <c r="I903" s="157"/>
      <c r="J903" s="2"/>
      <c r="K903" s="157"/>
      <c r="L903" s="3"/>
      <c r="M903" s="3"/>
      <c r="N903" s="3"/>
      <c r="O903" s="2"/>
      <c r="P903" s="277"/>
    </row>
    <row r="904" spans="1:16" ht="30" customHeight="1" x14ac:dyDescent="0.15">
      <c r="A904" s="284" t="s">
        <v>8313</v>
      </c>
      <c r="B904" s="157"/>
      <c r="C904" s="157"/>
      <c r="D904" s="157"/>
      <c r="E904" s="6"/>
      <c r="F904" s="6"/>
      <c r="G904" s="2"/>
      <c r="H904" s="157"/>
      <c r="I904" s="157"/>
      <c r="J904" s="2"/>
      <c r="K904" s="157"/>
      <c r="L904" s="3"/>
      <c r="M904" s="3"/>
      <c r="N904" s="3"/>
      <c r="O904" s="2"/>
      <c r="P904" s="277"/>
    </row>
    <row r="905" spans="1:16" ht="30" customHeight="1" x14ac:dyDescent="0.15">
      <c r="A905" s="284" t="s">
        <v>8314</v>
      </c>
      <c r="B905" s="157"/>
      <c r="C905" s="157"/>
      <c r="D905" s="157"/>
      <c r="E905" s="6"/>
      <c r="F905" s="6"/>
      <c r="G905" s="2"/>
      <c r="H905" s="157"/>
      <c r="I905" s="157"/>
      <c r="J905" s="2"/>
      <c r="K905" s="157"/>
      <c r="L905" s="3"/>
      <c r="M905" s="3"/>
      <c r="N905" s="3"/>
      <c r="O905" s="2"/>
      <c r="P905" s="277"/>
    </row>
    <row r="906" spans="1:16" ht="30" customHeight="1" x14ac:dyDescent="0.15">
      <c r="A906" s="284" t="s">
        <v>8315</v>
      </c>
      <c r="B906" s="157"/>
      <c r="C906" s="157"/>
      <c r="D906" s="157"/>
      <c r="E906" s="6"/>
      <c r="F906" s="6"/>
      <c r="G906" s="2"/>
      <c r="H906" s="157"/>
      <c r="I906" s="157"/>
      <c r="J906" s="2"/>
      <c r="K906" s="157"/>
      <c r="L906" s="3"/>
      <c r="M906" s="3"/>
      <c r="N906" s="3"/>
      <c r="O906" s="2"/>
      <c r="P906" s="277"/>
    </row>
    <row r="907" spans="1:16" ht="30" customHeight="1" x14ac:dyDescent="0.15">
      <c r="A907" s="284" t="s">
        <v>8316</v>
      </c>
      <c r="B907" s="157"/>
      <c r="C907" s="157"/>
      <c r="D907" s="157"/>
      <c r="E907" s="6"/>
      <c r="F907" s="6"/>
      <c r="G907" s="2"/>
      <c r="H907" s="157"/>
      <c r="I907" s="157"/>
      <c r="J907" s="2"/>
      <c r="K907" s="157"/>
      <c r="L907" s="3"/>
      <c r="M907" s="3"/>
      <c r="N907" s="3"/>
      <c r="O907" s="2"/>
      <c r="P907" s="277"/>
    </row>
    <row r="908" spans="1:16" ht="30" customHeight="1" x14ac:dyDescent="0.15">
      <c r="A908" s="284" t="s">
        <v>8317</v>
      </c>
      <c r="B908" s="157"/>
      <c r="C908" s="157"/>
      <c r="D908" s="157"/>
      <c r="E908" s="6"/>
      <c r="F908" s="6"/>
      <c r="G908" s="2"/>
      <c r="H908" s="157"/>
      <c r="I908" s="157"/>
      <c r="J908" s="2"/>
      <c r="K908" s="157"/>
      <c r="L908" s="3"/>
      <c r="M908" s="3"/>
      <c r="N908" s="3"/>
      <c r="O908" s="2"/>
      <c r="P908" s="277"/>
    </row>
    <row r="909" spans="1:16" ht="30" customHeight="1" x14ac:dyDescent="0.15">
      <c r="A909" s="284" t="s">
        <v>8318</v>
      </c>
      <c r="B909" s="157"/>
      <c r="C909" s="157"/>
      <c r="D909" s="157"/>
      <c r="E909" s="6"/>
      <c r="F909" s="6"/>
      <c r="G909" s="2"/>
      <c r="H909" s="157"/>
      <c r="I909" s="157"/>
      <c r="J909" s="2"/>
      <c r="K909" s="157"/>
      <c r="L909" s="3"/>
      <c r="M909" s="3"/>
      <c r="N909" s="3"/>
      <c r="O909" s="2"/>
      <c r="P909" s="277"/>
    </row>
    <row r="910" spans="1:16" ht="30" customHeight="1" x14ac:dyDescent="0.15">
      <c r="A910" s="284" t="s">
        <v>8319</v>
      </c>
      <c r="B910" s="157"/>
      <c r="C910" s="157"/>
      <c r="D910" s="157"/>
      <c r="E910" s="6"/>
      <c r="F910" s="6"/>
      <c r="G910" s="2"/>
      <c r="H910" s="157"/>
      <c r="I910" s="157"/>
      <c r="J910" s="2"/>
      <c r="K910" s="157"/>
      <c r="L910" s="3"/>
      <c r="M910" s="3"/>
      <c r="N910" s="3"/>
      <c r="O910" s="2"/>
      <c r="P910" s="277"/>
    </row>
    <row r="911" spans="1:16" ht="30" customHeight="1" x14ac:dyDescent="0.15">
      <c r="A911" s="284" t="s">
        <v>8320</v>
      </c>
      <c r="B911" s="157"/>
      <c r="C911" s="157"/>
      <c r="D911" s="157"/>
      <c r="E911" s="6"/>
      <c r="F911" s="6"/>
      <c r="G911" s="2"/>
      <c r="H911" s="157"/>
      <c r="I911" s="157"/>
      <c r="J911" s="2"/>
      <c r="K911" s="157"/>
      <c r="L911" s="3"/>
      <c r="M911" s="3"/>
      <c r="N911" s="3"/>
      <c r="O911" s="2"/>
      <c r="P911" s="277"/>
    </row>
    <row r="912" spans="1:16" ht="30" customHeight="1" x14ac:dyDescent="0.15">
      <c r="A912" s="284" t="s">
        <v>8321</v>
      </c>
      <c r="B912" s="157"/>
      <c r="C912" s="157"/>
      <c r="D912" s="157"/>
      <c r="E912" s="6"/>
      <c r="F912" s="6"/>
      <c r="G912" s="2"/>
      <c r="H912" s="157"/>
      <c r="I912" s="157"/>
      <c r="J912" s="2"/>
      <c r="K912" s="157"/>
      <c r="L912" s="3"/>
      <c r="M912" s="3"/>
      <c r="N912" s="3"/>
      <c r="O912" s="2"/>
      <c r="P912" s="277"/>
    </row>
    <row r="913" spans="1:16" ht="30" customHeight="1" x14ac:dyDescent="0.15">
      <c r="A913" s="284" t="s">
        <v>8322</v>
      </c>
      <c r="B913" s="157"/>
      <c r="C913" s="157"/>
      <c r="D913" s="157"/>
      <c r="E913" s="6"/>
      <c r="F913" s="6"/>
      <c r="G913" s="2"/>
      <c r="H913" s="157"/>
      <c r="I913" s="157"/>
      <c r="J913" s="2"/>
      <c r="K913" s="157"/>
      <c r="L913" s="3"/>
      <c r="M913" s="3"/>
      <c r="N913" s="3"/>
      <c r="O913" s="2"/>
      <c r="P913" s="277"/>
    </row>
    <row r="914" spans="1:16" ht="30" customHeight="1" x14ac:dyDescent="0.15">
      <c r="A914" s="284" t="s">
        <v>8323</v>
      </c>
      <c r="B914" s="157"/>
      <c r="C914" s="157"/>
      <c r="D914" s="157"/>
      <c r="E914" s="6"/>
      <c r="F914" s="6"/>
      <c r="G914" s="2"/>
      <c r="H914" s="157"/>
      <c r="I914" s="157"/>
      <c r="J914" s="2"/>
      <c r="K914" s="157"/>
      <c r="L914" s="3"/>
      <c r="M914" s="3"/>
      <c r="N914" s="3"/>
      <c r="O914" s="2"/>
      <c r="P914" s="277"/>
    </row>
    <row r="915" spans="1:16" ht="30" customHeight="1" x14ac:dyDescent="0.15">
      <c r="A915" s="284" t="s">
        <v>8324</v>
      </c>
      <c r="B915" s="157"/>
      <c r="C915" s="157"/>
      <c r="D915" s="157"/>
      <c r="E915" s="6"/>
      <c r="F915" s="6"/>
      <c r="G915" s="2"/>
      <c r="H915" s="157"/>
      <c r="I915" s="157"/>
      <c r="J915" s="2"/>
      <c r="K915" s="157"/>
      <c r="L915" s="3"/>
      <c r="M915" s="3"/>
      <c r="N915" s="3"/>
      <c r="O915" s="2"/>
      <c r="P915" s="277"/>
    </row>
    <row r="916" spans="1:16" ht="30" customHeight="1" x14ac:dyDescent="0.15">
      <c r="A916" s="284" t="s">
        <v>8325</v>
      </c>
      <c r="B916" s="157"/>
      <c r="C916" s="157"/>
      <c r="D916" s="157"/>
      <c r="E916" s="6"/>
      <c r="F916" s="6"/>
      <c r="G916" s="2"/>
      <c r="H916" s="157"/>
      <c r="I916" s="157"/>
      <c r="J916" s="2"/>
      <c r="K916" s="157"/>
      <c r="L916" s="3"/>
      <c r="M916" s="3"/>
      <c r="N916" s="3"/>
      <c r="O916" s="2"/>
      <c r="P916" s="277"/>
    </row>
    <row r="917" spans="1:16" ht="30" customHeight="1" x14ac:dyDescent="0.15">
      <c r="A917" s="284" t="s">
        <v>8326</v>
      </c>
      <c r="B917" s="157"/>
      <c r="C917" s="157"/>
      <c r="D917" s="157"/>
      <c r="E917" s="6"/>
      <c r="F917" s="6"/>
      <c r="G917" s="2"/>
      <c r="H917" s="157"/>
      <c r="I917" s="157"/>
      <c r="J917" s="2"/>
      <c r="K917" s="157"/>
      <c r="L917" s="3"/>
      <c r="M917" s="3"/>
      <c r="N917" s="3"/>
      <c r="O917" s="2"/>
      <c r="P917" s="277"/>
    </row>
    <row r="918" spans="1:16" ht="30" customHeight="1" x14ac:dyDescent="0.15">
      <c r="A918" s="284" t="s">
        <v>8327</v>
      </c>
      <c r="B918" s="157"/>
      <c r="C918" s="157"/>
      <c r="D918" s="157"/>
      <c r="E918" s="6"/>
      <c r="F918" s="6"/>
      <c r="G918" s="2"/>
      <c r="H918" s="157"/>
      <c r="I918" s="157"/>
      <c r="J918" s="2"/>
      <c r="K918" s="157"/>
      <c r="L918" s="3"/>
      <c r="M918" s="3"/>
      <c r="N918" s="3"/>
      <c r="O918" s="2"/>
      <c r="P918" s="277"/>
    </row>
    <row r="919" spans="1:16" ht="30" customHeight="1" x14ac:dyDescent="0.15">
      <c r="A919" s="284" t="s">
        <v>8328</v>
      </c>
      <c r="B919" s="157"/>
      <c r="C919" s="157"/>
      <c r="D919" s="157"/>
      <c r="E919" s="6"/>
      <c r="F919" s="6"/>
      <c r="G919" s="2"/>
      <c r="H919" s="157"/>
      <c r="I919" s="157"/>
      <c r="J919" s="2"/>
      <c r="K919" s="157"/>
      <c r="L919" s="3"/>
      <c r="M919" s="3"/>
      <c r="N919" s="3"/>
      <c r="O919" s="2"/>
      <c r="P919" s="277"/>
    </row>
    <row r="920" spans="1:16" ht="30" customHeight="1" x14ac:dyDescent="0.15">
      <c r="A920" s="284" t="s">
        <v>8329</v>
      </c>
      <c r="B920" s="157"/>
      <c r="C920" s="157"/>
      <c r="D920" s="157"/>
      <c r="E920" s="6"/>
      <c r="F920" s="6"/>
      <c r="G920" s="2"/>
      <c r="H920" s="157"/>
      <c r="I920" s="157"/>
      <c r="J920" s="2"/>
      <c r="K920" s="157"/>
      <c r="L920" s="3"/>
      <c r="M920" s="3"/>
      <c r="N920" s="3"/>
      <c r="O920" s="2"/>
      <c r="P920" s="277"/>
    </row>
    <row r="921" spans="1:16" ht="30" customHeight="1" x14ac:dyDescent="0.15">
      <c r="A921" s="284" t="s">
        <v>8330</v>
      </c>
      <c r="B921" s="157"/>
      <c r="C921" s="157"/>
      <c r="D921" s="157"/>
      <c r="E921" s="6"/>
      <c r="F921" s="6"/>
      <c r="G921" s="2"/>
      <c r="H921" s="157"/>
      <c r="I921" s="157"/>
      <c r="J921" s="2"/>
      <c r="K921" s="157"/>
      <c r="L921" s="3"/>
      <c r="M921" s="3"/>
      <c r="N921" s="3"/>
      <c r="O921" s="2"/>
      <c r="P921" s="277"/>
    </row>
    <row r="922" spans="1:16" ht="30" customHeight="1" x14ac:dyDescent="0.15">
      <c r="A922" s="284" t="s">
        <v>8331</v>
      </c>
      <c r="B922" s="157"/>
      <c r="C922" s="157"/>
      <c r="D922" s="157"/>
      <c r="E922" s="6"/>
      <c r="F922" s="6"/>
      <c r="G922" s="2"/>
      <c r="H922" s="157"/>
      <c r="I922" s="157"/>
      <c r="J922" s="2"/>
      <c r="K922" s="157"/>
      <c r="L922" s="3"/>
      <c r="M922" s="3"/>
      <c r="N922" s="3"/>
      <c r="O922" s="2"/>
      <c r="P922" s="277"/>
    </row>
    <row r="923" spans="1:16" ht="30" customHeight="1" x14ac:dyDescent="0.15">
      <c r="A923" s="284" t="s">
        <v>8332</v>
      </c>
      <c r="B923" s="157"/>
      <c r="C923" s="157"/>
      <c r="D923" s="157"/>
      <c r="E923" s="6"/>
      <c r="F923" s="6"/>
      <c r="G923" s="2"/>
      <c r="H923" s="157"/>
      <c r="I923" s="157"/>
      <c r="J923" s="2"/>
      <c r="K923" s="157"/>
      <c r="L923" s="3"/>
      <c r="M923" s="3"/>
      <c r="N923" s="3"/>
      <c r="O923" s="2"/>
      <c r="P923" s="277"/>
    </row>
    <row r="924" spans="1:16" ht="30" customHeight="1" x14ac:dyDescent="0.15">
      <c r="A924" s="284" t="s">
        <v>8333</v>
      </c>
      <c r="B924" s="157"/>
      <c r="C924" s="157"/>
      <c r="D924" s="157"/>
      <c r="E924" s="6"/>
      <c r="F924" s="6"/>
      <c r="G924" s="2"/>
      <c r="H924" s="157"/>
      <c r="I924" s="157"/>
      <c r="J924" s="2"/>
      <c r="K924" s="157"/>
      <c r="L924" s="3"/>
      <c r="M924" s="3"/>
      <c r="N924" s="3"/>
      <c r="O924" s="2"/>
      <c r="P924" s="277"/>
    </row>
    <row r="925" spans="1:16" ht="30" customHeight="1" x14ac:dyDescent="0.15">
      <c r="A925" s="284" t="s">
        <v>8334</v>
      </c>
      <c r="B925" s="157"/>
      <c r="C925" s="157"/>
      <c r="D925" s="157"/>
      <c r="E925" s="6"/>
      <c r="F925" s="6"/>
      <c r="G925" s="2"/>
      <c r="H925" s="157"/>
      <c r="I925" s="157"/>
      <c r="J925" s="2"/>
      <c r="K925" s="157"/>
      <c r="L925" s="3"/>
      <c r="M925" s="3"/>
      <c r="N925" s="3"/>
      <c r="O925" s="2"/>
      <c r="P925" s="277"/>
    </row>
    <row r="926" spans="1:16" ht="30" customHeight="1" x14ac:dyDescent="0.15">
      <c r="A926" s="284" t="s">
        <v>8335</v>
      </c>
      <c r="B926" s="157"/>
      <c r="C926" s="157"/>
      <c r="D926" s="157"/>
      <c r="E926" s="6"/>
      <c r="F926" s="6"/>
      <c r="G926" s="2"/>
      <c r="H926" s="157"/>
      <c r="I926" s="157"/>
      <c r="J926" s="2"/>
      <c r="K926" s="157"/>
      <c r="L926" s="3"/>
      <c r="M926" s="3"/>
      <c r="N926" s="3"/>
      <c r="O926" s="2"/>
      <c r="P926" s="277"/>
    </row>
    <row r="927" spans="1:16" ht="30" customHeight="1" x14ac:dyDescent="0.15">
      <c r="A927" s="284" t="s">
        <v>8336</v>
      </c>
      <c r="B927" s="157"/>
      <c r="C927" s="157"/>
      <c r="D927" s="157"/>
      <c r="E927" s="6"/>
      <c r="F927" s="6"/>
      <c r="G927" s="2"/>
      <c r="H927" s="157"/>
      <c r="I927" s="157"/>
      <c r="J927" s="2"/>
      <c r="K927" s="157"/>
      <c r="L927" s="3"/>
      <c r="M927" s="3"/>
      <c r="N927" s="3"/>
      <c r="O927" s="2"/>
      <c r="P927" s="277"/>
    </row>
    <row r="928" spans="1:16" ht="30" customHeight="1" x14ac:dyDescent="0.15">
      <c r="A928" s="284" t="s">
        <v>8337</v>
      </c>
      <c r="B928" s="157"/>
      <c r="C928" s="157"/>
      <c r="D928" s="157"/>
      <c r="E928" s="6"/>
      <c r="F928" s="6"/>
      <c r="G928" s="2"/>
      <c r="H928" s="157"/>
      <c r="I928" s="157"/>
      <c r="J928" s="2"/>
      <c r="K928" s="157"/>
      <c r="L928" s="3"/>
      <c r="M928" s="3"/>
      <c r="N928" s="3"/>
      <c r="O928" s="2"/>
      <c r="P928" s="277"/>
    </row>
    <row r="929" spans="1:16" ht="30" customHeight="1" x14ac:dyDescent="0.15">
      <c r="A929" s="284" t="s">
        <v>8338</v>
      </c>
      <c r="B929" s="157"/>
      <c r="C929" s="157"/>
      <c r="D929" s="157"/>
      <c r="E929" s="6"/>
      <c r="F929" s="6"/>
      <c r="G929" s="2"/>
      <c r="H929" s="157"/>
      <c r="I929" s="157"/>
      <c r="J929" s="2"/>
      <c r="K929" s="157"/>
      <c r="L929" s="3"/>
      <c r="M929" s="3"/>
      <c r="N929" s="3"/>
      <c r="O929" s="2"/>
      <c r="P929" s="277"/>
    </row>
    <row r="930" spans="1:16" ht="30" customHeight="1" x14ac:dyDescent="0.15">
      <c r="A930" s="284" t="s">
        <v>8339</v>
      </c>
      <c r="B930" s="157"/>
      <c r="C930" s="157"/>
      <c r="D930" s="157"/>
      <c r="E930" s="6"/>
      <c r="F930" s="6"/>
      <c r="G930" s="2"/>
      <c r="H930" s="157"/>
      <c r="I930" s="157"/>
      <c r="J930" s="2"/>
      <c r="K930" s="157"/>
      <c r="L930" s="3"/>
      <c r="M930" s="3"/>
      <c r="N930" s="3"/>
      <c r="O930" s="2"/>
      <c r="P930" s="277"/>
    </row>
    <row r="931" spans="1:16" ht="30" customHeight="1" x14ac:dyDescent="0.15">
      <c r="A931" s="284" t="s">
        <v>8340</v>
      </c>
      <c r="B931" s="157"/>
      <c r="C931" s="157"/>
      <c r="D931" s="157"/>
      <c r="E931" s="6"/>
      <c r="F931" s="6"/>
      <c r="G931" s="2"/>
      <c r="H931" s="157"/>
      <c r="I931" s="157"/>
      <c r="J931" s="2"/>
      <c r="K931" s="157"/>
      <c r="L931" s="3"/>
      <c r="M931" s="3"/>
      <c r="N931" s="3"/>
      <c r="O931" s="2"/>
      <c r="P931" s="277"/>
    </row>
    <row r="932" spans="1:16" ht="30" customHeight="1" x14ac:dyDescent="0.15">
      <c r="A932" s="284" t="s">
        <v>8341</v>
      </c>
      <c r="B932" s="157"/>
      <c r="C932" s="157"/>
      <c r="D932" s="157"/>
      <c r="E932" s="6"/>
      <c r="F932" s="6"/>
      <c r="G932" s="2"/>
      <c r="H932" s="157"/>
      <c r="I932" s="157"/>
      <c r="J932" s="2"/>
      <c r="K932" s="157"/>
      <c r="L932" s="3"/>
      <c r="M932" s="3"/>
      <c r="N932" s="3"/>
      <c r="O932" s="2"/>
      <c r="P932" s="277"/>
    </row>
    <row r="933" spans="1:16" ht="30" customHeight="1" x14ac:dyDescent="0.15">
      <c r="A933" s="284" t="s">
        <v>8342</v>
      </c>
      <c r="B933" s="157"/>
      <c r="C933" s="157"/>
      <c r="D933" s="157"/>
      <c r="E933" s="6"/>
      <c r="F933" s="6"/>
      <c r="G933" s="2"/>
      <c r="H933" s="157"/>
      <c r="I933" s="157"/>
      <c r="J933" s="2"/>
      <c r="K933" s="157"/>
      <c r="L933" s="3"/>
      <c r="M933" s="3"/>
      <c r="N933" s="3"/>
      <c r="O933" s="2"/>
      <c r="P933" s="277"/>
    </row>
    <row r="934" spans="1:16" ht="30" customHeight="1" x14ac:dyDescent="0.15">
      <c r="A934" s="284" t="s">
        <v>8343</v>
      </c>
      <c r="B934" s="157"/>
      <c r="C934" s="157"/>
      <c r="D934" s="157"/>
      <c r="E934" s="6"/>
      <c r="F934" s="6"/>
      <c r="G934" s="2"/>
      <c r="H934" s="157"/>
      <c r="I934" s="157"/>
      <c r="J934" s="2"/>
      <c r="K934" s="157"/>
      <c r="L934" s="3"/>
      <c r="M934" s="3"/>
      <c r="N934" s="3"/>
      <c r="O934" s="2"/>
      <c r="P934" s="277"/>
    </row>
    <row r="935" spans="1:16" ht="30" customHeight="1" x14ac:dyDescent="0.15">
      <c r="A935" s="284" t="s">
        <v>8344</v>
      </c>
      <c r="B935" s="157"/>
      <c r="C935" s="157"/>
      <c r="D935" s="157"/>
      <c r="E935" s="6"/>
      <c r="F935" s="6"/>
      <c r="G935" s="2"/>
      <c r="H935" s="157"/>
      <c r="I935" s="157"/>
      <c r="J935" s="2"/>
      <c r="K935" s="157"/>
      <c r="L935" s="3"/>
      <c r="M935" s="3"/>
      <c r="N935" s="3"/>
      <c r="O935" s="2"/>
      <c r="P935" s="277"/>
    </row>
    <row r="936" spans="1:16" ht="30" customHeight="1" x14ac:dyDescent="0.15">
      <c r="A936" s="284" t="s">
        <v>8345</v>
      </c>
      <c r="B936" s="157"/>
      <c r="C936" s="157"/>
      <c r="D936" s="157"/>
      <c r="E936" s="6"/>
      <c r="F936" s="6"/>
      <c r="G936" s="2"/>
      <c r="H936" s="157"/>
      <c r="I936" s="157"/>
      <c r="J936" s="2"/>
      <c r="K936" s="157"/>
      <c r="L936" s="3"/>
      <c r="M936" s="3"/>
      <c r="N936" s="3"/>
      <c r="O936" s="2"/>
      <c r="P936" s="277"/>
    </row>
    <row r="937" spans="1:16" ht="30" customHeight="1" x14ac:dyDescent="0.15">
      <c r="A937" s="284" t="s">
        <v>8346</v>
      </c>
      <c r="B937" s="157"/>
      <c r="C937" s="157"/>
      <c r="D937" s="157"/>
      <c r="E937" s="6"/>
      <c r="F937" s="6"/>
      <c r="G937" s="2"/>
      <c r="H937" s="157"/>
      <c r="I937" s="157"/>
      <c r="J937" s="2"/>
      <c r="K937" s="157"/>
      <c r="L937" s="3"/>
      <c r="M937" s="3"/>
      <c r="N937" s="3"/>
      <c r="O937" s="2"/>
      <c r="P937" s="277"/>
    </row>
    <row r="938" spans="1:16" ht="30" customHeight="1" x14ac:dyDescent="0.15">
      <c r="A938" s="284" t="s">
        <v>8347</v>
      </c>
      <c r="B938" s="157"/>
      <c r="C938" s="157"/>
      <c r="D938" s="157"/>
      <c r="E938" s="6"/>
      <c r="F938" s="6"/>
      <c r="G938" s="2"/>
      <c r="H938" s="157"/>
      <c r="I938" s="157"/>
      <c r="J938" s="2"/>
      <c r="K938" s="157"/>
      <c r="L938" s="3"/>
      <c r="M938" s="3"/>
      <c r="N938" s="3"/>
      <c r="O938" s="2"/>
      <c r="P938" s="277"/>
    </row>
    <row r="939" spans="1:16" ht="30" customHeight="1" x14ac:dyDescent="0.15">
      <c r="A939" s="284" t="s">
        <v>8348</v>
      </c>
      <c r="B939" s="157"/>
      <c r="C939" s="157"/>
      <c r="D939" s="157"/>
      <c r="E939" s="6"/>
      <c r="F939" s="6"/>
      <c r="G939" s="2"/>
      <c r="H939" s="157"/>
      <c r="I939" s="157"/>
      <c r="J939" s="2"/>
      <c r="K939" s="157"/>
      <c r="L939" s="3"/>
      <c r="M939" s="3"/>
      <c r="N939" s="3"/>
      <c r="O939" s="2"/>
      <c r="P939" s="277"/>
    </row>
    <row r="940" spans="1:16" ht="30" customHeight="1" x14ac:dyDescent="0.15">
      <c r="A940" s="284" t="s">
        <v>8349</v>
      </c>
      <c r="B940" s="157"/>
      <c r="C940" s="157"/>
      <c r="D940" s="157"/>
      <c r="E940" s="6"/>
      <c r="F940" s="6"/>
      <c r="G940" s="2"/>
      <c r="H940" s="157"/>
      <c r="I940" s="157"/>
      <c r="J940" s="2"/>
      <c r="K940" s="157"/>
      <c r="L940" s="3"/>
      <c r="M940" s="3"/>
      <c r="N940" s="3"/>
      <c r="O940" s="2"/>
      <c r="P940" s="277"/>
    </row>
    <row r="941" spans="1:16" ht="30" customHeight="1" x14ac:dyDescent="0.15">
      <c r="A941" s="284" t="s">
        <v>8350</v>
      </c>
      <c r="B941" s="157"/>
      <c r="C941" s="157"/>
      <c r="D941" s="157"/>
      <c r="E941" s="6"/>
      <c r="F941" s="6"/>
      <c r="G941" s="2"/>
      <c r="H941" s="157"/>
      <c r="I941" s="157"/>
      <c r="J941" s="2"/>
      <c r="K941" s="157"/>
      <c r="L941" s="3"/>
      <c r="M941" s="3"/>
      <c r="N941" s="3"/>
      <c r="O941" s="2"/>
      <c r="P941" s="277"/>
    </row>
    <row r="942" spans="1:16" ht="30" customHeight="1" x14ac:dyDescent="0.15">
      <c r="A942" s="284" t="s">
        <v>8351</v>
      </c>
      <c r="B942" s="157"/>
      <c r="C942" s="157"/>
      <c r="D942" s="157"/>
      <c r="E942" s="6"/>
      <c r="F942" s="6"/>
      <c r="G942" s="2"/>
      <c r="H942" s="157"/>
      <c r="I942" s="157"/>
      <c r="J942" s="2"/>
      <c r="K942" s="157"/>
      <c r="L942" s="3"/>
      <c r="M942" s="3"/>
      <c r="N942" s="3"/>
      <c r="O942" s="2"/>
      <c r="P942" s="277"/>
    </row>
    <row r="943" spans="1:16" ht="30" customHeight="1" x14ac:dyDescent="0.15">
      <c r="A943" s="284" t="s">
        <v>8352</v>
      </c>
      <c r="B943" s="157"/>
      <c r="C943" s="157"/>
      <c r="D943" s="157"/>
      <c r="E943" s="6"/>
      <c r="F943" s="6"/>
      <c r="G943" s="2"/>
      <c r="H943" s="157"/>
      <c r="I943" s="157"/>
      <c r="J943" s="2"/>
      <c r="K943" s="157"/>
      <c r="L943" s="3"/>
      <c r="M943" s="3"/>
      <c r="N943" s="3"/>
      <c r="O943" s="2"/>
      <c r="P943" s="277"/>
    </row>
    <row r="944" spans="1:16" ht="30" customHeight="1" x14ac:dyDescent="0.15">
      <c r="A944" s="284" t="s">
        <v>8353</v>
      </c>
      <c r="B944" s="157"/>
      <c r="C944" s="157"/>
      <c r="D944" s="157"/>
      <c r="E944" s="6"/>
      <c r="F944" s="6"/>
      <c r="G944" s="2"/>
      <c r="H944" s="157"/>
      <c r="I944" s="157"/>
      <c r="J944" s="2"/>
      <c r="K944" s="157"/>
      <c r="L944" s="3"/>
      <c r="M944" s="3"/>
      <c r="N944" s="3"/>
      <c r="O944" s="2"/>
      <c r="P944" s="277"/>
    </row>
    <row r="945" spans="1:16" ht="30" customHeight="1" x14ac:dyDescent="0.15">
      <c r="A945" s="284" t="s">
        <v>8354</v>
      </c>
      <c r="B945" s="157"/>
      <c r="C945" s="157"/>
      <c r="D945" s="157"/>
      <c r="E945" s="6"/>
      <c r="F945" s="6"/>
      <c r="G945" s="2"/>
      <c r="H945" s="157"/>
      <c r="I945" s="157"/>
      <c r="J945" s="2"/>
      <c r="K945" s="157"/>
      <c r="L945" s="3"/>
      <c r="M945" s="3"/>
      <c r="N945" s="3"/>
      <c r="O945" s="2"/>
      <c r="P945" s="277"/>
    </row>
    <row r="946" spans="1:16" ht="30" customHeight="1" x14ac:dyDescent="0.15">
      <c r="A946" s="284" t="s">
        <v>8355</v>
      </c>
      <c r="B946" s="157"/>
      <c r="C946" s="157"/>
      <c r="D946" s="157"/>
      <c r="E946" s="6"/>
      <c r="F946" s="6"/>
      <c r="G946" s="2"/>
      <c r="H946" s="157"/>
      <c r="I946" s="157"/>
      <c r="J946" s="2"/>
      <c r="K946" s="157"/>
      <c r="L946" s="3"/>
      <c r="M946" s="3"/>
      <c r="N946" s="3"/>
      <c r="O946" s="2"/>
      <c r="P946" s="277"/>
    </row>
    <row r="947" spans="1:16" ht="30" customHeight="1" x14ac:dyDescent="0.15">
      <c r="A947" s="284" t="s">
        <v>8356</v>
      </c>
      <c r="B947" s="157"/>
      <c r="C947" s="157"/>
      <c r="D947" s="157"/>
      <c r="E947" s="6"/>
      <c r="F947" s="6"/>
      <c r="G947" s="2"/>
      <c r="H947" s="157"/>
      <c r="I947" s="157"/>
      <c r="J947" s="2"/>
      <c r="K947" s="157"/>
      <c r="L947" s="3"/>
      <c r="M947" s="3"/>
      <c r="N947" s="3"/>
      <c r="O947" s="2"/>
      <c r="P947" s="277"/>
    </row>
    <row r="948" spans="1:16" ht="30" customHeight="1" x14ac:dyDescent="0.15">
      <c r="A948" s="284" t="s">
        <v>8357</v>
      </c>
      <c r="B948" s="157"/>
      <c r="C948" s="157"/>
      <c r="D948" s="157"/>
      <c r="E948" s="6"/>
      <c r="F948" s="6"/>
      <c r="G948" s="2"/>
      <c r="H948" s="157"/>
      <c r="I948" s="157"/>
      <c r="J948" s="2"/>
      <c r="K948" s="157"/>
      <c r="L948" s="3"/>
      <c r="M948" s="3"/>
      <c r="N948" s="3"/>
      <c r="O948" s="2"/>
      <c r="P948" s="277"/>
    </row>
    <row r="949" spans="1:16" ht="30" customHeight="1" x14ac:dyDescent="0.15">
      <c r="A949" s="284" t="s">
        <v>8358</v>
      </c>
      <c r="B949" s="157"/>
      <c r="C949" s="157"/>
      <c r="D949" s="157"/>
      <c r="E949" s="6"/>
      <c r="F949" s="6"/>
      <c r="G949" s="2"/>
      <c r="H949" s="157"/>
      <c r="I949" s="157"/>
      <c r="J949" s="2"/>
      <c r="K949" s="157"/>
      <c r="L949" s="3"/>
      <c r="M949" s="3"/>
      <c r="N949" s="3"/>
      <c r="O949" s="2"/>
      <c r="P949" s="277"/>
    </row>
    <row r="950" spans="1:16" ht="30" customHeight="1" x14ac:dyDescent="0.15">
      <c r="A950" s="284" t="s">
        <v>8359</v>
      </c>
      <c r="B950" s="157"/>
      <c r="C950" s="157"/>
      <c r="D950" s="157"/>
      <c r="E950" s="6"/>
      <c r="F950" s="6"/>
      <c r="G950" s="2"/>
      <c r="H950" s="157"/>
      <c r="I950" s="157"/>
      <c r="J950" s="2"/>
      <c r="K950" s="157"/>
      <c r="L950" s="3"/>
      <c r="M950" s="3"/>
      <c r="N950" s="3"/>
      <c r="O950" s="2"/>
      <c r="P950" s="277"/>
    </row>
    <row r="951" spans="1:16" ht="30" customHeight="1" x14ac:dyDescent="0.15">
      <c r="A951" s="284" t="s">
        <v>8360</v>
      </c>
      <c r="B951" s="157"/>
      <c r="C951" s="157"/>
      <c r="D951" s="157"/>
      <c r="E951" s="6"/>
      <c r="F951" s="6"/>
      <c r="G951" s="2"/>
      <c r="H951" s="157"/>
      <c r="I951" s="157"/>
      <c r="J951" s="2"/>
      <c r="K951" s="157"/>
      <c r="L951" s="3"/>
      <c r="M951" s="3"/>
      <c r="N951" s="3"/>
      <c r="O951" s="2"/>
      <c r="P951" s="277"/>
    </row>
    <row r="952" spans="1:16" ht="30" customHeight="1" x14ac:dyDescent="0.15">
      <c r="A952" s="284" t="s">
        <v>8361</v>
      </c>
      <c r="B952" s="157"/>
      <c r="C952" s="157"/>
      <c r="D952" s="157"/>
      <c r="E952" s="6"/>
      <c r="F952" s="6"/>
      <c r="G952" s="2"/>
      <c r="H952" s="157"/>
      <c r="I952" s="157"/>
      <c r="J952" s="2"/>
      <c r="K952" s="157"/>
      <c r="L952" s="3"/>
      <c r="M952" s="3"/>
      <c r="N952" s="3"/>
      <c r="O952" s="2"/>
      <c r="P952" s="277"/>
    </row>
    <row r="953" spans="1:16" ht="30" customHeight="1" x14ac:dyDescent="0.15">
      <c r="A953" s="284" t="s">
        <v>8362</v>
      </c>
      <c r="B953" s="157"/>
      <c r="C953" s="157"/>
      <c r="D953" s="157"/>
      <c r="E953" s="6"/>
      <c r="F953" s="6"/>
      <c r="G953" s="2"/>
      <c r="H953" s="157"/>
      <c r="I953" s="157"/>
      <c r="J953" s="2"/>
      <c r="K953" s="157"/>
      <c r="L953" s="3"/>
      <c r="M953" s="3"/>
      <c r="N953" s="3"/>
      <c r="O953" s="2"/>
      <c r="P953" s="277"/>
    </row>
    <row r="954" spans="1:16" ht="30" customHeight="1" x14ac:dyDescent="0.15">
      <c r="A954" s="284" t="s">
        <v>8363</v>
      </c>
      <c r="B954" s="157"/>
      <c r="C954" s="157"/>
      <c r="D954" s="157"/>
      <c r="E954" s="6"/>
      <c r="F954" s="6"/>
      <c r="G954" s="2"/>
      <c r="H954" s="157"/>
      <c r="I954" s="157"/>
      <c r="J954" s="2"/>
      <c r="K954" s="157"/>
      <c r="L954" s="3"/>
      <c r="M954" s="3"/>
      <c r="N954" s="3"/>
      <c r="O954" s="2"/>
      <c r="P954" s="277"/>
    </row>
    <row r="955" spans="1:16" ht="30" customHeight="1" x14ac:dyDescent="0.15">
      <c r="A955" s="284" t="s">
        <v>8364</v>
      </c>
      <c r="B955" s="157"/>
      <c r="C955" s="157"/>
      <c r="D955" s="157"/>
      <c r="E955" s="6"/>
      <c r="F955" s="6"/>
      <c r="G955" s="2"/>
      <c r="H955" s="157"/>
      <c r="I955" s="157"/>
      <c r="J955" s="2"/>
      <c r="K955" s="157"/>
      <c r="L955" s="3"/>
      <c r="M955" s="3"/>
      <c r="N955" s="3"/>
      <c r="O955" s="2"/>
      <c r="P955" s="277"/>
    </row>
    <row r="956" spans="1:16" ht="30" customHeight="1" x14ac:dyDescent="0.15">
      <c r="A956" s="284" t="s">
        <v>8365</v>
      </c>
      <c r="B956" s="157"/>
      <c r="C956" s="157"/>
      <c r="D956" s="157"/>
      <c r="E956" s="6"/>
      <c r="F956" s="6"/>
      <c r="G956" s="2"/>
      <c r="H956" s="157"/>
      <c r="I956" s="157"/>
      <c r="J956" s="2"/>
      <c r="K956" s="157"/>
      <c r="L956" s="3"/>
      <c r="M956" s="3"/>
      <c r="N956" s="3"/>
      <c r="O956" s="2"/>
      <c r="P956" s="277"/>
    </row>
    <row r="957" spans="1:16" ht="30" customHeight="1" x14ac:dyDescent="0.15">
      <c r="A957" s="284" t="s">
        <v>8366</v>
      </c>
      <c r="B957" s="157"/>
      <c r="C957" s="157"/>
      <c r="D957" s="157"/>
      <c r="E957" s="6"/>
      <c r="F957" s="6"/>
      <c r="G957" s="2"/>
      <c r="H957" s="157"/>
      <c r="I957" s="157"/>
      <c r="J957" s="2"/>
      <c r="K957" s="157"/>
      <c r="L957" s="3"/>
      <c r="M957" s="3"/>
      <c r="N957" s="3"/>
      <c r="O957" s="2"/>
      <c r="P957" s="277"/>
    </row>
    <row r="958" spans="1:16" ht="30" customHeight="1" x14ac:dyDescent="0.15">
      <c r="A958" s="284" t="s">
        <v>8367</v>
      </c>
      <c r="B958" s="157"/>
      <c r="C958" s="157"/>
      <c r="D958" s="157"/>
      <c r="E958" s="6"/>
      <c r="F958" s="6"/>
      <c r="G958" s="2"/>
      <c r="H958" s="157"/>
      <c r="I958" s="157"/>
      <c r="J958" s="2"/>
      <c r="K958" s="157"/>
      <c r="L958" s="3"/>
      <c r="M958" s="3"/>
      <c r="N958" s="3"/>
      <c r="O958" s="2"/>
      <c r="P958" s="277"/>
    </row>
    <row r="959" spans="1:16" ht="30" customHeight="1" x14ac:dyDescent="0.15">
      <c r="A959" s="284" t="s">
        <v>8368</v>
      </c>
      <c r="B959" s="157"/>
      <c r="C959" s="157"/>
      <c r="D959" s="157"/>
      <c r="E959" s="6"/>
      <c r="F959" s="6"/>
      <c r="G959" s="2"/>
      <c r="H959" s="157"/>
      <c r="I959" s="157"/>
      <c r="J959" s="2"/>
      <c r="K959" s="157"/>
      <c r="L959" s="3"/>
      <c r="M959" s="3"/>
      <c r="N959" s="3"/>
      <c r="O959" s="2"/>
      <c r="P959" s="277"/>
    </row>
    <row r="960" spans="1:16" ht="30" customHeight="1" x14ac:dyDescent="0.15">
      <c r="A960" s="284" t="s">
        <v>8369</v>
      </c>
      <c r="B960" s="157"/>
      <c r="C960" s="157"/>
      <c r="D960" s="157"/>
      <c r="E960" s="6"/>
      <c r="F960" s="6"/>
      <c r="G960" s="2"/>
      <c r="H960" s="157"/>
      <c r="I960" s="157"/>
      <c r="J960" s="2"/>
      <c r="K960" s="157"/>
      <c r="L960" s="3"/>
      <c r="M960" s="3"/>
      <c r="N960" s="3"/>
      <c r="O960" s="2"/>
      <c r="P960" s="277"/>
    </row>
    <row r="961" spans="1:16" ht="30" customHeight="1" x14ac:dyDescent="0.15">
      <c r="A961" s="284" t="s">
        <v>8370</v>
      </c>
      <c r="B961" s="157"/>
      <c r="C961" s="157"/>
      <c r="D961" s="157"/>
      <c r="E961" s="6"/>
      <c r="F961" s="6"/>
      <c r="G961" s="2"/>
      <c r="H961" s="157"/>
      <c r="I961" s="157"/>
      <c r="J961" s="2"/>
      <c r="K961" s="157"/>
      <c r="L961" s="3"/>
      <c r="M961" s="3"/>
      <c r="N961" s="3"/>
      <c r="O961" s="2"/>
      <c r="P961" s="277"/>
    </row>
    <row r="962" spans="1:16" ht="30" customHeight="1" x14ac:dyDescent="0.15">
      <c r="A962" s="284" t="s">
        <v>8371</v>
      </c>
      <c r="B962" s="157"/>
      <c r="C962" s="157"/>
      <c r="D962" s="157"/>
      <c r="E962" s="6"/>
      <c r="F962" s="6"/>
      <c r="G962" s="2"/>
      <c r="H962" s="157"/>
      <c r="I962" s="157"/>
      <c r="J962" s="2"/>
      <c r="K962" s="157"/>
      <c r="L962" s="3"/>
      <c r="M962" s="3"/>
      <c r="N962" s="3"/>
      <c r="O962" s="2"/>
      <c r="P962" s="277"/>
    </row>
    <row r="963" spans="1:16" ht="30" customHeight="1" x14ac:dyDescent="0.15">
      <c r="A963" s="284" t="s">
        <v>8372</v>
      </c>
      <c r="B963" s="157"/>
      <c r="C963" s="157"/>
      <c r="D963" s="157"/>
      <c r="E963" s="6"/>
      <c r="F963" s="6"/>
      <c r="G963" s="2"/>
      <c r="H963" s="157"/>
      <c r="I963" s="157"/>
      <c r="J963" s="2"/>
      <c r="K963" s="157"/>
      <c r="L963" s="3"/>
      <c r="M963" s="3"/>
      <c r="N963" s="3"/>
      <c r="O963" s="2"/>
      <c r="P963" s="277"/>
    </row>
    <row r="964" spans="1:16" ht="30" customHeight="1" x14ac:dyDescent="0.15">
      <c r="A964" s="284" t="s">
        <v>8373</v>
      </c>
      <c r="B964" s="157"/>
      <c r="C964" s="157"/>
      <c r="D964" s="157"/>
      <c r="E964" s="6"/>
      <c r="F964" s="6"/>
      <c r="G964" s="2"/>
      <c r="H964" s="157"/>
      <c r="I964" s="157"/>
      <c r="J964" s="2"/>
      <c r="K964" s="157"/>
      <c r="L964" s="3"/>
      <c r="M964" s="3"/>
      <c r="N964" s="3"/>
      <c r="O964" s="2"/>
      <c r="P964" s="277"/>
    </row>
    <row r="965" spans="1:16" ht="30" customHeight="1" x14ac:dyDescent="0.15">
      <c r="A965" s="284" t="s">
        <v>8374</v>
      </c>
      <c r="B965" s="157"/>
      <c r="C965" s="157"/>
      <c r="D965" s="157"/>
      <c r="E965" s="6"/>
      <c r="F965" s="6"/>
      <c r="G965" s="2"/>
      <c r="H965" s="157"/>
      <c r="I965" s="157"/>
      <c r="J965" s="2"/>
      <c r="K965" s="157"/>
      <c r="L965" s="3"/>
      <c r="M965" s="3"/>
      <c r="N965" s="3"/>
      <c r="O965" s="2"/>
      <c r="P965" s="277"/>
    </row>
    <row r="966" spans="1:16" ht="30" customHeight="1" x14ac:dyDescent="0.15">
      <c r="A966" s="284" t="s">
        <v>8375</v>
      </c>
      <c r="B966" s="157"/>
      <c r="C966" s="157"/>
      <c r="D966" s="157"/>
      <c r="E966" s="6"/>
      <c r="F966" s="6"/>
      <c r="G966" s="2"/>
      <c r="H966" s="157"/>
      <c r="I966" s="157"/>
      <c r="J966" s="2"/>
      <c r="K966" s="157"/>
      <c r="L966" s="3"/>
      <c r="M966" s="3"/>
      <c r="N966" s="3"/>
      <c r="O966" s="2"/>
      <c r="P966" s="277"/>
    </row>
    <row r="967" spans="1:16" ht="30" customHeight="1" x14ac:dyDescent="0.15">
      <c r="A967" s="284" t="s">
        <v>8376</v>
      </c>
      <c r="B967" s="157"/>
      <c r="C967" s="157"/>
      <c r="D967" s="157"/>
      <c r="E967" s="6"/>
      <c r="F967" s="6"/>
      <c r="G967" s="2"/>
      <c r="H967" s="157"/>
      <c r="I967" s="157"/>
      <c r="J967" s="2"/>
      <c r="K967" s="157"/>
      <c r="L967" s="3"/>
      <c r="M967" s="3"/>
      <c r="N967" s="3"/>
      <c r="O967" s="2"/>
      <c r="P967" s="277"/>
    </row>
    <row r="968" spans="1:16" ht="30" customHeight="1" x14ac:dyDescent="0.15">
      <c r="A968" s="284" t="s">
        <v>8377</v>
      </c>
      <c r="B968" s="157"/>
      <c r="C968" s="157"/>
      <c r="D968" s="157"/>
      <c r="E968" s="6"/>
      <c r="F968" s="6"/>
      <c r="G968" s="2"/>
      <c r="H968" s="157"/>
      <c r="I968" s="157"/>
      <c r="J968" s="2"/>
      <c r="K968" s="157"/>
      <c r="L968" s="3"/>
      <c r="M968" s="3"/>
      <c r="N968" s="3"/>
      <c r="O968" s="2"/>
      <c r="P968" s="277"/>
    </row>
    <row r="969" spans="1:16" ht="30" customHeight="1" x14ac:dyDescent="0.15">
      <c r="A969" s="284" t="s">
        <v>8378</v>
      </c>
      <c r="B969" s="157"/>
      <c r="C969" s="157"/>
      <c r="D969" s="157"/>
      <c r="E969" s="6"/>
      <c r="F969" s="6"/>
      <c r="G969" s="2"/>
      <c r="H969" s="157"/>
      <c r="I969" s="157"/>
      <c r="J969" s="2"/>
      <c r="K969" s="157"/>
      <c r="L969" s="3"/>
      <c r="M969" s="3"/>
      <c r="N969" s="3"/>
      <c r="O969" s="2"/>
      <c r="P969" s="277"/>
    </row>
    <row r="970" spans="1:16" ht="30" customHeight="1" x14ac:dyDescent="0.15">
      <c r="A970" s="284" t="s">
        <v>8379</v>
      </c>
      <c r="B970" s="157"/>
      <c r="C970" s="157"/>
      <c r="D970" s="157"/>
      <c r="E970" s="6"/>
      <c r="F970" s="6"/>
      <c r="G970" s="2"/>
      <c r="H970" s="157"/>
      <c r="I970" s="157"/>
      <c r="J970" s="2"/>
      <c r="K970" s="157"/>
      <c r="L970" s="3"/>
      <c r="M970" s="3"/>
      <c r="N970" s="3"/>
      <c r="O970" s="2"/>
      <c r="P970" s="277"/>
    </row>
    <row r="971" spans="1:16" ht="30" customHeight="1" x14ac:dyDescent="0.15">
      <c r="A971" s="284" t="s">
        <v>8380</v>
      </c>
      <c r="B971" s="157"/>
      <c r="C971" s="157"/>
      <c r="D971" s="157"/>
      <c r="E971" s="6"/>
      <c r="F971" s="6"/>
      <c r="G971" s="2"/>
      <c r="H971" s="157"/>
      <c r="I971" s="157"/>
      <c r="J971" s="2"/>
      <c r="K971" s="157"/>
      <c r="L971" s="3"/>
      <c r="M971" s="3"/>
      <c r="N971" s="3"/>
      <c r="O971" s="2"/>
      <c r="P971" s="277"/>
    </row>
    <row r="972" spans="1:16" ht="30" customHeight="1" x14ac:dyDescent="0.15">
      <c r="A972" s="284" t="s">
        <v>8381</v>
      </c>
      <c r="B972" s="157"/>
      <c r="C972" s="157"/>
      <c r="D972" s="157"/>
      <c r="E972" s="6"/>
      <c r="F972" s="6"/>
      <c r="G972" s="2"/>
      <c r="H972" s="157"/>
      <c r="I972" s="157"/>
      <c r="J972" s="2"/>
      <c r="K972" s="157"/>
      <c r="L972" s="3"/>
      <c r="M972" s="3"/>
      <c r="N972" s="3"/>
      <c r="O972" s="2"/>
      <c r="P972" s="277"/>
    </row>
    <row r="973" spans="1:16" ht="30" customHeight="1" x14ac:dyDescent="0.15">
      <c r="A973" s="284" t="s">
        <v>8382</v>
      </c>
      <c r="B973" s="157"/>
      <c r="C973" s="157"/>
      <c r="D973" s="157"/>
      <c r="E973" s="6"/>
      <c r="F973" s="6"/>
      <c r="G973" s="2"/>
      <c r="H973" s="157"/>
      <c r="I973" s="157"/>
      <c r="J973" s="2"/>
      <c r="K973" s="157"/>
      <c r="L973" s="3"/>
      <c r="M973" s="3"/>
      <c r="N973" s="3"/>
      <c r="O973" s="2"/>
      <c r="P973" s="277"/>
    </row>
    <row r="974" spans="1:16" ht="30" customHeight="1" x14ac:dyDescent="0.15">
      <c r="A974" s="284" t="s">
        <v>8383</v>
      </c>
      <c r="B974" s="157"/>
      <c r="C974" s="157"/>
      <c r="D974" s="157"/>
      <c r="E974" s="6"/>
      <c r="F974" s="6"/>
      <c r="G974" s="2"/>
      <c r="H974" s="157"/>
      <c r="I974" s="157"/>
      <c r="J974" s="2"/>
      <c r="K974" s="157"/>
      <c r="L974" s="3"/>
      <c r="M974" s="3"/>
      <c r="N974" s="3"/>
      <c r="O974" s="2"/>
      <c r="P974" s="277"/>
    </row>
    <row r="975" spans="1:16" ht="30" customHeight="1" x14ac:dyDescent="0.15">
      <c r="A975" s="284" t="s">
        <v>8384</v>
      </c>
      <c r="B975" s="157"/>
      <c r="C975" s="157"/>
      <c r="D975" s="157"/>
      <c r="E975" s="6"/>
      <c r="F975" s="6"/>
      <c r="G975" s="2"/>
      <c r="H975" s="157"/>
      <c r="I975" s="157"/>
      <c r="J975" s="2"/>
      <c r="K975" s="157"/>
      <c r="L975" s="3"/>
      <c r="M975" s="3"/>
      <c r="N975" s="3"/>
      <c r="O975" s="2"/>
      <c r="P975" s="277"/>
    </row>
    <row r="976" spans="1:16" ht="30" customHeight="1" x14ac:dyDescent="0.15">
      <c r="A976" s="284" t="s">
        <v>8385</v>
      </c>
      <c r="B976" s="157"/>
      <c r="C976" s="157"/>
      <c r="D976" s="157"/>
      <c r="E976" s="6"/>
      <c r="F976" s="6"/>
      <c r="G976" s="2"/>
      <c r="H976" s="157"/>
      <c r="I976" s="157"/>
      <c r="J976" s="2"/>
      <c r="K976" s="157"/>
      <c r="L976" s="3"/>
      <c r="M976" s="3"/>
      <c r="N976" s="3"/>
      <c r="O976" s="2"/>
      <c r="P976" s="277"/>
    </row>
    <row r="977" spans="1:16" ht="30" customHeight="1" x14ac:dyDescent="0.15">
      <c r="A977" s="284" t="s">
        <v>8386</v>
      </c>
      <c r="B977" s="157"/>
      <c r="C977" s="157"/>
      <c r="D977" s="157"/>
      <c r="E977" s="6"/>
      <c r="F977" s="6"/>
      <c r="G977" s="2"/>
      <c r="H977" s="157"/>
      <c r="I977" s="157"/>
      <c r="J977" s="2"/>
      <c r="K977" s="157"/>
      <c r="L977" s="3"/>
      <c r="M977" s="3"/>
      <c r="N977" s="3"/>
      <c r="O977" s="2"/>
      <c r="P977" s="277"/>
    </row>
    <row r="978" spans="1:16" ht="30" customHeight="1" x14ac:dyDescent="0.15">
      <c r="A978" s="284" t="s">
        <v>8387</v>
      </c>
      <c r="B978" s="157"/>
      <c r="C978" s="157"/>
      <c r="D978" s="157"/>
      <c r="E978" s="6"/>
      <c r="F978" s="6"/>
      <c r="G978" s="2"/>
      <c r="H978" s="157"/>
      <c r="I978" s="157"/>
      <c r="J978" s="2"/>
      <c r="K978" s="157"/>
      <c r="L978" s="3"/>
      <c r="M978" s="3"/>
      <c r="N978" s="3"/>
      <c r="O978" s="2"/>
      <c r="P978" s="277"/>
    </row>
    <row r="979" spans="1:16" ht="30" customHeight="1" x14ac:dyDescent="0.15">
      <c r="A979" s="284" t="s">
        <v>8388</v>
      </c>
      <c r="B979" s="157"/>
      <c r="C979" s="157"/>
      <c r="D979" s="157"/>
      <c r="E979" s="6"/>
      <c r="F979" s="6"/>
      <c r="G979" s="2"/>
      <c r="H979" s="157"/>
      <c r="I979" s="157"/>
      <c r="J979" s="2"/>
      <c r="K979" s="157"/>
      <c r="L979" s="3"/>
      <c r="M979" s="3"/>
      <c r="N979" s="3"/>
      <c r="O979" s="2"/>
      <c r="P979" s="277"/>
    </row>
    <row r="980" spans="1:16" ht="30" customHeight="1" x14ac:dyDescent="0.15">
      <c r="A980" s="284" t="s">
        <v>8389</v>
      </c>
      <c r="B980" s="157"/>
      <c r="C980" s="157"/>
      <c r="D980" s="157"/>
      <c r="E980" s="6"/>
      <c r="F980" s="6"/>
      <c r="G980" s="2"/>
      <c r="H980" s="157"/>
      <c r="I980" s="157"/>
      <c r="J980" s="2"/>
      <c r="K980" s="157"/>
      <c r="L980" s="3"/>
      <c r="M980" s="3"/>
      <c r="N980" s="3"/>
      <c r="O980" s="2"/>
      <c r="P980" s="277"/>
    </row>
    <row r="981" spans="1:16" ht="30" customHeight="1" x14ac:dyDescent="0.15">
      <c r="A981" s="284" t="s">
        <v>8390</v>
      </c>
      <c r="B981" s="157"/>
      <c r="C981" s="157"/>
      <c r="D981" s="157"/>
      <c r="E981" s="6"/>
      <c r="F981" s="6"/>
      <c r="G981" s="2"/>
      <c r="H981" s="157"/>
      <c r="I981" s="157"/>
      <c r="J981" s="2"/>
      <c r="K981" s="157"/>
      <c r="L981" s="3"/>
      <c r="M981" s="3"/>
      <c r="N981" s="3"/>
      <c r="O981" s="2"/>
      <c r="P981" s="277"/>
    </row>
    <row r="982" spans="1:16" ht="30" customHeight="1" x14ac:dyDescent="0.15">
      <c r="A982" s="284" t="s">
        <v>8391</v>
      </c>
      <c r="B982" s="157"/>
      <c r="C982" s="157"/>
      <c r="D982" s="157"/>
      <c r="E982" s="6"/>
      <c r="F982" s="6"/>
      <c r="G982" s="2"/>
      <c r="H982" s="157"/>
      <c r="I982" s="157"/>
      <c r="J982" s="2"/>
      <c r="K982" s="157"/>
      <c r="L982" s="3"/>
      <c r="M982" s="3"/>
      <c r="N982" s="3"/>
      <c r="O982" s="2"/>
      <c r="P982" s="277"/>
    </row>
    <row r="983" spans="1:16" ht="30" customHeight="1" x14ac:dyDescent="0.15">
      <c r="A983" s="284" t="s">
        <v>8392</v>
      </c>
      <c r="B983" s="157"/>
      <c r="C983" s="157"/>
      <c r="D983" s="157"/>
      <c r="E983" s="6"/>
      <c r="F983" s="6"/>
      <c r="G983" s="2"/>
      <c r="H983" s="157"/>
      <c r="I983" s="157"/>
      <c r="J983" s="2"/>
      <c r="K983" s="157"/>
      <c r="L983" s="3"/>
      <c r="M983" s="3"/>
      <c r="N983" s="3"/>
      <c r="O983" s="2"/>
      <c r="P983" s="277"/>
    </row>
    <row r="984" spans="1:16" ht="30" customHeight="1" x14ac:dyDescent="0.15">
      <c r="A984" s="284" t="s">
        <v>8393</v>
      </c>
      <c r="B984" s="157"/>
      <c r="C984" s="157"/>
      <c r="D984" s="157"/>
      <c r="E984" s="6"/>
      <c r="F984" s="6"/>
      <c r="G984" s="2"/>
      <c r="H984" s="157"/>
      <c r="I984" s="157"/>
      <c r="J984" s="2"/>
      <c r="K984" s="157"/>
      <c r="L984" s="3"/>
      <c r="M984" s="3"/>
      <c r="N984" s="3"/>
      <c r="O984" s="2"/>
      <c r="P984" s="277"/>
    </row>
    <row r="985" spans="1:16" ht="30" customHeight="1" x14ac:dyDescent="0.15">
      <c r="A985" s="284" t="s">
        <v>8394</v>
      </c>
      <c r="B985" s="157"/>
      <c r="C985" s="157"/>
      <c r="D985" s="157"/>
      <c r="E985" s="6"/>
      <c r="F985" s="6"/>
      <c r="G985" s="2"/>
      <c r="H985" s="157"/>
      <c r="I985" s="157"/>
      <c r="J985" s="2"/>
      <c r="K985" s="157"/>
      <c r="L985" s="3"/>
      <c r="M985" s="3"/>
      <c r="N985" s="3"/>
      <c r="O985" s="2"/>
      <c r="P985" s="277"/>
    </row>
    <row r="986" spans="1:16" ht="30" customHeight="1" x14ac:dyDescent="0.15">
      <c r="A986" s="284" t="s">
        <v>8395</v>
      </c>
      <c r="B986" s="157"/>
      <c r="C986" s="157"/>
      <c r="D986" s="157"/>
      <c r="E986" s="6"/>
      <c r="F986" s="6"/>
      <c r="G986" s="2"/>
      <c r="H986" s="157"/>
      <c r="I986" s="157"/>
      <c r="J986" s="2"/>
      <c r="K986" s="157"/>
      <c r="L986" s="3"/>
      <c r="M986" s="3"/>
      <c r="N986" s="3"/>
      <c r="O986" s="2"/>
      <c r="P986" s="277"/>
    </row>
    <row r="987" spans="1:16" ht="30" customHeight="1" x14ac:dyDescent="0.15">
      <c r="A987" s="284" t="s">
        <v>8396</v>
      </c>
      <c r="B987" s="157"/>
      <c r="C987" s="157"/>
      <c r="D987" s="157"/>
      <c r="E987" s="6"/>
      <c r="F987" s="6"/>
      <c r="G987" s="2"/>
      <c r="H987" s="157"/>
      <c r="I987" s="157"/>
      <c r="J987" s="2"/>
      <c r="K987" s="157"/>
      <c r="L987" s="3"/>
      <c r="M987" s="3"/>
      <c r="N987" s="3"/>
      <c r="O987" s="2"/>
      <c r="P987" s="277"/>
    </row>
    <row r="988" spans="1:16" ht="30" customHeight="1" x14ac:dyDescent="0.15">
      <c r="A988" s="284" t="s">
        <v>8397</v>
      </c>
      <c r="B988" s="157"/>
      <c r="C988" s="157"/>
      <c r="D988" s="157"/>
      <c r="E988" s="6"/>
      <c r="F988" s="6"/>
      <c r="G988" s="2"/>
      <c r="H988" s="157"/>
      <c r="I988" s="157"/>
      <c r="J988" s="2"/>
      <c r="K988" s="157"/>
      <c r="L988" s="3"/>
      <c r="M988" s="3"/>
      <c r="N988" s="3"/>
      <c r="O988" s="2"/>
      <c r="P988" s="277"/>
    </row>
    <row r="989" spans="1:16" ht="30" customHeight="1" x14ac:dyDescent="0.15">
      <c r="A989" s="284" t="s">
        <v>8398</v>
      </c>
      <c r="B989" s="157"/>
      <c r="C989" s="157"/>
      <c r="D989" s="157"/>
      <c r="E989" s="6"/>
      <c r="F989" s="6"/>
      <c r="G989" s="2"/>
      <c r="H989" s="157"/>
      <c r="I989" s="157"/>
      <c r="J989" s="2"/>
      <c r="K989" s="157"/>
      <c r="L989" s="3"/>
      <c r="M989" s="3"/>
      <c r="N989" s="3"/>
      <c r="O989" s="2"/>
      <c r="P989" s="277"/>
    </row>
    <row r="990" spans="1:16" ht="30" customHeight="1" x14ac:dyDescent="0.15">
      <c r="A990" s="284" t="s">
        <v>8399</v>
      </c>
      <c r="B990" s="157"/>
      <c r="C990" s="157"/>
      <c r="D990" s="157"/>
      <c r="E990" s="6"/>
      <c r="F990" s="6"/>
      <c r="G990" s="2"/>
      <c r="H990" s="157"/>
      <c r="I990" s="157"/>
      <c r="J990" s="2"/>
      <c r="K990" s="157"/>
      <c r="L990" s="3"/>
      <c r="M990" s="3"/>
      <c r="N990" s="3"/>
      <c r="O990" s="2"/>
      <c r="P990" s="277"/>
    </row>
    <row r="991" spans="1:16" ht="30" customHeight="1" x14ac:dyDescent="0.15">
      <c r="A991" s="284" t="s">
        <v>8400</v>
      </c>
      <c r="B991" s="157"/>
      <c r="C991" s="157"/>
      <c r="D991" s="157"/>
      <c r="E991" s="6"/>
      <c r="F991" s="6"/>
      <c r="G991" s="2"/>
      <c r="H991" s="157"/>
      <c r="I991" s="157"/>
      <c r="J991" s="2"/>
      <c r="K991" s="157"/>
      <c r="L991" s="3"/>
      <c r="M991" s="3"/>
      <c r="N991" s="3"/>
      <c r="O991" s="2"/>
      <c r="P991" s="277"/>
    </row>
    <row r="992" spans="1:16" ht="30" customHeight="1" x14ac:dyDescent="0.15">
      <c r="A992" s="284" t="s">
        <v>8401</v>
      </c>
      <c r="B992" s="157"/>
      <c r="C992" s="157"/>
      <c r="D992" s="157"/>
      <c r="E992" s="6"/>
      <c r="F992" s="6"/>
      <c r="G992" s="2"/>
      <c r="H992" s="157"/>
      <c r="I992" s="157"/>
      <c r="J992" s="2"/>
      <c r="K992" s="157"/>
      <c r="L992" s="3"/>
      <c r="M992" s="3"/>
      <c r="N992" s="3"/>
      <c r="O992" s="2"/>
      <c r="P992" s="277"/>
    </row>
    <row r="993" spans="1:16" ht="30" customHeight="1" x14ac:dyDescent="0.15">
      <c r="A993" s="284" t="s">
        <v>8402</v>
      </c>
      <c r="B993" s="157"/>
      <c r="C993" s="157"/>
      <c r="D993" s="157"/>
      <c r="E993" s="6"/>
      <c r="F993" s="6"/>
      <c r="G993" s="2"/>
      <c r="H993" s="157"/>
      <c r="I993" s="157"/>
      <c r="J993" s="2"/>
      <c r="K993" s="157"/>
      <c r="L993" s="3"/>
      <c r="M993" s="3"/>
      <c r="N993" s="3"/>
      <c r="O993" s="2"/>
      <c r="P993" s="277"/>
    </row>
    <row r="994" spans="1:16" ht="30" customHeight="1" x14ac:dyDescent="0.15">
      <c r="A994" s="284" t="s">
        <v>8403</v>
      </c>
      <c r="B994" s="157"/>
      <c r="C994" s="157"/>
      <c r="D994" s="157"/>
      <c r="E994" s="6"/>
      <c r="F994" s="6"/>
      <c r="G994" s="2"/>
      <c r="H994" s="157"/>
      <c r="I994" s="157"/>
      <c r="J994" s="2"/>
      <c r="K994" s="157"/>
      <c r="L994" s="3"/>
      <c r="M994" s="3"/>
      <c r="N994" s="3"/>
      <c r="O994" s="2"/>
      <c r="P994" s="277"/>
    </row>
    <row r="995" spans="1:16" ht="30" customHeight="1" x14ac:dyDescent="0.15">
      <c r="A995" s="284" t="s">
        <v>8404</v>
      </c>
      <c r="B995" s="157"/>
      <c r="C995" s="157"/>
      <c r="D995" s="157"/>
      <c r="E995" s="6"/>
      <c r="F995" s="6"/>
      <c r="G995" s="2"/>
      <c r="H995" s="157"/>
      <c r="I995" s="157"/>
      <c r="J995" s="2"/>
      <c r="K995" s="157"/>
      <c r="L995" s="3"/>
      <c r="M995" s="3"/>
      <c r="N995" s="3"/>
      <c r="O995" s="2"/>
      <c r="P995" s="277"/>
    </row>
    <row r="996" spans="1:16" ht="30" customHeight="1" x14ac:dyDescent="0.15">
      <c r="A996" s="284" t="s">
        <v>8405</v>
      </c>
      <c r="B996" s="157"/>
      <c r="C996" s="157"/>
      <c r="D996" s="157"/>
      <c r="E996" s="6"/>
      <c r="F996" s="6"/>
      <c r="G996" s="2"/>
      <c r="H996" s="157"/>
      <c r="I996" s="157"/>
      <c r="J996" s="2"/>
      <c r="K996" s="157"/>
      <c r="L996" s="3"/>
      <c r="M996" s="3"/>
      <c r="N996" s="3"/>
      <c r="O996" s="2"/>
      <c r="P996" s="277"/>
    </row>
    <row r="997" spans="1:16" ht="30" customHeight="1" x14ac:dyDescent="0.15">
      <c r="A997" s="284" t="s">
        <v>8406</v>
      </c>
      <c r="B997" s="157"/>
      <c r="C997" s="157"/>
      <c r="D997" s="157"/>
      <c r="E997" s="6"/>
      <c r="F997" s="6"/>
      <c r="G997" s="2"/>
      <c r="H997" s="157"/>
      <c r="I997" s="157"/>
      <c r="J997" s="2"/>
      <c r="K997" s="157"/>
      <c r="L997" s="3"/>
      <c r="M997" s="3"/>
      <c r="N997" s="3"/>
      <c r="O997" s="2"/>
      <c r="P997" s="277"/>
    </row>
    <row r="998" spans="1:16" ht="30" customHeight="1" x14ac:dyDescent="0.15">
      <c r="A998" s="284" t="s">
        <v>8407</v>
      </c>
      <c r="B998" s="157"/>
      <c r="C998" s="157"/>
      <c r="D998" s="157"/>
      <c r="E998" s="6"/>
      <c r="F998" s="6"/>
      <c r="G998" s="2"/>
      <c r="H998" s="157"/>
      <c r="I998" s="157"/>
      <c r="J998" s="2"/>
      <c r="K998" s="157"/>
      <c r="L998" s="3"/>
      <c r="M998" s="3"/>
      <c r="N998" s="3"/>
      <c r="O998" s="2"/>
      <c r="P998" s="277"/>
    </row>
    <row r="999" spans="1:16" ht="30" customHeight="1" x14ac:dyDescent="0.15">
      <c r="A999" s="284" t="s">
        <v>8408</v>
      </c>
      <c r="B999" s="157"/>
      <c r="C999" s="157"/>
      <c r="D999" s="157"/>
      <c r="E999" s="6"/>
      <c r="F999" s="6"/>
      <c r="G999" s="2"/>
      <c r="H999" s="157"/>
      <c r="I999" s="157"/>
      <c r="J999" s="2"/>
      <c r="K999" s="157"/>
      <c r="L999" s="3"/>
      <c r="M999" s="3"/>
      <c r="N999" s="3"/>
      <c r="O999" s="2"/>
      <c r="P999" s="277"/>
    </row>
    <row r="1000" spans="1:16" ht="30" customHeight="1" x14ac:dyDescent="0.15">
      <c r="A1000" s="284" t="s">
        <v>8409</v>
      </c>
      <c r="B1000" s="157"/>
      <c r="C1000" s="157"/>
      <c r="D1000" s="157"/>
      <c r="E1000" s="6"/>
      <c r="F1000" s="6"/>
      <c r="G1000" s="2"/>
      <c r="H1000" s="157"/>
      <c r="I1000" s="157"/>
      <c r="J1000" s="2"/>
      <c r="K1000" s="157"/>
      <c r="L1000" s="3"/>
      <c r="M1000" s="3"/>
      <c r="N1000" s="3"/>
      <c r="O1000" s="2"/>
      <c r="P1000" s="277"/>
    </row>
    <row r="1001" spans="1:16" ht="30" customHeight="1" x14ac:dyDescent="0.15">
      <c r="A1001" s="284" t="s">
        <v>8410</v>
      </c>
      <c r="B1001" s="157"/>
      <c r="C1001" s="157"/>
      <c r="D1001" s="157"/>
      <c r="E1001" s="6"/>
      <c r="F1001" s="6"/>
      <c r="G1001" s="2"/>
      <c r="H1001" s="157"/>
      <c r="I1001" s="157"/>
      <c r="J1001" s="2"/>
      <c r="K1001" s="157"/>
      <c r="L1001" s="3"/>
      <c r="M1001" s="3"/>
      <c r="N1001" s="3"/>
      <c r="O1001" s="2"/>
      <c r="P1001" s="277"/>
    </row>
    <row r="1002" spans="1:16" ht="30" customHeight="1" x14ac:dyDescent="0.15">
      <c r="A1002" s="284" t="s">
        <v>8411</v>
      </c>
      <c r="B1002" s="157"/>
      <c r="C1002" s="157"/>
      <c r="D1002" s="157"/>
      <c r="E1002" s="6"/>
      <c r="F1002" s="6"/>
      <c r="G1002" s="2"/>
      <c r="H1002" s="157"/>
      <c r="I1002" s="157"/>
      <c r="J1002" s="2"/>
      <c r="K1002" s="157"/>
      <c r="L1002" s="3"/>
      <c r="M1002" s="3"/>
      <c r="N1002" s="3"/>
      <c r="O1002" s="2"/>
      <c r="P1002" s="277"/>
    </row>
    <row r="1003" spans="1:16" ht="30" customHeight="1" x14ac:dyDescent="0.15">
      <c r="A1003" s="284" t="s">
        <v>8412</v>
      </c>
      <c r="B1003" s="157"/>
      <c r="C1003" s="157"/>
      <c r="D1003" s="157"/>
      <c r="E1003" s="6"/>
      <c r="F1003" s="6"/>
      <c r="G1003" s="2"/>
      <c r="H1003" s="157"/>
      <c r="I1003" s="157"/>
      <c r="J1003" s="2"/>
      <c r="K1003" s="157"/>
      <c r="L1003" s="3"/>
      <c r="M1003" s="3"/>
      <c r="N1003" s="3"/>
      <c r="O1003" s="2"/>
      <c r="P1003" s="277"/>
    </row>
    <row r="1004" spans="1:16" ht="30" customHeight="1" x14ac:dyDescent="0.15">
      <c r="A1004" s="284" t="s">
        <v>8413</v>
      </c>
      <c r="B1004" s="157"/>
      <c r="C1004" s="157"/>
      <c r="D1004" s="157"/>
      <c r="E1004" s="6"/>
      <c r="F1004" s="6"/>
      <c r="G1004" s="2"/>
      <c r="H1004" s="157"/>
      <c r="I1004" s="157"/>
      <c r="J1004" s="2"/>
      <c r="K1004" s="157"/>
      <c r="L1004" s="3"/>
      <c r="M1004" s="3"/>
      <c r="N1004" s="3"/>
      <c r="O1004" s="2"/>
      <c r="P1004" s="277"/>
    </row>
    <row r="1005" spans="1:16" ht="30" customHeight="1" x14ac:dyDescent="0.15">
      <c r="A1005" s="284" t="s">
        <v>8414</v>
      </c>
      <c r="B1005" s="157"/>
      <c r="C1005" s="157"/>
      <c r="D1005" s="157"/>
      <c r="E1005" s="6"/>
      <c r="F1005" s="6"/>
      <c r="G1005" s="2"/>
      <c r="H1005" s="157"/>
      <c r="I1005" s="157"/>
      <c r="J1005" s="2"/>
      <c r="K1005" s="157"/>
      <c r="L1005" s="3"/>
      <c r="M1005" s="3"/>
      <c r="N1005" s="3"/>
      <c r="O1005" s="2"/>
      <c r="P1005" s="277"/>
    </row>
    <row r="1006" spans="1:16" ht="30" customHeight="1" x14ac:dyDescent="0.15">
      <c r="A1006" s="284" t="s">
        <v>8415</v>
      </c>
      <c r="B1006" s="157"/>
      <c r="C1006" s="157"/>
      <c r="D1006" s="157"/>
      <c r="E1006" s="6"/>
      <c r="F1006" s="6"/>
      <c r="G1006" s="2"/>
      <c r="H1006" s="157"/>
      <c r="I1006" s="157"/>
      <c r="J1006" s="2"/>
      <c r="K1006" s="157"/>
      <c r="L1006" s="3"/>
      <c r="M1006" s="3"/>
      <c r="N1006" s="3"/>
      <c r="O1006" s="2"/>
      <c r="P1006" s="277"/>
    </row>
    <row r="1007" spans="1:16" ht="30" customHeight="1" x14ac:dyDescent="0.15">
      <c r="A1007" s="284" t="s">
        <v>8416</v>
      </c>
      <c r="B1007" s="157"/>
      <c r="C1007" s="157"/>
      <c r="D1007" s="157"/>
      <c r="E1007" s="6"/>
      <c r="F1007" s="6"/>
      <c r="G1007" s="2"/>
      <c r="H1007" s="157"/>
      <c r="I1007" s="157"/>
      <c r="J1007" s="2"/>
      <c r="K1007" s="157"/>
      <c r="L1007" s="3"/>
      <c r="M1007" s="3"/>
      <c r="N1007" s="3"/>
      <c r="O1007" s="2"/>
      <c r="P1007" s="277"/>
    </row>
    <row r="1008" spans="1:16" ht="30" customHeight="1" x14ac:dyDescent="0.15">
      <c r="A1008" s="284" t="s">
        <v>8417</v>
      </c>
      <c r="B1008" s="157"/>
      <c r="C1008" s="157"/>
      <c r="D1008" s="157"/>
      <c r="E1008" s="6"/>
      <c r="F1008" s="6"/>
      <c r="G1008" s="2"/>
      <c r="H1008" s="157"/>
      <c r="I1008" s="157"/>
      <c r="J1008" s="2"/>
      <c r="K1008" s="157"/>
      <c r="L1008" s="3"/>
      <c r="M1008" s="3"/>
      <c r="N1008" s="3"/>
      <c r="O1008" s="2"/>
      <c r="P1008" s="277"/>
    </row>
    <row r="1009" spans="1:16" ht="30" customHeight="1" x14ac:dyDescent="0.15">
      <c r="A1009" s="284" t="s">
        <v>8418</v>
      </c>
      <c r="B1009" s="157"/>
      <c r="C1009" s="157"/>
      <c r="D1009" s="157"/>
      <c r="E1009" s="6"/>
      <c r="F1009" s="6"/>
      <c r="G1009" s="2"/>
      <c r="H1009" s="157"/>
      <c r="I1009" s="157"/>
      <c r="J1009" s="2"/>
      <c r="K1009" s="157"/>
      <c r="L1009" s="3"/>
      <c r="M1009" s="3"/>
      <c r="N1009" s="3"/>
      <c r="O1009" s="2"/>
      <c r="P1009" s="277"/>
    </row>
    <row r="1010" spans="1:16" ht="30" customHeight="1" x14ac:dyDescent="0.15">
      <c r="A1010" s="284" t="s">
        <v>8419</v>
      </c>
      <c r="B1010" s="157"/>
      <c r="C1010" s="157"/>
      <c r="D1010" s="157"/>
      <c r="E1010" s="6"/>
      <c r="F1010" s="6"/>
      <c r="G1010" s="2"/>
      <c r="H1010" s="157"/>
      <c r="I1010" s="157"/>
      <c r="J1010" s="2"/>
      <c r="K1010" s="157"/>
      <c r="L1010" s="3"/>
      <c r="M1010" s="3"/>
      <c r="N1010" s="3"/>
      <c r="O1010" s="2"/>
      <c r="P1010" s="277"/>
    </row>
    <row r="1011" spans="1:16" ht="30" customHeight="1" x14ac:dyDescent="0.15">
      <c r="A1011" s="284" t="s">
        <v>8420</v>
      </c>
      <c r="B1011" s="157"/>
      <c r="C1011" s="157"/>
      <c r="D1011" s="157"/>
      <c r="E1011" s="6"/>
      <c r="F1011" s="6"/>
      <c r="G1011" s="2"/>
      <c r="H1011" s="157"/>
      <c r="I1011" s="157"/>
      <c r="J1011" s="2"/>
      <c r="K1011" s="157"/>
      <c r="L1011" s="3"/>
      <c r="M1011" s="3"/>
      <c r="N1011" s="3"/>
      <c r="O1011" s="2"/>
      <c r="P1011" s="277"/>
    </row>
    <row r="1012" spans="1:16" ht="30" customHeight="1" x14ac:dyDescent="0.15">
      <c r="A1012" s="284" t="s">
        <v>8421</v>
      </c>
      <c r="B1012" s="157"/>
      <c r="C1012" s="157"/>
      <c r="D1012" s="157"/>
      <c r="E1012" s="6"/>
      <c r="F1012" s="6"/>
      <c r="G1012" s="2"/>
      <c r="H1012" s="157"/>
      <c r="I1012" s="157"/>
      <c r="J1012" s="2"/>
      <c r="K1012" s="157"/>
      <c r="L1012" s="3"/>
      <c r="M1012" s="3"/>
      <c r="N1012" s="3"/>
      <c r="O1012" s="2"/>
      <c r="P1012" s="277"/>
    </row>
    <row r="1013" spans="1:16" ht="30" customHeight="1" x14ac:dyDescent="0.15">
      <c r="A1013" s="284" t="s">
        <v>8422</v>
      </c>
      <c r="B1013" s="157"/>
      <c r="C1013" s="157"/>
      <c r="D1013" s="157"/>
      <c r="E1013" s="6"/>
      <c r="F1013" s="6"/>
      <c r="G1013" s="2"/>
      <c r="H1013" s="157"/>
      <c r="I1013" s="157"/>
      <c r="J1013" s="2"/>
      <c r="K1013" s="157"/>
      <c r="L1013" s="3"/>
      <c r="M1013" s="3"/>
      <c r="N1013" s="3"/>
      <c r="O1013" s="2"/>
      <c r="P1013" s="277"/>
    </row>
    <row r="1014" spans="1:16" ht="30" customHeight="1" x14ac:dyDescent="0.15">
      <c r="A1014" s="284" t="s">
        <v>8423</v>
      </c>
      <c r="B1014" s="157"/>
      <c r="C1014" s="157"/>
      <c r="D1014" s="157"/>
      <c r="E1014" s="6"/>
      <c r="F1014" s="6"/>
      <c r="G1014" s="2"/>
      <c r="H1014" s="157"/>
      <c r="I1014" s="157"/>
      <c r="J1014" s="2"/>
      <c r="K1014" s="157"/>
      <c r="L1014" s="3"/>
      <c r="M1014" s="3"/>
      <c r="N1014" s="3"/>
      <c r="O1014" s="2"/>
      <c r="P1014" s="277"/>
    </row>
    <row r="1015" spans="1:16" ht="30" customHeight="1" x14ac:dyDescent="0.15">
      <c r="A1015" s="284" t="s">
        <v>8424</v>
      </c>
      <c r="B1015" s="157"/>
      <c r="C1015" s="157"/>
      <c r="D1015" s="157"/>
      <c r="E1015" s="6"/>
      <c r="F1015" s="6"/>
      <c r="G1015" s="2"/>
      <c r="H1015" s="157"/>
      <c r="I1015" s="157"/>
      <c r="J1015" s="2"/>
      <c r="K1015" s="157"/>
      <c r="L1015" s="3"/>
      <c r="M1015" s="3"/>
      <c r="N1015" s="3"/>
      <c r="O1015" s="2"/>
      <c r="P1015" s="277"/>
    </row>
    <row r="1016" spans="1:16" ht="30" customHeight="1" x14ac:dyDescent="0.15">
      <c r="A1016" s="284" t="s">
        <v>8425</v>
      </c>
      <c r="B1016" s="157"/>
      <c r="C1016" s="157"/>
      <c r="D1016" s="157"/>
      <c r="E1016" s="6"/>
      <c r="F1016" s="6"/>
      <c r="G1016" s="2"/>
      <c r="H1016" s="157"/>
      <c r="I1016" s="157"/>
      <c r="J1016" s="2"/>
      <c r="K1016" s="157"/>
      <c r="L1016" s="3"/>
      <c r="M1016" s="3"/>
      <c r="N1016" s="3"/>
      <c r="O1016" s="2"/>
      <c r="P1016" s="277"/>
    </row>
    <row r="1017" spans="1:16" ht="30" customHeight="1" x14ac:dyDescent="0.15">
      <c r="A1017" s="284" t="s">
        <v>8426</v>
      </c>
      <c r="B1017" s="157"/>
      <c r="C1017" s="157"/>
      <c r="D1017" s="157"/>
      <c r="E1017" s="6"/>
      <c r="F1017" s="6"/>
      <c r="G1017" s="2"/>
      <c r="H1017" s="157"/>
      <c r="I1017" s="157"/>
      <c r="J1017" s="2"/>
      <c r="K1017" s="157"/>
      <c r="L1017" s="3"/>
      <c r="M1017" s="3"/>
      <c r="N1017" s="3"/>
      <c r="O1017" s="2"/>
      <c r="P1017" s="277"/>
    </row>
    <row r="1018" spans="1:16" ht="30" customHeight="1" x14ac:dyDescent="0.15">
      <c r="A1018" s="284" t="s">
        <v>8427</v>
      </c>
      <c r="B1018" s="157"/>
      <c r="C1018" s="157"/>
      <c r="D1018" s="157"/>
      <c r="E1018" s="6"/>
      <c r="F1018" s="6"/>
      <c r="G1018" s="2"/>
      <c r="H1018" s="157"/>
      <c r="I1018" s="157"/>
      <c r="J1018" s="2"/>
      <c r="K1018" s="157"/>
      <c r="L1018" s="3"/>
      <c r="M1018" s="3"/>
      <c r="N1018" s="3"/>
      <c r="O1018" s="2"/>
      <c r="P1018" s="277"/>
    </row>
    <row r="1019" spans="1:16" ht="30" customHeight="1" x14ac:dyDescent="0.15">
      <c r="A1019" s="284" t="s">
        <v>8428</v>
      </c>
      <c r="B1019" s="157"/>
      <c r="C1019" s="157"/>
      <c r="D1019" s="157"/>
      <c r="E1019" s="6"/>
      <c r="F1019" s="6"/>
      <c r="G1019" s="2"/>
      <c r="H1019" s="157"/>
      <c r="I1019" s="157"/>
      <c r="J1019" s="2"/>
      <c r="K1019" s="157"/>
      <c r="L1019" s="3"/>
      <c r="M1019" s="3"/>
      <c r="N1019" s="3"/>
      <c r="O1019" s="2"/>
      <c r="P1019" s="277"/>
    </row>
    <row r="1020" spans="1:16" ht="30" customHeight="1" x14ac:dyDescent="0.15">
      <c r="A1020" s="284" t="s">
        <v>8429</v>
      </c>
      <c r="B1020" s="157"/>
      <c r="C1020" s="157"/>
      <c r="D1020" s="157"/>
      <c r="E1020" s="6"/>
      <c r="F1020" s="6"/>
      <c r="G1020" s="2"/>
      <c r="H1020" s="157"/>
      <c r="I1020" s="157"/>
      <c r="J1020" s="2"/>
      <c r="K1020" s="157"/>
      <c r="L1020" s="3"/>
      <c r="M1020" s="3"/>
      <c r="N1020" s="3"/>
      <c r="O1020" s="2"/>
      <c r="P1020" s="277"/>
    </row>
    <row r="1021" spans="1:16" ht="30" customHeight="1" x14ac:dyDescent="0.15">
      <c r="A1021" s="284" t="s">
        <v>8430</v>
      </c>
      <c r="B1021" s="157"/>
      <c r="C1021" s="157"/>
      <c r="D1021" s="157"/>
      <c r="E1021" s="6"/>
      <c r="F1021" s="6"/>
      <c r="G1021" s="2"/>
      <c r="H1021" s="157"/>
      <c r="I1021" s="157"/>
      <c r="J1021" s="2"/>
      <c r="K1021" s="157"/>
      <c r="L1021" s="3"/>
      <c r="M1021" s="3"/>
      <c r="N1021" s="3"/>
      <c r="O1021" s="2"/>
      <c r="P1021" s="277"/>
    </row>
    <row r="1022" spans="1:16" ht="30" customHeight="1" x14ac:dyDescent="0.15">
      <c r="A1022" s="284" t="s">
        <v>8431</v>
      </c>
      <c r="B1022" s="157"/>
      <c r="C1022" s="157"/>
      <c r="D1022" s="157"/>
      <c r="E1022" s="6"/>
      <c r="F1022" s="6"/>
      <c r="G1022" s="2"/>
      <c r="H1022" s="157"/>
      <c r="I1022" s="157"/>
      <c r="J1022" s="2"/>
      <c r="K1022" s="157"/>
      <c r="L1022" s="3"/>
      <c r="M1022" s="3"/>
      <c r="N1022" s="3"/>
      <c r="O1022" s="2"/>
      <c r="P1022" s="277"/>
    </row>
    <row r="1023" spans="1:16" ht="30" customHeight="1" x14ac:dyDescent="0.15">
      <c r="A1023" s="284" t="s">
        <v>8432</v>
      </c>
      <c r="B1023" s="157"/>
      <c r="C1023" s="157"/>
      <c r="D1023" s="157"/>
      <c r="E1023" s="6"/>
      <c r="F1023" s="6"/>
      <c r="G1023" s="2"/>
      <c r="H1023" s="157"/>
      <c r="I1023" s="157"/>
      <c r="J1023" s="2"/>
      <c r="K1023" s="157"/>
      <c r="L1023" s="3"/>
      <c r="M1023" s="3"/>
      <c r="N1023" s="3"/>
      <c r="O1023" s="2"/>
      <c r="P1023" s="277"/>
    </row>
    <row r="1024" spans="1:16" ht="30" customHeight="1" x14ac:dyDescent="0.15">
      <c r="A1024" s="284" t="s">
        <v>8433</v>
      </c>
      <c r="B1024" s="157"/>
      <c r="C1024" s="157"/>
      <c r="D1024" s="157"/>
      <c r="E1024" s="6"/>
      <c r="F1024" s="6"/>
      <c r="G1024" s="2"/>
      <c r="H1024" s="157"/>
      <c r="I1024" s="157"/>
      <c r="J1024" s="2"/>
      <c r="K1024" s="157"/>
      <c r="L1024" s="3"/>
      <c r="M1024" s="3"/>
      <c r="N1024" s="3"/>
      <c r="O1024" s="2"/>
      <c r="P1024" s="277"/>
    </row>
    <row r="1025" spans="1:16" ht="30" customHeight="1" x14ac:dyDescent="0.15">
      <c r="A1025" s="284" t="s">
        <v>8434</v>
      </c>
      <c r="B1025" s="157"/>
      <c r="C1025" s="157"/>
      <c r="D1025" s="157"/>
      <c r="E1025" s="6"/>
      <c r="F1025" s="6"/>
      <c r="G1025" s="2"/>
      <c r="H1025" s="157"/>
      <c r="I1025" s="157"/>
      <c r="J1025" s="2"/>
      <c r="K1025" s="157"/>
      <c r="L1025" s="3"/>
      <c r="M1025" s="3"/>
      <c r="N1025" s="3"/>
      <c r="O1025" s="2"/>
      <c r="P1025" s="277"/>
    </row>
    <row r="1026" spans="1:16" ht="30" customHeight="1" x14ac:dyDescent="0.15">
      <c r="A1026" s="284" t="s">
        <v>8435</v>
      </c>
      <c r="B1026" s="157"/>
      <c r="C1026" s="157"/>
      <c r="D1026" s="157"/>
      <c r="E1026" s="6"/>
      <c r="F1026" s="6"/>
      <c r="G1026" s="2"/>
      <c r="H1026" s="157"/>
      <c r="I1026" s="157"/>
      <c r="J1026" s="2"/>
      <c r="K1026" s="157"/>
      <c r="L1026" s="3"/>
      <c r="M1026" s="3"/>
      <c r="N1026" s="3"/>
      <c r="O1026" s="2"/>
      <c r="P1026" s="277"/>
    </row>
    <row r="1027" spans="1:16" ht="30" customHeight="1" x14ac:dyDescent="0.15">
      <c r="A1027" s="284" t="s">
        <v>8436</v>
      </c>
      <c r="B1027" s="157"/>
      <c r="C1027" s="157"/>
      <c r="D1027" s="157"/>
      <c r="E1027" s="6"/>
      <c r="F1027" s="6"/>
      <c r="G1027" s="2"/>
      <c r="H1027" s="157"/>
      <c r="I1027" s="157"/>
      <c r="J1027" s="2"/>
      <c r="K1027" s="157"/>
      <c r="L1027" s="3"/>
      <c r="M1027" s="3"/>
      <c r="N1027" s="3"/>
      <c r="O1027" s="2"/>
      <c r="P1027" s="277"/>
    </row>
    <row r="1028" spans="1:16" ht="30" customHeight="1" x14ac:dyDescent="0.15">
      <c r="A1028" s="284" t="s">
        <v>8437</v>
      </c>
      <c r="B1028" s="157"/>
      <c r="C1028" s="157"/>
      <c r="D1028" s="157"/>
      <c r="E1028" s="6"/>
      <c r="F1028" s="6"/>
      <c r="G1028" s="2"/>
      <c r="H1028" s="157"/>
      <c r="I1028" s="157"/>
      <c r="J1028" s="2"/>
      <c r="K1028" s="157"/>
      <c r="L1028" s="3"/>
      <c r="M1028" s="3"/>
      <c r="N1028" s="3"/>
      <c r="O1028" s="2"/>
      <c r="P1028" s="277"/>
    </row>
    <row r="1029" spans="1:16" ht="30" customHeight="1" x14ac:dyDescent="0.15">
      <c r="A1029" s="284" t="s">
        <v>8438</v>
      </c>
      <c r="B1029" s="157"/>
      <c r="C1029" s="157"/>
      <c r="D1029" s="157"/>
      <c r="E1029" s="6"/>
      <c r="F1029" s="6"/>
      <c r="G1029" s="2"/>
      <c r="H1029" s="157"/>
      <c r="I1029" s="157"/>
      <c r="J1029" s="2"/>
      <c r="K1029" s="157"/>
      <c r="L1029" s="3"/>
      <c r="M1029" s="3"/>
      <c r="N1029" s="3"/>
      <c r="O1029" s="2"/>
      <c r="P1029" s="277"/>
    </row>
    <row r="1030" spans="1:16" ht="30" customHeight="1" x14ac:dyDescent="0.15">
      <c r="A1030" s="284" t="s">
        <v>8439</v>
      </c>
      <c r="B1030" s="157"/>
      <c r="C1030" s="157"/>
      <c r="D1030" s="157"/>
      <c r="E1030" s="6"/>
      <c r="F1030" s="6"/>
      <c r="G1030" s="2"/>
      <c r="H1030" s="157"/>
      <c r="I1030" s="157"/>
      <c r="J1030" s="2"/>
      <c r="K1030" s="157"/>
      <c r="L1030" s="3"/>
      <c r="M1030" s="3"/>
      <c r="N1030" s="3"/>
      <c r="O1030" s="2"/>
      <c r="P1030" s="277"/>
    </row>
    <row r="1031" spans="1:16" ht="30" customHeight="1" x14ac:dyDescent="0.15">
      <c r="A1031" s="284" t="s">
        <v>8440</v>
      </c>
      <c r="B1031" s="157"/>
      <c r="C1031" s="157"/>
      <c r="D1031" s="157"/>
      <c r="E1031" s="6"/>
      <c r="F1031" s="6"/>
      <c r="G1031" s="2"/>
      <c r="H1031" s="157"/>
      <c r="I1031" s="157"/>
      <c r="J1031" s="2"/>
      <c r="K1031" s="157"/>
      <c r="L1031" s="3"/>
      <c r="M1031" s="3"/>
      <c r="N1031" s="3"/>
      <c r="O1031" s="2"/>
      <c r="P1031" s="277"/>
    </row>
    <row r="1032" spans="1:16" ht="30" customHeight="1" x14ac:dyDescent="0.15">
      <c r="A1032" s="284" t="s">
        <v>8441</v>
      </c>
      <c r="B1032" s="157"/>
      <c r="C1032" s="157"/>
      <c r="D1032" s="157"/>
      <c r="E1032" s="6"/>
      <c r="F1032" s="6"/>
      <c r="G1032" s="2"/>
      <c r="H1032" s="157"/>
      <c r="I1032" s="157"/>
      <c r="J1032" s="2"/>
      <c r="K1032" s="157"/>
      <c r="L1032" s="3"/>
      <c r="M1032" s="3"/>
      <c r="N1032" s="3"/>
      <c r="O1032" s="2"/>
      <c r="P1032" s="277"/>
    </row>
    <row r="1033" spans="1:16" ht="30" customHeight="1" x14ac:dyDescent="0.15">
      <c r="A1033" s="284" t="s">
        <v>8442</v>
      </c>
      <c r="B1033" s="157"/>
      <c r="C1033" s="157"/>
      <c r="D1033" s="157"/>
      <c r="E1033" s="6"/>
      <c r="F1033" s="6"/>
      <c r="G1033" s="2"/>
      <c r="H1033" s="157"/>
      <c r="I1033" s="157"/>
      <c r="J1033" s="2"/>
      <c r="K1033" s="157"/>
      <c r="L1033" s="3"/>
      <c r="M1033" s="3"/>
      <c r="N1033" s="3"/>
      <c r="O1033" s="2"/>
      <c r="P1033" s="277"/>
    </row>
    <row r="1034" spans="1:16" ht="30" customHeight="1" x14ac:dyDescent="0.15">
      <c r="A1034" s="284" t="s">
        <v>8443</v>
      </c>
      <c r="B1034" s="157"/>
      <c r="C1034" s="157"/>
      <c r="D1034" s="157"/>
      <c r="E1034" s="6"/>
      <c r="F1034" s="6"/>
      <c r="G1034" s="2"/>
      <c r="H1034" s="157"/>
      <c r="I1034" s="157"/>
      <c r="J1034" s="2"/>
      <c r="K1034" s="157"/>
      <c r="L1034" s="3"/>
      <c r="M1034" s="3"/>
      <c r="N1034" s="3"/>
      <c r="O1034" s="2"/>
      <c r="P1034" s="277"/>
    </row>
    <row r="1035" spans="1:16" ht="30" customHeight="1" x14ac:dyDescent="0.15">
      <c r="A1035" s="284" t="s">
        <v>8444</v>
      </c>
      <c r="B1035" s="157"/>
      <c r="C1035" s="157"/>
      <c r="D1035" s="157"/>
      <c r="E1035" s="6"/>
      <c r="F1035" s="6"/>
      <c r="G1035" s="2"/>
      <c r="H1035" s="157"/>
      <c r="I1035" s="157"/>
      <c r="J1035" s="2"/>
      <c r="K1035" s="157"/>
      <c r="L1035" s="3"/>
      <c r="M1035" s="3"/>
      <c r="N1035" s="3"/>
      <c r="O1035" s="2"/>
      <c r="P1035" s="277"/>
    </row>
    <row r="1036" spans="1:16" ht="30" customHeight="1" x14ac:dyDescent="0.15">
      <c r="A1036" s="284" t="s">
        <v>8445</v>
      </c>
      <c r="B1036" s="157"/>
      <c r="C1036" s="157"/>
      <c r="D1036" s="157"/>
      <c r="E1036" s="6"/>
      <c r="F1036" s="6"/>
      <c r="G1036" s="2"/>
      <c r="H1036" s="157"/>
      <c r="I1036" s="157"/>
      <c r="J1036" s="2"/>
      <c r="K1036" s="157"/>
      <c r="L1036" s="3"/>
      <c r="M1036" s="3"/>
      <c r="N1036" s="3"/>
      <c r="O1036" s="2"/>
      <c r="P1036" s="277"/>
    </row>
    <row r="1037" spans="1:16" ht="30" customHeight="1" x14ac:dyDescent="0.15">
      <c r="A1037" s="284" t="s">
        <v>8446</v>
      </c>
      <c r="B1037" s="157"/>
      <c r="C1037" s="157"/>
      <c r="D1037" s="157"/>
      <c r="E1037" s="6"/>
      <c r="F1037" s="6"/>
      <c r="G1037" s="2"/>
      <c r="H1037" s="157"/>
      <c r="I1037" s="157"/>
      <c r="J1037" s="2"/>
      <c r="K1037" s="157"/>
      <c r="L1037" s="3"/>
      <c r="M1037" s="3"/>
      <c r="N1037" s="3"/>
      <c r="O1037" s="2"/>
      <c r="P1037" s="277"/>
    </row>
    <row r="1038" spans="1:16" ht="30" customHeight="1" x14ac:dyDescent="0.15">
      <c r="A1038" s="284" t="s">
        <v>8447</v>
      </c>
      <c r="B1038" s="157"/>
      <c r="C1038" s="157"/>
      <c r="D1038" s="157"/>
      <c r="E1038" s="6"/>
      <c r="F1038" s="6"/>
      <c r="G1038" s="2"/>
      <c r="H1038" s="157"/>
      <c r="I1038" s="157"/>
      <c r="J1038" s="2"/>
      <c r="K1038" s="157"/>
      <c r="L1038" s="3"/>
      <c r="M1038" s="3"/>
      <c r="N1038" s="3"/>
      <c r="O1038" s="2"/>
      <c r="P1038" s="277"/>
    </row>
    <row r="1039" spans="1:16" ht="30" customHeight="1" x14ac:dyDescent="0.15">
      <c r="A1039" s="284" t="s">
        <v>8448</v>
      </c>
      <c r="B1039" s="157"/>
      <c r="C1039" s="157"/>
      <c r="D1039" s="157"/>
      <c r="E1039" s="6"/>
      <c r="F1039" s="6"/>
      <c r="G1039" s="2"/>
      <c r="H1039" s="157"/>
      <c r="I1039" s="157"/>
      <c r="J1039" s="2"/>
      <c r="K1039" s="157"/>
      <c r="L1039" s="3"/>
      <c r="M1039" s="3"/>
      <c r="N1039" s="3"/>
      <c r="O1039" s="2"/>
      <c r="P1039" s="277"/>
    </row>
    <row r="1040" spans="1:16" ht="30" customHeight="1" x14ac:dyDescent="0.15">
      <c r="A1040" s="284" t="s">
        <v>8449</v>
      </c>
      <c r="B1040" s="157"/>
      <c r="C1040" s="157"/>
      <c r="D1040" s="157"/>
      <c r="E1040" s="6"/>
      <c r="F1040" s="6"/>
      <c r="G1040" s="2"/>
      <c r="H1040" s="157"/>
      <c r="I1040" s="157"/>
      <c r="J1040" s="2"/>
      <c r="K1040" s="157"/>
      <c r="L1040" s="3"/>
      <c r="M1040" s="3"/>
      <c r="N1040" s="3"/>
      <c r="O1040" s="2"/>
      <c r="P1040" s="277"/>
    </row>
    <row r="1041" spans="1:16" ht="30" customHeight="1" x14ac:dyDescent="0.15">
      <c r="A1041" s="284" t="s">
        <v>8450</v>
      </c>
      <c r="B1041" s="157"/>
      <c r="C1041" s="157"/>
      <c r="D1041" s="157"/>
      <c r="E1041" s="6"/>
      <c r="F1041" s="6"/>
      <c r="G1041" s="2"/>
      <c r="H1041" s="157"/>
      <c r="I1041" s="157"/>
      <c r="J1041" s="2"/>
      <c r="K1041" s="157"/>
      <c r="L1041" s="3"/>
      <c r="M1041" s="3"/>
      <c r="N1041" s="3"/>
      <c r="O1041" s="2"/>
      <c r="P1041" s="277"/>
    </row>
    <row r="1042" spans="1:16" ht="30" customHeight="1" x14ac:dyDescent="0.15">
      <c r="A1042" s="284" t="s">
        <v>8451</v>
      </c>
      <c r="B1042" s="157"/>
      <c r="C1042" s="157"/>
      <c r="D1042" s="157"/>
      <c r="E1042" s="6"/>
      <c r="F1042" s="6"/>
      <c r="G1042" s="2"/>
      <c r="H1042" s="157"/>
      <c r="I1042" s="157"/>
      <c r="J1042" s="2"/>
      <c r="K1042" s="157"/>
      <c r="L1042" s="3"/>
      <c r="M1042" s="3"/>
      <c r="N1042" s="3"/>
      <c r="O1042" s="2"/>
      <c r="P1042" s="277"/>
    </row>
    <row r="1043" spans="1:16" ht="30" customHeight="1" x14ac:dyDescent="0.15">
      <c r="A1043" s="284" t="s">
        <v>8452</v>
      </c>
      <c r="B1043" s="157"/>
      <c r="C1043" s="157"/>
      <c r="D1043" s="157"/>
      <c r="E1043" s="6"/>
      <c r="F1043" s="6"/>
      <c r="G1043" s="2"/>
      <c r="H1043" s="157"/>
      <c r="I1043" s="157"/>
      <c r="J1043" s="2"/>
      <c r="K1043" s="157"/>
      <c r="L1043" s="3"/>
      <c r="M1043" s="3"/>
      <c r="N1043" s="3"/>
      <c r="O1043" s="2"/>
      <c r="P1043" s="277"/>
    </row>
    <row r="1044" spans="1:16" ht="30" customHeight="1" x14ac:dyDescent="0.15">
      <c r="A1044" s="284" t="s">
        <v>8453</v>
      </c>
      <c r="B1044" s="157"/>
      <c r="C1044" s="157"/>
      <c r="D1044" s="157"/>
      <c r="E1044" s="6"/>
      <c r="F1044" s="6"/>
      <c r="G1044" s="2"/>
      <c r="H1044" s="157"/>
      <c r="I1044" s="157"/>
      <c r="J1044" s="2"/>
      <c r="K1044" s="157"/>
      <c r="L1044" s="3"/>
      <c r="M1044" s="3"/>
      <c r="N1044" s="3"/>
      <c r="O1044" s="2"/>
      <c r="P1044" s="277"/>
    </row>
    <row r="1045" spans="1:16" ht="30" customHeight="1" x14ac:dyDescent="0.15">
      <c r="A1045" s="284" t="s">
        <v>8454</v>
      </c>
      <c r="B1045" s="157"/>
      <c r="C1045" s="157"/>
      <c r="D1045" s="157"/>
      <c r="E1045" s="6"/>
      <c r="F1045" s="6"/>
      <c r="G1045" s="2"/>
      <c r="H1045" s="157"/>
      <c r="I1045" s="157"/>
      <c r="J1045" s="2"/>
      <c r="K1045" s="157"/>
      <c r="L1045" s="3"/>
      <c r="M1045" s="3"/>
      <c r="N1045" s="3"/>
      <c r="O1045" s="2"/>
      <c r="P1045" s="277"/>
    </row>
    <row r="1046" spans="1:16" ht="30" customHeight="1" x14ac:dyDescent="0.15">
      <c r="A1046" s="284" t="s">
        <v>8455</v>
      </c>
      <c r="B1046" s="157"/>
      <c r="C1046" s="157"/>
      <c r="D1046" s="157"/>
      <c r="E1046" s="6"/>
      <c r="F1046" s="6"/>
      <c r="G1046" s="2"/>
      <c r="H1046" s="157"/>
      <c r="I1046" s="157"/>
      <c r="J1046" s="2"/>
      <c r="K1046" s="157"/>
      <c r="L1046" s="3"/>
      <c r="M1046" s="3"/>
      <c r="N1046" s="3"/>
      <c r="O1046" s="2"/>
      <c r="P1046" s="277"/>
    </row>
    <row r="1047" spans="1:16" ht="30" customHeight="1" x14ac:dyDescent="0.15">
      <c r="A1047" s="284" t="s">
        <v>8456</v>
      </c>
      <c r="B1047" s="157"/>
      <c r="C1047" s="157"/>
      <c r="D1047" s="157"/>
      <c r="E1047" s="6"/>
      <c r="F1047" s="6"/>
      <c r="G1047" s="2"/>
      <c r="H1047" s="157"/>
      <c r="I1047" s="157"/>
      <c r="J1047" s="2"/>
      <c r="K1047" s="157"/>
      <c r="L1047" s="3"/>
      <c r="M1047" s="3"/>
      <c r="N1047" s="3"/>
      <c r="O1047" s="2"/>
      <c r="P1047" s="277"/>
    </row>
    <row r="1048" spans="1:16" ht="30" customHeight="1" x14ac:dyDescent="0.15">
      <c r="A1048" s="284" t="s">
        <v>8457</v>
      </c>
      <c r="B1048" s="157"/>
      <c r="C1048" s="157"/>
      <c r="D1048" s="157"/>
      <c r="E1048" s="6"/>
      <c r="F1048" s="6"/>
      <c r="G1048" s="2"/>
      <c r="H1048" s="157"/>
      <c r="I1048" s="157"/>
      <c r="J1048" s="2"/>
      <c r="K1048" s="157"/>
      <c r="L1048" s="3"/>
      <c r="M1048" s="3"/>
      <c r="N1048" s="3"/>
      <c r="O1048" s="2"/>
      <c r="P1048" s="277"/>
    </row>
    <row r="1049" spans="1:16" ht="30" customHeight="1" x14ac:dyDescent="0.15">
      <c r="A1049" s="284" t="s">
        <v>8458</v>
      </c>
      <c r="B1049" s="157"/>
      <c r="C1049" s="157"/>
      <c r="D1049" s="157"/>
      <c r="E1049" s="6"/>
      <c r="F1049" s="6"/>
      <c r="G1049" s="2"/>
      <c r="H1049" s="157"/>
      <c r="I1049" s="157"/>
      <c r="J1049" s="2"/>
      <c r="K1049" s="157"/>
      <c r="L1049" s="3"/>
      <c r="M1049" s="3"/>
      <c r="N1049" s="3"/>
      <c r="O1049" s="2"/>
      <c r="P1049" s="277"/>
    </row>
    <row r="1050" spans="1:16" ht="30" customHeight="1" x14ac:dyDescent="0.15">
      <c r="A1050" s="284" t="s">
        <v>8459</v>
      </c>
      <c r="B1050" s="157"/>
      <c r="C1050" s="157"/>
      <c r="D1050" s="157"/>
      <c r="E1050" s="6"/>
      <c r="F1050" s="6"/>
      <c r="G1050" s="2"/>
      <c r="H1050" s="157"/>
      <c r="I1050" s="157"/>
      <c r="J1050" s="2"/>
      <c r="K1050" s="157"/>
      <c r="L1050" s="3"/>
      <c r="M1050" s="3"/>
      <c r="N1050" s="3"/>
      <c r="O1050" s="2"/>
      <c r="P1050" s="277"/>
    </row>
    <row r="1051" spans="1:16" ht="30" customHeight="1" x14ac:dyDescent="0.15">
      <c r="A1051" s="284" t="s">
        <v>8460</v>
      </c>
      <c r="B1051" s="157"/>
      <c r="C1051" s="157"/>
      <c r="D1051" s="157"/>
      <c r="E1051" s="6"/>
      <c r="F1051" s="6"/>
      <c r="G1051" s="2"/>
      <c r="H1051" s="157"/>
      <c r="I1051" s="157"/>
      <c r="J1051" s="2"/>
      <c r="K1051" s="157"/>
      <c r="L1051" s="3"/>
      <c r="M1051" s="3"/>
      <c r="N1051" s="3"/>
      <c r="O1051" s="2"/>
      <c r="P1051" s="277"/>
    </row>
    <row r="1052" spans="1:16" ht="30" customHeight="1" x14ac:dyDescent="0.15">
      <c r="A1052" s="284" t="s">
        <v>8461</v>
      </c>
      <c r="B1052" s="157"/>
      <c r="C1052" s="157"/>
      <c r="D1052" s="157"/>
      <c r="E1052" s="6"/>
      <c r="F1052" s="6"/>
      <c r="G1052" s="2"/>
      <c r="H1052" s="157"/>
      <c r="I1052" s="157"/>
      <c r="J1052" s="2"/>
      <c r="K1052" s="157"/>
      <c r="L1052" s="3"/>
      <c r="M1052" s="3"/>
      <c r="N1052" s="3"/>
      <c r="O1052" s="2"/>
      <c r="P1052" s="277"/>
    </row>
    <row r="1053" spans="1:16" ht="30" customHeight="1" x14ac:dyDescent="0.15">
      <c r="A1053" s="284" t="s">
        <v>8462</v>
      </c>
      <c r="B1053" s="157"/>
      <c r="C1053" s="157"/>
      <c r="D1053" s="157"/>
      <c r="E1053" s="6"/>
      <c r="F1053" s="6"/>
      <c r="G1053" s="2"/>
      <c r="H1053" s="157"/>
      <c r="I1053" s="157"/>
      <c r="J1053" s="2"/>
      <c r="K1053" s="157"/>
      <c r="L1053" s="3"/>
      <c r="M1053" s="3"/>
      <c r="N1053" s="3"/>
      <c r="O1053" s="2"/>
      <c r="P1053" s="277"/>
    </row>
    <row r="1054" spans="1:16" ht="30" customHeight="1" x14ac:dyDescent="0.15">
      <c r="A1054" s="284" t="s">
        <v>8463</v>
      </c>
      <c r="B1054" s="157"/>
      <c r="C1054" s="157"/>
      <c r="D1054" s="157"/>
      <c r="E1054" s="6"/>
      <c r="F1054" s="6"/>
      <c r="G1054" s="2"/>
      <c r="H1054" s="157"/>
      <c r="I1054" s="157"/>
      <c r="J1054" s="2"/>
      <c r="K1054" s="157"/>
      <c r="L1054" s="3"/>
      <c r="M1054" s="3"/>
      <c r="N1054" s="3"/>
      <c r="O1054" s="2"/>
      <c r="P1054" s="277"/>
    </row>
    <row r="1055" spans="1:16" ht="30" customHeight="1" x14ac:dyDescent="0.15">
      <c r="A1055" s="284" t="s">
        <v>8464</v>
      </c>
      <c r="B1055" s="157"/>
      <c r="C1055" s="157"/>
      <c r="D1055" s="157"/>
      <c r="E1055" s="6"/>
      <c r="F1055" s="6"/>
      <c r="G1055" s="2"/>
      <c r="H1055" s="157"/>
      <c r="I1055" s="157"/>
      <c r="J1055" s="2"/>
      <c r="K1055" s="157"/>
      <c r="L1055" s="3"/>
      <c r="M1055" s="3"/>
      <c r="N1055" s="3"/>
      <c r="O1055" s="2"/>
      <c r="P1055" s="277"/>
    </row>
    <row r="1056" spans="1:16" ht="30" customHeight="1" x14ac:dyDescent="0.15">
      <c r="A1056" s="284" t="s">
        <v>8465</v>
      </c>
      <c r="B1056" s="157"/>
      <c r="C1056" s="157"/>
      <c r="D1056" s="157"/>
      <c r="E1056" s="6"/>
      <c r="F1056" s="6"/>
      <c r="G1056" s="2"/>
      <c r="H1056" s="157"/>
      <c r="I1056" s="157"/>
      <c r="J1056" s="2"/>
      <c r="K1056" s="157"/>
      <c r="L1056" s="3"/>
      <c r="M1056" s="3"/>
      <c r="N1056" s="3"/>
      <c r="O1056" s="2"/>
      <c r="P1056" s="277"/>
    </row>
    <row r="1057" spans="1:16" ht="30" customHeight="1" x14ac:dyDescent="0.15">
      <c r="A1057" s="284" t="s">
        <v>8466</v>
      </c>
      <c r="B1057" s="157"/>
      <c r="C1057" s="157"/>
      <c r="D1057" s="157"/>
      <c r="E1057" s="6"/>
      <c r="F1057" s="6"/>
      <c r="G1057" s="2"/>
      <c r="H1057" s="157"/>
      <c r="I1057" s="157"/>
      <c r="J1057" s="2"/>
      <c r="K1057" s="157"/>
      <c r="L1057" s="3"/>
      <c r="M1057" s="3"/>
      <c r="N1057" s="3"/>
      <c r="O1057" s="2"/>
      <c r="P1057" s="277"/>
    </row>
    <row r="1058" spans="1:16" ht="30" customHeight="1" x14ac:dyDescent="0.15">
      <c r="A1058" s="284" t="s">
        <v>8467</v>
      </c>
      <c r="B1058" s="157"/>
      <c r="C1058" s="157"/>
      <c r="D1058" s="157"/>
      <c r="E1058" s="6"/>
      <c r="F1058" s="6"/>
      <c r="G1058" s="2"/>
      <c r="H1058" s="157"/>
      <c r="I1058" s="157"/>
      <c r="J1058" s="2"/>
      <c r="K1058" s="157"/>
      <c r="L1058" s="3"/>
      <c r="M1058" s="3"/>
      <c r="N1058" s="3"/>
      <c r="O1058" s="2"/>
      <c r="P1058" s="277"/>
    </row>
    <row r="1059" spans="1:16" ht="30" customHeight="1" x14ac:dyDescent="0.15">
      <c r="A1059" s="284" t="s">
        <v>8468</v>
      </c>
      <c r="B1059" s="157"/>
      <c r="C1059" s="157"/>
      <c r="D1059" s="157"/>
      <c r="E1059" s="6"/>
      <c r="F1059" s="6"/>
      <c r="G1059" s="2"/>
      <c r="H1059" s="157"/>
      <c r="I1059" s="157"/>
      <c r="J1059" s="2"/>
      <c r="K1059" s="157"/>
      <c r="L1059" s="3"/>
      <c r="M1059" s="3"/>
      <c r="N1059" s="3"/>
      <c r="O1059" s="2"/>
      <c r="P1059" s="277"/>
    </row>
    <row r="1060" spans="1:16" ht="30" customHeight="1" x14ac:dyDescent="0.15">
      <c r="A1060" s="284" t="s">
        <v>8469</v>
      </c>
      <c r="B1060" s="157"/>
      <c r="C1060" s="157"/>
      <c r="D1060" s="157"/>
      <c r="E1060" s="6"/>
      <c r="F1060" s="6"/>
      <c r="G1060" s="2"/>
      <c r="H1060" s="157"/>
      <c r="I1060" s="157"/>
      <c r="J1060" s="2"/>
      <c r="K1060" s="157"/>
      <c r="L1060" s="3"/>
      <c r="M1060" s="3"/>
      <c r="N1060" s="3"/>
      <c r="O1060" s="2"/>
      <c r="P1060" s="277"/>
    </row>
    <row r="1061" spans="1:16" ht="30" customHeight="1" x14ac:dyDescent="0.15">
      <c r="A1061" s="284" t="s">
        <v>8470</v>
      </c>
      <c r="B1061" s="157"/>
      <c r="C1061" s="157"/>
      <c r="D1061" s="157"/>
      <c r="E1061" s="6"/>
      <c r="F1061" s="6"/>
      <c r="G1061" s="2"/>
      <c r="H1061" s="157"/>
      <c r="I1061" s="157"/>
      <c r="J1061" s="2"/>
      <c r="K1061" s="157"/>
      <c r="L1061" s="3"/>
      <c r="M1061" s="3"/>
      <c r="N1061" s="3"/>
      <c r="O1061" s="2"/>
      <c r="P1061" s="277"/>
    </row>
    <row r="1062" spans="1:16" ht="30" customHeight="1" x14ac:dyDescent="0.15">
      <c r="A1062" s="284" t="s">
        <v>8471</v>
      </c>
      <c r="B1062" s="157"/>
      <c r="C1062" s="157"/>
      <c r="D1062" s="157"/>
      <c r="E1062" s="6"/>
      <c r="F1062" s="6"/>
      <c r="G1062" s="2"/>
      <c r="H1062" s="157"/>
      <c r="I1062" s="157"/>
      <c r="J1062" s="2"/>
      <c r="K1062" s="157"/>
      <c r="L1062" s="3"/>
      <c r="M1062" s="3"/>
      <c r="N1062" s="3"/>
      <c r="O1062" s="2"/>
      <c r="P1062" s="277"/>
    </row>
    <row r="1063" spans="1:16" ht="30" customHeight="1" x14ac:dyDescent="0.15">
      <c r="A1063" s="284" t="s">
        <v>8472</v>
      </c>
      <c r="B1063" s="157"/>
      <c r="C1063" s="157"/>
      <c r="D1063" s="157"/>
      <c r="E1063" s="6"/>
      <c r="F1063" s="6"/>
      <c r="G1063" s="2"/>
      <c r="H1063" s="157"/>
      <c r="I1063" s="157"/>
      <c r="J1063" s="2"/>
      <c r="K1063" s="157"/>
      <c r="L1063" s="3"/>
      <c r="M1063" s="3"/>
      <c r="N1063" s="3"/>
      <c r="O1063" s="2"/>
      <c r="P1063" s="277"/>
    </row>
    <row r="1064" spans="1:16" ht="30" customHeight="1" x14ac:dyDescent="0.15">
      <c r="A1064" s="284" t="s">
        <v>8473</v>
      </c>
      <c r="B1064" s="157"/>
      <c r="C1064" s="157"/>
      <c r="D1064" s="157"/>
      <c r="E1064" s="6"/>
      <c r="F1064" s="6"/>
      <c r="G1064" s="2"/>
      <c r="H1064" s="157"/>
      <c r="I1064" s="157"/>
      <c r="J1064" s="2"/>
      <c r="K1064" s="157"/>
      <c r="L1064" s="3"/>
      <c r="M1064" s="3"/>
      <c r="N1064" s="3"/>
      <c r="O1064" s="2"/>
      <c r="P1064" s="277"/>
    </row>
    <row r="1065" spans="1:16" ht="30" customHeight="1" x14ac:dyDescent="0.15">
      <c r="A1065" s="284" t="s">
        <v>8474</v>
      </c>
      <c r="B1065" s="157"/>
      <c r="C1065" s="157"/>
      <c r="D1065" s="157"/>
      <c r="E1065" s="6"/>
      <c r="F1065" s="6"/>
      <c r="G1065" s="2"/>
      <c r="H1065" s="157"/>
      <c r="I1065" s="157"/>
      <c r="J1065" s="2"/>
      <c r="K1065" s="157"/>
      <c r="L1065" s="3"/>
      <c r="M1065" s="3"/>
      <c r="N1065" s="3"/>
      <c r="O1065" s="2"/>
      <c r="P1065" s="277"/>
    </row>
    <row r="1066" spans="1:16" ht="30" customHeight="1" x14ac:dyDescent="0.15">
      <c r="A1066" s="284" t="s">
        <v>8475</v>
      </c>
      <c r="B1066" s="157"/>
      <c r="C1066" s="157"/>
      <c r="D1066" s="157"/>
      <c r="E1066" s="6"/>
      <c r="F1066" s="6"/>
      <c r="G1066" s="2"/>
      <c r="H1066" s="157"/>
      <c r="I1066" s="157"/>
      <c r="J1066" s="2"/>
      <c r="K1066" s="157"/>
      <c r="L1066" s="3"/>
      <c r="M1066" s="3"/>
      <c r="N1066" s="3"/>
      <c r="O1066" s="2"/>
      <c r="P1066" s="277"/>
    </row>
    <row r="1067" spans="1:16" ht="30" customHeight="1" x14ac:dyDescent="0.15">
      <c r="A1067" s="284" t="s">
        <v>8476</v>
      </c>
      <c r="B1067" s="157"/>
      <c r="C1067" s="157"/>
      <c r="D1067" s="157"/>
      <c r="E1067" s="6"/>
      <c r="F1067" s="6"/>
      <c r="G1067" s="2"/>
      <c r="H1067" s="157"/>
      <c r="I1067" s="157"/>
      <c r="J1067" s="2"/>
      <c r="K1067" s="157"/>
      <c r="L1067" s="3"/>
      <c r="M1067" s="3"/>
      <c r="N1067" s="3"/>
      <c r="O1067" s="2"/>
      <c r="P1067" s="277"/>
    </row>
    <row r="1068" spans="1:16" ht="30" customHeight="1" x14ac:dyDescent="0.15">
      <c r="A1068" s="284" t="s">
        <v>8477</v>
      </c>
      <c r="B1068" s="157"/>
      <c r="C1068" s="157"/>
      <c r="D1068" s="157"/>
      <c r="E1068" s="6"/>
      <c r="F1068" s="6"/>
      <c r="G1068" s="2"/>
      <c r="H1068" s="157"/>
      <c r="I1068" s="157"/>
      <c r="J1068" s="2"/>
      <c r="K1068" s="157"/>
      <c r="L1068" s="3"/>
      <c r="M1068" s="3"/>
      <c r="N1068" s="3"/>
      <c r="O1068" s="2"/>
      <c r="P1068" s="277"/>
    </row>
    <row r="1069" spans="1:16" ht="30" customHeight="1" x14ac:dyDescent="0.15">
      <c r="A1069" s="284" t="s">
        <v>8478</v>
      </c>
      <c r="B1069" s="157"/>
      <c r="C1069" s="157"/>
      <c r="D1069" s="157"/>
      <c r="E1069" s="6"/>
      <c r="F1069" s="6"/>
      <c r="G1069" s="2"/>
      <c r="H1069" s="157"/>
      <c r="I1069" s="157"/>
      <c r="J1069" s="2"/>
      <c r="K1069" s="157"/>
      <c r="L1069" s="3"/>
      <c r="M1069" s="3"/>
      <c r="N1069" s="3"/>
      <c r="O1069" s="2"/>
      <c r="P1069" s="277"/>
    </row>
    <row r="1070" spans="1:16" ht="30" customHeight="1" x14ac:dyDescent="0.15">
      <c r="A1070" s="284" t="s">
        <v>8479</v>
      </c>
      <c r="B1070" s="157"/>
      <c r="C1070" s="157"/>
      <c r="D1070" s="157"/>
      <c r="E1070" s="6"/>
      <c r="F1070" s="6"/>
      <c r="G1070" s="2"/>
      <c r="H1070" s="157"/>
      <c r="I1070" s="157"/>
      <c r="J1070" s="2"/>
      <c r="K1070" s="157"/>
      <c r="L1070" s="3"/>
      <c r="M1070" s="3"/>
      <c r="N1070" s="3"/>
      <c r="O1070" s="2"/>
      <c r="P1070" s="277"/>
    </row>
    <row r="1071" spans="1:16" ht="30" customHeight="1" x14ac:dyDescent="0.15">
      <c r="A1071" s="284" t="s">
        <v>8480</v>
      </c>
      <c r="B1071" s="157"/>
      <c r="C1071" s="157"/>
      <c r="D1071" s="157"/>
      <c r="E1071" s="6"/>
      <c r="F1071" s="6"/>
      <c r="G1071" s="2"/>
      <c r="H1071" s="157"/>
      <c r="I1071" s="157"/>
      <c r="J1071" s="2"/>
      <c r="K1071" s="157"/>
      <c r="L1071" s="3"/>
      <c r="M1071" s="3"/>
      <c r="N1071" s="3"/>
      <c r="O1071" s="2"/>
      <c r="P1071" s="277"/>
    </row>
    <row r="1072" spans="1:16" ht="30" customHeight="1" x14ac:dyDescent="0.15">
      <c r="A1072" s="284" t="s">
        <v>8481</v>
      </c>
      <c r="B1072" s="157"/>
      <c r="C1072" s="157"/>
      <c r="D1072" s="157"/>
      <c r="E1072" s="6"/>
      <c r="F1072" s="6"/>
      <c r="G1072" s="2"/>
      <c r="H1072" s="157"/>
      <c r="I1072" s="157"/>
      <c r="J1072" s="2"/>
      <c r="K1072" s="157"/>
      <c r="L1072" s="3"/>
      <c r="M1072" s="3"/>
      <c r="N1072" s="3"/>
      <c r="O1072" s="2"/>
      <c r="P1072" s="277"/>
    </row>
    <row r="1073" spans="1:16" ht="30" customHeight="1" x14ac:dyDescent="0.15">
      <c r="A1073" s="284" t="s">
        <v>8482</v>
      </c>
      <c r="B1073" s="157"/>
      <c r="C1073" s="157"/>
      <c r="D1073" s="157"/>
      <c r="E1073" s="6"/>
      <c r="F1073" s="6"/>
      <c r="G1073" s="2"/>
      <c r="H1073" s="157"/>
      <c r="I1073" s="157"/>
      <c r="J1073" s="2"/>
      <c r="K1073" s="157"/>
      <c r="L1073" s="3"/>
      <c r="M1073" s="3"/>
      <c r="N1073" s="3"/>
      <c r="O1073" s="2"/>
      <c r="P1073" s="277"/>
    </row>
    <row r="1074" spans="1:16" ht="30" customHeight="1" x14ac:dyDescent="0.15">
      <c r="A1074" s="284" t="s">
        <v>8483</v>
      </c>
      <c r="B1074" s="157"/>
      <c r="C1074" s="157"/>
      <c r="D1074" s="157"/>
      <c r="E1074" s="6"/>
      <c r="F1074" s="6"/>
      <c r="G1074" s="2"/>
      <c r="H1074" s="157"/>
      <c r="I1074" s="157"/>
      <c r="J1074" s="2"/>
      <c r="K1074" s="157"/>
      <c r="L1074" s="3"/>
      <c r="M1074" s="3"/>
      <c r="N1074" s="3"/>
      <c r="O1074" s="2"/>
      <c r="P1074" s="277"/>
    </row>
    <row r="1075" spans="1:16" ht="30" customHeight="1" x14ac:dyDescent="0.15">
      <c r="A1075" s="284" t="s">
        <v>8484</v>
      </c>
      <c r="B1075" s="157"/>
      <c r="C1075" s="157"/>
      <c r="D1075" s="157"/>
      <c r="E1075" s="6"/>
      <c r="F1075" s="6"/>
      <c r="G1075" s="2"/>
      <c r="H1075" s="157"/>
      <c r="I1075" s="157"/>
      <c r="J1075" s="2"/>
      <c r="K1075" s="157"/>
      <c r="L1075" s="3"/>
      <c r="M1075" s="3"/>
      <c r="N1075" s="3"/>
      <c r="O1075" s="2"/>
      <c r="P1075" s="277"/>
    </row>
    <row r="1076" spans="1:16" ht="30" customHeight="1" x14ac:dyDescent="0.15">
      <c r="A1076" s="284" t="s">
        <v>8485</v>
      </c>
      <c r="B1076" s="157"/>
      <c r="C1076" s="157"/>
      <c r="D1076" s="157"/>
      <c r="E1076" s="6"/>
      <c r="F1076" s="6"/>
      <c r="G1076" s="2"/>
      <c r="H1076" s="157"/>
      <c r="I1076" s="157"/>
      <c r="J1076" s="2"/>
      <c r="K1076" s="157"/>
      <c r="L1076" s="3"/>
      <c r="M1076" s="3"/>
      <c r="N1076" s="3"/>
      <c r="O1076" s="2"/>
      <c r="P1076" s="277"/>
    </row>
    <row r="1077" spans="1:16" ht="30" customHeight="1" x14ac:dyDescent="0.15">
      <c r="A1077" s="284" t="s">
        <v>8486</v>
      </c>
      <c r="B1077" s="157"/>
      <c r="C1077" s="157"/>
      <c r="D1077" s="157"/>
      <c r="E1077" s="6"/>
      <c r="F1077" s="6"/>
      <c r="G1077" s="2"/>
      <c r="H1077" s="157"/>
      <c r="I1077" s="157"/>
      <c r="J1077" s="2"/>
      <c r="K1077" s="157"/>
      <c r="L1077" s="3"/>
      <c r="M1077" s="3"/>
      <c r="N1077" s="3"/>
      <c r="O1077" s="2"/>
      <c r="P1077" s="277"/>
    </row>
    <row r="1078" spans="1:16" ht="30" customHeight="1" x14ac:dyDescent="0.15">
      <c r="A1078" s="284" t="s">
        <v>8487</v>
      </c>
      <c r="B1078" s="157"/>
      <c r="C1078" s="157"/>
      <c r="D1078" s="157"/>
      <c r="E1078" s="6"/>
      <c r="F1078" s="6"/>
      <c r="G1078" s="2"/>
      <c r="H1078" s="157"/>
      <c r="I1078" s="157"/>
      <c r="J1078" s="2"/>
      <c r="K1078" s="157"/>
      <c r="L1078" s="3"/>
      <c r="M1078" s="3"/>
      <c r="N1078" s="3"/>
      <c r="O1078" s="2"/>
      <c r="P1078" s="277"/>
    </row>
    <row r="1079" spans="1:16" ht="30" customHeight="1" x14ac:dyDescent="0.15">
      <c r="A1079" s="284" t="s">
        <v>8488</v>
      </c>
      <c r="B1079" s="157"/>
      <c r="C1079" s="157"/>
      <c r="D1079" s="157"/>
      <c r="E1079" s="6"/>
      <c r="F1079" s="6"/>
      <c r="G1079" s="2"/>
      <c r="H1079" s="157"/>
      <c r="I1079" s="157"/>
      <c r="J1079" s="2"/>
      <c r="K1079" s="157"/>
      <c r="L1079" s="3"/>
      <c r="M1079" s="3"/>
      <c r="N1079" s="3"/>
      <c r="O1079" s="2"/>
      <c r="P1079" s="277"/>
    </row>
    <row r="1080" spans="1:16" ht="30" customHeight="1" x14ac:dyDescent="0.15">
      <c r="A1080" s="284" t="s">
        <v>8489</v>
      </c>
      <c r="B1080" s="157"/>
      <c r="C1080" s="157"/>
      <c r="D1080" s="157"/>
      <c r="E1080" s="6"/>
      <c r="F1080" s="6"/>
      <c r="G1080" s="2"/>
      <c r="H1080" s="157"/>
      <c r="I1080" s="157"/>
      <c r="J1080" s="2"/>
      <c r="K1080" s="157"/>
      <c r="L1080" s="3"/>
      <c r="M1080" s="3"/>
      <c r="N1080" s="3"/>
      <c r="O1080" s="2"/>
      <c r="P1080" s="277"/>
    </row>
    <row r="1081" spans="1:16" ht="30" customHeight="1" x14ac:dyDescent="0.15">
      <c r="A1081" s="284" t="s">
        <v>8490</v>
      </c>
      <c r="B1081" s="157"/>
      <c r="C1081" s="157"/>
      <c r="D1081" s="157"/>
      <c r="E1081" s="6"/>
      <c r="F1081" s="6"/>
      <c r="G1081" s="2"/>
      <c r="H1081" s="157"/>
      <c r="I1081" s="157"/>
      <c r="J1081" s="2"/>
      <c r="K1081" s="157"/>
      <c r="L1081" s="3"/>
      <c r="M1081" s="3"/>
      <c r="N1081" s="3"/>
      <c r="O1081" s="2"/>
      <c r="P1081" s="277"/>
    </row>
    <row r="1082" spans="1:16" ht="30" customHeight="1" x14ac:dyDescent="0.15">
      <c r="A1082" s="284" t="s">
        <v>8491</v>
      </c>
      <c r="B1082" s="157"/>
      <c r="C1082" s="157"/>
      <c r="D1082" s="157"/>
      <c r="E1082" s="6"/>
      <c r="F1082" s="6"/>
      <c r="G1082" s="2"/>
      <c r="H1082" s="157"/>
      <c r="I1082" s="157"/>
      <c r="J1082" s="2"/>
      <c r="K1082" s="157"/>
      <c r="L1082" s="3"/>
      <c r="M1082" s="3"/>
      <c r="N1082" s="3"/>
      <c r="O1082" s="2"/>
      <c r="P1082" s="277"/>
    </row>
    <row r="1083" spans="1:16" ht="30" customHeight="1" x14ac:dyDescent="0.15">
      <c r="A1083" s="284" t="s">
        <v>8492</v>
      </c>
      <c r="B1083" s="157"/>
      <c r="C1083" s="157"/>
      <c r="D1083" s="157"/>
      <c r="E1083" s="6"/>
      <c r="F1083" s="6"/>
      <c r="G1083" s="2"/>
      <c r="H1083" s="157"/>
      <c r="I1083" s="157"/>
      <c r="J1083" s="2"/>
      <c r="K1083" s="157"/>
      <c r="L1083" s="3"/>
      <c r="M1083" s="3"/>
      <c r="N1083" s="3"/>
      <c r="O1083" s="2"/>
      <c r="P1083" s="277"/>
    </row>
    <row r="1084" spans="1:16" ht="30" customHeight="1" x14ac:dyDescent="0.15">
      <c r="A1084" s="284" t="s">
        <v>8493</v>
      </c>
      <c r="B1084" s="157"/>
      <c r="C1084" s="157"/>
      <c r="D1084" s="157"/>
      <c r="E1084" s="6"/>
      <c r="F1084" s="6"/>
      <c r="G1084" s="2"/>
      <c r="H1084" s="157"/>
      <c r="I1084" s="157"/>
      <c r="J1084" s="2"/>
      <c r="K1084" s="157"/>
      <c r="L1084" s="3"/>
      <c r="M1084" s="3"/>
      <c r="N1084" s="3"/>
      <c r="O1084" s="2"/>
      <c r="P1084" s="277"/>
    </row>
    <row r="1085" spans="1:16" ht="30" customHeight="1" x14ac:dyDescent="0.15">
      <c r="A1085" s="284" t="s">
        <v>8494</v>
      </c>
      <c r="B1085" s="157"/>
      <c r="C1085" s="157"/>
      <c r="D1085" s="157"/>
      <c r="E1085" s="6"/>
      <c r="F1085" s="6"/>
      <c r="G1085" s="2"/>
      <c r="H1085" s="157"/>
      <c r="I1085" s="157"/>
      <c r="J1085" s="2"/>
      <c r="K1085" s="157"/>
      <c r="L1085" s="3"/>
      <c r="M1085" s="3"/>
      <c r="N1085" s="3"/>
      <c r="O1085" s="2"/>
      <c r="P1085" s="277"/>
    </row>
    <row r="1086" spans="1:16" ht="30" customHeight="1" x14ac:dyDescent="0.15">
      <c r="A1086" s="284" t="s">
        <v>8495</v>
      </c>
      <c r="B1086" s="157"/>
      <c r="C1086" s="157"/>
      <c r="D1086" s="157"/>
      <c r="E1086" s="6"/>
      <c r="F1086" s="6"/>
      <c r="G1086" s="2"/>
      <c r="H1086" s="157"/>
      <c r="I1086" s="157"/>
      <c r="J1086" s="2"/>
      <c r="K1086" s="157"/>
      <c r="L1086" s="3"/>
      <c r="M1086" s="3"/>
      <c r="N1086" s="3"/>
      <c r="O1086" s="2"/>
      <c r="P1086" s="277"/>
    </row>
    <row r="1087" spans="1:16" ht="30" customHeight="1" x14ac:dyDescent="0.15">
      <c r="A1087" s="284" t="s">
        <v>8496</v>
      </c>
      <c r="B1087" s="157"/>
      <c r="C1087" s="157"/>
      <c r="D1087" s="157"/>
      <c r="E1087" s="6"/>
      <c r="F1087" s="6"/>
      <c r="G1087" s="2"/>
      <c r="H1087" s="157"/>
      <c r="I1087" s="157"/>
      <c r="J1087" s="2"/>
      <c r="K1087" s="157"/>
      <c r="L1087" s="3"/>
      <c r="M1087" s="3"/>
      <c r="N1087" s="3"/>
      <c r="O1087" s="2"/>
      <c r="P1087" s="277"/>
    </row>
    <row r="1088" spans="1:16" ht="30" customHeight="1" x14ac:dyDescent="0.15">
      <c r="A1088" s="284" t="s">
        <v>8497</v>
      </c>
      <c r="B1088" s="157"/>
      <c r="C1088" s="157"/>
      <c r="D1088" s="157"/>
      <c r="E1088" s="6"/>
      <c r="F1088" s="6"/>
      <c r="G1088" s="2"/>
      <c r="H1088" s="157"/>
      <c r="I1088" s="157"/>
      <c r="J1088" s="2"/>
      <c r="K1088" s="157"/>
      <c r="L1088" s="3"/>
      <c r="M1088" s="3"/>
      <c r="N1088" s="3"/>
      <c r="O1088" s="2"/>
      <c r="P1088" s="277"/>
    </row>
    <row r="1089" spans="1:16" ht="30" customHeight="1" x14ac:dyDescent="0.15">
      <c r="A1089" s="284" t="s">
        <v>8498</v>
      </c>
      <c r="B1089" s="157"/>
      <c r="C1089" s="157"/>
      <c r="D1089" s="157"/>
      <c r="E1089" s="6"/>
      <c r="F1089" s="6"/>
      <c r="G1089" s="2"/>
      <c r="H1089" s="157"/>
      <c r="I1089" s="157"/>
      <c r="J1089" s="2"/>
      <c r="K1089" s="157"/>
      <c r="L1089" s="3"/>
      <c r="M1089" s="3"/>
      <c r="N1089" s="3"/>
      <c r="O1089" s="2"/>
      <c r="P1089" s="277"/>
    </row>
    <row r="1090" spans="1:16" ht="30" customHeight="1" x14ac:dyDescent="0.15">
      <c r="A1090" s="284" t="s">
        <v>8499</v>
      </c>
      <c r="B1090" s="157"/>
      <c r="C1090" s="157"/>
      <c r="D1090" s="157"/>
      <c r="E1090" s="6"/>
      <c r="F1090" s="6"/>
      <c r="G1090" s="2"/>
      <c r="H1090" s="157"/>
      <c r="I1090" s="157"/>
      <c r="J1090" s="2"/>
      <c r="K1090" s="157"/>
      <c r="L1090" s="3"/>
      <c r="M1090" s="3"/>
      <c r="N1090" s="3"/>
      <c r="O1090" s="2"/>
      <c r="P1090" s="277"/>
    </row>
    <row r="1091" spans="1:16" ht="30" customHeight="1" x14ac:dyDescent="0.15">
      <c r="A1091" s="284" t="s">
        <v>8500</v>
      </c>
      <c r="B1091" s="157"/>
      <c r="C1091" s="157"/>
      <c r="D1091" s="157"/>
      <c r="E1091" s="6"/>
      <c r="F1091" s="6"/>
      <c r="G1091" s="2"/>
      <c r="H1091" s="157"/>
      <c r="I1091" s="157"/>
      <c r="J1091" s="2"/>
      <c r="K1091" s="157"/>
      <c r="L1091" s="3"/>
      <c r="M1091" s="3"/>
      <c r="N1091" s="3"/>
      <c r="O1091" s="2"/>
      <c r="P1091" s="277"/>
    </row>
    <row r="1092" spans="1:16" ht="30" customHeight="1" x14ac:dyDescent="0.15">
      <c r="A1092" s="284" t="s">
        <v>8501</v>
      </c>
      <c r="B1092" s="157"/>
      <c r="C1092" s="157"/>
      <c r="D1092" s="157"/>
      <c r="E1092" s="6"/>
      <c r="F1092" s="6"/>
      <c r="G1092" s="2"/>
      <c r="H1092" s="157"/>
      <c r="I1092" s="157"/>
      <c r="J1092" s="2"/>
      <c r="K1092" s="157"/>
      <c r="L1092" s="3"/>
      <c r="M1092" s="3"/>
      <c r="N1092" s="3"/>
      <c r="O1092" s="2"/>
      <c r="P1092" s="277"/>
    </row>
    <row r="1093" spans="1:16" ht="30" customHeight="1" x14ac:dyDescent="0.15">
      <c r="A1093" s="284" t="s">
        <v>8502</v>
      </c>
      <c r="B1093" s="157"/>
      <c r="C1093" s="157"/>
      <c r="D1093" s="157"/>
      <c r="E1093" s="6"/>
      <c r="F1093" s="6"/>
      <c r="G1093" s="2"/>
      <c r="H1093" s="157"/>
      <c r="I1093" s="157"/>
      <c r="J1093" s="2"/>
      <c r="K1093" s="157"/>
      <c r="L1093" s="3"/>
      <c r="M1093" s="3"/>
      <c r="N1093" s="3"/>
      <c r="O1093" s="2"/>
      <c r="P1093" s="277"/>
    </row>
    <row r="1094" spans="1:16" ht="30" customHeight="1" x14ac:dyDescent="0.15">
      <c r="A1094" s="284" t="s">
        <v>8503</v>
      </c>
      <c r="B1094" s="157"/>
      <c r="C1094" s="157"/>
      <c r="D1094" s="157"/>
      <c r="E1094" s="6"/>
      <c r="F1094" s="6"/>
      <c r="G1094" s="2"/>
      <c r="H1094" s="157"/>
      <c r="I1094" s="157"/>
      <c r="J1094" s="2"/>
      <c r="K1094" s="157"/>
      <c r="L1094" s="3"/>
      <c r="M1094" s="3"/>
      <c r="N1094" s="3"/>
      <c r="O1094" s="2"/>
      <c r="P1094" s="277"/>
    </row>
    <row r="1095" spans="1:16" ht="30" customHeight="1" x14ac:dyDescent="0.15">
      <c r="A1095" s="284" t="s">
        <v>8504</v>
      </c>
      <c r="B1095" s="157"/>
      <c r="C1095" s="157"/>
      <c r="D1095" s="157"/>
      <c r="E1095" s="6"/>
      <c r="F1095" s="6"/>
      <c r="G1095" s="2"/>
      <c r="H1095" s="157"/>
      <c r="I1095" s="157"/>
      <c r="J1095" s="2"/>
      <c r="K1095" s="157"/>
      <c r="L1095" s="3"/>
      <c r="M1095" s="3"/>
      <c r="N1095" s="3"/>
      <c r="O1095" s="2"/>
      <c r="P1095" s="277"/>
    </row>
    <row r="1096" spans="1:16" ht="30" customHeight="1" x14ac:dyDescent="0.15">
      <c r="A1096" s="284" t="s">
        <v>8505</v>
      </c>
      <c r="B1096" s="157"/>
      <c r="C1096" s="157"/>
      <c r="D1096" s="157"/>
      <c r="E1096" s="6"/>
      <c r="F1096" s="6"/>
      <c r="G1096" s="2"/>
      <c r="H1096" s="157"/>
      <c r="I1096" s="157"/>
      <c r="J1096" s="2"/>
      <c r="K1096" s="157"/>
      <c r="L1096" s="3"/>
      <c r="M1096" s="3"/>
      <c r="N1096" s="3"/>
      <c r="O1096" s="2"/>
      <c r="P1096" s="277"/>
    </row>
    <row r="1097" spans="1:16" ht="30" customHeight="1" x14ac:dyDescent="0.15">
      <c r="A1097" s="284" t="s">
        <v>8506</v>
      </c>
      <c r="B1097" s="157"/>
      <c r="C1097" s="157"/>
      <c r="D1097" s="157"/>
      <c r="E1097" s="6"/>
      <c r="F1097" s="6"/>
      <c r="G1097" s="2"/>
      <c r="H1097" s="157"/>
      <c r="I1097" s="157"/>
      <c r="J1097" s="2"/>
      <c r="K1097" s="157"/>
      <c r="L1097" s="3"/>
      <c r="M1097" s="3"/>
      <c r="N1097" s="3"/>
      <c r="O1097" s="2"/>
      <c r="P1097" s="277"/>
    </row>
    <row r="1098" spans="1:16" ht="30" customHeight="1" x14ac:dyDescent="0.15">
      <c r="A1098" s="284" t="s">
        <v>8507</v>
      </c>
      <c r="B1098" s="157"/>
      <c r="C1098" s="157"/>
      <c r="D1098" s="157"/>
      <c r="E1098" s="6"/>
      <c r="F1098" s="6"/>
      <c r="G1098" s="2"/>
      <c r="H1098" s="157"/>
      <c r="I1098" s="157"/>
      <c r="J1098" s="2"/>
      <c r="K1098" s="157"/>
      <c r="L1098" s="3"/>
      <c r="M1098" s="3"/>
      <c r="N1098" s="3"/>
      <c r="O1098" s="2"/>
      <c r="P1098" s="277"/>
    </row>
    <row r="1099" spans="1:16" ht="30" customHeight="1" x14ac:dyDescent="0.15">
      <c r="A1099" s="284" t="s">
        <v>8508</v>
      </c>
      <c r="B1099" s="157"/>
      <c r="C1099" s="157"/>
      <c r="D1099" s="157"/>
      <c r="E1099" s="6"/>
      <c r="F1099" s="6"/>
      <c r="G1099" s="2"/>
      <c r="H1099" s="157"/>
      <c r="I1099" s="157"/>
      <c r="J1099" s="2"/>
      <c r="K1099" s="157"/>
      <c r="L1099" s="3"/>
      <c r="M1099" s="3"/>
      <c r="N1099" s="3"/>
      <c r="O1099" s="2"/>
      <c r="P1099" s="277"/>
    </row>
    <row r="1100" spans="1:16" ht="30" customHeight="1" x14ac:dyDescent="0.15">
      <c r="A1100" s="284" t="s">
        <v>8509</v>
      </c>
      <c r="B1100" s="157"/>
      <c r="C1100" s="157"/>
      <c r="D1100" s="157"/>
      <c r="E1100" s="6"/>
      <c r="F1100" s="6"/>
      <c r="G1100" s="2"/>
      <c r="H1100" s="157"/>
      <c r="I1100" s="157"/>
      <c r="J1100" s="2"/>
      <c r="K1100" s="157"/>
      <c r="L1100" s="3"/>
      <c r="M1100" s="3"/>
      <c r="N1100" s="3"/>
      <c r="O1100" s="2"/>
      <c r="P1100" s="277"/>
    </row>
    <row r="1101" spans="1:16" ht="30" customHeight="1" x14ac:dyDescent="0.15">
      <c r="A1101" s="284" t="s">
        <v>8510</v>
      </c>
      <c r="B1101" s="157"/>
      <c r="C1101" s="157"/>
      <c r="D1101" s="157"/>
      <c r="E1101" s="6"/>
      <c r="F1101" s="6"/>
      <c r="G1101" s="2"/>
      <c r="H1101" s="157"/>
      <c r="I1101" s="157"/>
      <c r="J1101" s="2"/>
      <c r="K1101" s="157"/>
      <c r="L1101" s="3"/>
      <c r="M1101" s="3"/>
      <c r="N1101" s="3"/>
      <c r="O1101" s="2"/>
      <c r="P1101" s="277"/>
    </row>
    <row r="1102" spans="1:16" ht="30" customHeight="1" x14ac:dyDescent="0.15">
      <c r="A1102" s="284" t="s">
        <v>8511</v>
      </c>
      <c r="B1102" s="157"/>
      <c r="C1102" s="157"/>
      <c r="D1102" s="157"/>
      <c r="E1102" s="6"/>
      <c r="F1102" s="6"/>
      <c r="G1102" s="2"/>
      <c r="H1102" s="157"/>
      <c r="I1102" s="157"/>
      <c r="J1102" s="2"/>
      <c r="K1102" s="157"/>
      <c r="L1102" s="3"/>
      <c r="M1102" s="3"/>
      <c r="N1102" s="3"/>
      <c r="O1102" s="2"/>
      <c r="P1102" s="277"/>
    </row>
    <row r="1103" spans="1:16" ht="30" customHeight="1" x14ac:dyDescent="0.15">
      <c r="A1103" s="284" t="s">
        <v>8512</v>
      </c>
      <c r="B1103" s="157"/>
      <c r="C1103" s="157"/>
      <c r="D1103" s="157"/>
      <c r="E1103" s="6"/>
      <c r="F1103" s="6"/>
      <c r="G1103" s="2"/>
      <c r="H1103" s="157"/>
      <c r="I1103" s="157"/>
      <c r="J1103" s="2"/>
      <c r="K1103" s="157"/>
      <c r="L1103" s="3"/>
      <c r="M1103" s="3"/>
      <c r="N1103" s="3"/>
      <c r="O1103" s="2"/>
      <c r="P1103" s="277"/>
    </row>
    <row r="1104" spans="1:16" ht="30" customHeight="1" x14ac:dyDescent="0.15">
      <c r="A1104" s="284" t="s">
        <v>8513</v>
      </c>
      <c r="B1104" s="157"/>
      <c r="C1104" s="157"/>
      <c r="D1104" s="157"/>
      <c r="E1104" s="6"/>
      <c r="F1104" s="6"/>
      <c r="G1104" s="2"/>
      <c r="H1104" s="157"/>
      <c r="I1104" s="157"/>
      <c r="J1104" s="2"/>
      <c r="K1104" s="157"/>
      <c r="L1104" s="3"/>
      <c r="M1104" s="3"/>
      <c r="N1104" s="3"/>
      <c r="O1104" s="2"/>
      <c r="P1104" s="277"/>
    </row>
    <row r="1105" spans="1:16" ht="30" customHeight="1" x14ac:dyDescent="0.15">
      <c r="A1105" s="284" t="s">
        <v>8514</v>
      </c>
      <c r="B1105" s="157"/>
      <c r="C1105" s="157"/>
      <c r="D1105" s="157"/>
      <c r="E1105" s="6"/>
      <c r="F1105" s="6"/>
      <c r="G1105" s="2"/>
      <c r="H1105" s="157"/>
      <c r="I1105" s="157"/>
      <c r="J1105" s="2"/>
      <c r="K1105" s="157"/>
      <c r="L1105" s="3"/>
      <c r="M1105" s="3"/>
      <c r="N1105" s="3"/>
      <c r="O1105" s="2"/>
      <c r="P1105" s="277"/>
    </row>
    <row r="1106" spans="1:16" ht="30" customHeight="1" x14ac:dyDescent="0.15">
      <c r="A1106" s="284" t="s">
        <v>8515</v>
      </c>
      <c r="B1106" s="157"/>
      <c r="C1106" s="157"/>
      <c r="D1106" s="157"/>
      <c r="E1106" s="6"/>
      <c r="F1106" s="6"/>
      <c r="G1106" s="2"/>
      <c r="H1106" s="157"/>
      <c r="I1106" s="157"/>
      <c r="J1106" s="2"/>
      <c r="K1106" s="157"/>
      <c r="L1106" s="3"/>
      <c r="M1106" s="3"/>
      <c r="N1106" s="3"/>
      <c r="O1106" s="2"/>
      <c r="P1106" s="277"/>
    </row>
    <row r="1107" spans="1:16" ht="30" customHeight="1" x14ac:dyDescent="0.15">
      <c r="A1107" s="284" t="s">
        <v>8516</v>
      </c>
      <c r="B1107" s="157"/>
      <c r="C1107" s="157"/>
      <c r="D1107" s="157"/>
      <c r="E1107" s="6"/>
      <c r="F1107" s="6"/>
      <c r="G1107" s="2"/>
      <c r="H1107" s="157"/>
      <c r="I1107" s="157"/>
      <c r="J1107" s="2"/>
      <c r="K1107" s="157"/>
      <c r="L1107" s="3"/>
      <c r="M1107" s="3"/>
      <c r="N1107" s="3"/>
      <c r="O1107" s="2"/>
      <c r="P1107" s="277"/>
    </row>
    <row r="1108" spans="1:16" ht="30" customHeight="1" x14ac:dyDescent="0.15">
      <c r="A1108" s="284" t="s">
        <v>8517</v>
      </c>
      <c r="B1108" s="157"/>
      <c r="C1108" s="157"/>
      <c r="D1108" s="157"/>
      <c r="E1108" s="6"/>
      <c r="F1108" s="6"/>
      <c r="G1108" s="2"/>
      <c r="H1108" s="157"/>
      <c r="I1108" s="157"/>
      <c r="J1108" s="2"/>
      <c r="K1108" s="157"/>
      <c r="L1108" s="3"/>
      <c r="M1108" s="3"/>
      <c r="N1108" s="3"/>
      <c r="O1108" s="2"/>
      <c r="P1108" s="277"/>
    </row>
    <row r="1109" spans="1:16" ht="30" customHeight="1" x14ac:dyDescent="0.15">
      <c r="A1109" s="284" t="s">
        <v>8518</v>
      </c>
      <c r="B1109" s="157"/>
      <c r="C1109" s="157"/>
      <c r="D1109" s="157"/>
      <c r="E1109" s="6"/>
      <c r="F1109" s="6"/>
      <c r="G1109" s="2"/>
      <c r="H1109" s="157"/>
      <c r="I1109" s="157"/>
      <c r="J1109" s="2"/>
      <c r="K1109" s="157"/>
      <c r="L1109" s="3"/>
      <c r="M1109" s="3"/>
      <c r="N1109" s="3"/>
      <c r="O1109" s="2"/>
      <c r="P1109" s="277"/>
    </row>
    <row r="1110" spans="1:16" ht="30" customHeight="1" x14ac:dyDescent="0.15">
      <c r="A1110" s="284" t="s">
        <v>8519</v>
      </c>
      <c r="B1110" s="157"/>
      <c r="C1110" s="157"/>
      <c r="D1110" s="157"/>
      <c r="E1110" s="6"/>
      <c r="F1110" s="6"/>
      <c r="G1110" s="2"/>
      <c r="H1110" s="157"/>
      <c r="I1110" s="157"/>
      <c r="J1110" s="2"/>
      <c r="K1110" s="157"/>
      <c r="L1110" s="3"/>
      <c r="M1110" s="3"/>
      <c r="N1110" s="3"/>
      <c r="O1110" s="2"/>
      <c r="P1110" s="277"/>
    </row>
    <row r="1111" spans="1:16" ht="30" customHeight="1" x14ac:dyDescent="0.15">
      <c r="A1111" s="284" t="s">
        <v>8520</v>
      </c>
      <c r="B1111" s="157"/>
      <c r="C1111" s="157"/>
      <c r="D1111" s="157"/>
      <c r="E1111" s="6"/>
      <c r="F1111" s="6"/>
      <c r="G1111" s="2"/>
      <c r="H1111" s="157"/>
      <c r="I1111" s="157"/>
      <c r="J1111" s="2"/>
      <c r="K1111" s="157"/>
      <c r="L1111" s="3"/>
      <c r="M1111" s="3"/>
      <c r="N1111" s="3"/>
      <c r="O1111" s="2"/>
      <c r="P1111" s="277"/>
    </row>
    <row r="1112" spans="1:16" ht="30" customHeight="1" x14ac:dyDescent="0.15">
      <c r="A1112" s="284" t="s">
        <v>8521</v>
      </c>
      <c r="B1112" s="157"/>
      <c r="C1112" s="157"/>
      <c r="D1112" s="157"/>
      <c r="E1112" s="6"/>
      <c r="F1112" s="6"/>
      <c r="G1112" s="2"/>
      <c r="H1112" s="157"/>
      <c r="I1112" s="157"/>
      <c r="J1112" s="2"/>
      <c r="K1112" s="157"/>
      <c r="L1112" s="3"/>
      <c r="M1112" s="3"/>
      <c r="N1112" s="3"/>
      <c r="O1112" s="2"/>
      <c r="P1112" s="277"/>
    </row>
    <row r="1113" spans="1:16" ht="30" customHeight="1" x14ac:dyDescent="0.15">
      <c r="A1113" s="284" t="s">
        <v>8522</v>
      </c>
      <c r="B1113" s="157"/>
      <c r="C1113" s="157"/>
      <c r="D1113" s="157"/>
      <c r="E1113" s="6"/>
      <c r="F1113" s="6"/>
      <c r="G1113" s="2"/>
      <c r="H1113" s="157"/>
      <c r="I1113" s="157"/>
      <c r="J1113" s="2"/>
      <c r="K1113" s="157"/>
      <c r="L1113" s="3"/>
      <c r="M1113" s="3"/>
      <c r="N1113" s="3"/>
      <c r="O1113" s="2"/>
      <c r="P1113" s="277"/>
    </row>
    <row r="1114" spans="1:16" ht="30" customHeight="1" x14ac:dyDescent="0.15">
      <c r="A1114" s="284" t="s">
        <v>8523</v>
      </c>
      <c r="B1114" s="157"/>
      <c r="C1114" s="157"/>
      <c r="D1114" s="157"/>
      <c r="E1114" s="6"/>
      <c r="F1114" s="6"/>
      <c r="G1114" s="2"/>
      <c r="H1114" s="157"/>
      <c r="I1114" s="157"/>
      <c r="J1114" s="2"/>
      <c r="K1114" s="157"/>
      <c r="L1114" s="3"/>
      <c r="M1114" s="3"/>
      <c r="N1114" s="3"/>
      <c r="O1114" s="2"/>
      <c r="P1114" s="277"/>
    </row>
    <row r="1115" spans="1:16" ht="30" customHeight="1" x14ac:dyDescent="0.15">
      <c r="A1115" s="284" t="s">
        <v>8524</v>
      </c>
      <c r="B1115" s="157"/>
      <c r="C1115" s="157"/>
      <c r="D1115" s="157"/>
      <c r="E1115" s="6"/>
      <c r="F1115" s="6"/>
      <c r="G1115" s="2"/>
      <c r="H1115" s="157"/>
      <c r="I1115" s="157"/>
      <c r="J1115" s="2"/>
      <c r="K1115" s="157"/>
      <c r="L1115" s="3"/>
      <c r="M1115" s="3"/>
      <c r="N1115" s="3"/>
      <c r="O1115" s="2"/>
      <c r="P1115" s="277"/>
    </row>
    <row r="1116" spans="1:16" ht="30" customHeight="1" x14ac:dyDescent="0.15">
      <c r="A1116" s="284" t="s">
        <v>8525</v>
      </c>
      <c r="B1116" s="157"/>
      <c r="C1116" s="157"/>
      <c r="D1116" s="157"/>
      <c r="E1116" s="6"/>
      <c r="F1116" s="6"/>
      <c r="G1116" s="2"/>
      <c r="H1116" s="157"/>
      <c r="I1116" s="157"/>
      <c r="J1116" s="2"/>
      <c r="K1116" s="157"/>
      <c r="L1116" s="3"/>
      <c r="M1116" s="3"/>
      <c r="N1116" s="3"/>
      <c r="O1116" s="2"/>
      <c r="P1116" s="277"/>
    </row>
    <row r="1117" spans="1:16" ht="30" customHeight="1" x14ac:dyDescent="0.15">
      <c r="A1117" s="284" t="s">
        <v>8526</v>
      </c>
      <c r="B1117" s="157"/>
      <c r="C1117" s="157"/>
      <c r="D1117" s="157"/>
      <c r="E1117" s="6"/>
      <c r="F1117" s="6"/>
      <c r="G1117" s="2"/>
      <c r="H1117" s="157"/>
      <c r="I1117" s="157"/>
      <c r="J1117" s="2"/>
      <c r="K1117" s="157"/>
      <c r="L1117" s="3"/>
      <c r="M1117" s="3"/>
      <c r="N1117" s="3"/>
      <c r="O1117" s="2"/>
      <c r="P1117" s="277"/>
    </row>
    <row r="1118" spans="1:16" ht="30" customHeight="1" x14ac:dyDescent="0.15">
      <c r="A1118" s="284" t="s">
        <v>8527</v>
      </c>
      <c r="B1118" s="157"/>
      <c r="C1118" s="157"/>
      <c r="D1118" s="157"/>
      <c r="E1118" s="6"/>
      <c r="F1118" s="6"/>
      <c r="G1118" s="2"/>
      <c r="H1118" s="157"/>
      <c r="I1118" s="157"/>
      <c r="J1118" s="2"/>
      <c r="K1118" s="157"/>
      <c r="L1118" s="3"/>
      <c r="M1118" s="3"/>
      <c r="N1118" s="3"/>
      <c r="O1118" s="2"/>
      <c r="P1118" s="277"/>
    </row>
    <row r="1119" spans="1:16" ht="30" customHeight="1" x14ac:dyDescent="0.15">
      <c r="A1119" s="284" t="s">
        <v>8528</v>
      </c>
      <c r="B1119" s="157"/>
      <c r="C1119" s="157"/>
      <c r="D1119" s="157"/>
      <c r="E1119" s="6"/>
      <c r="F1119" s="6"/>
      <c r="G1119" s="2"/>
      <c r="H1119" s="157"/>
      <c r="I1119" s="157"/>
      <c r="J1119" s="2"/>
      <c r="K1119" s="157"/>
      <c r="L1119" s="3"/>
      <c r="M1119" s="3"/>
      <c r="N1119" s="3"/>
      <c r="O1119" s="2"/>
      <c r="P1119" s="277"/>
    </row>
    <row r="1120" spans="1:16" ht="30" customHeight="1" x14ac:dyDescent="0.15">
      <c r="A1120" s="284" t="s">
        <v>8529</v>
      </c>
      <c r="B1120" s="157"/>
      <c r="C1120" s="157"/>
      <c r="D1120" s="157"/>
      <c r="E1120" s="6"/>
      <c r="F1120" s="6"/>
      <c r="G1120" s="2"/>
      <c r="H1120" s="157"/>
      <c r="I1120" s="157"/>
      <c r="J1120" s="2"/>
      <c r="K1120" s="157"/>
      <c r="L1120" s="3"/>
      <c r="M1120" s="3"/>
      <c r="N1120" s="3"/>
      <c r="O1120" s="2"/>
      <c r="P1120" s="277"/>
    </row>
    <row r="1121" spans="1:16" ht="30" customHeight="1" x14ac:dyDescent="0.15">
      <c r="A1121" s="284" t="s">
        <v>8530</v>
      </c>
      <c r="B1121" s="157"/>
      <c r="C1121" s="157"/>
      <c r="D1121" s="157"/>
      <c r="E1121" s="6"/>
      <c r="F1121" s="6"/>
      <c r="G1121" s="2"/>
      <c r="H1121" s="157"/>
      <c r="I1121" s="157"/>
      <c r="J1121" s="2"/>
      <c r="K1121" s="157"/>
      <c r="L1121" s="3"/>
      <c r="M1121" s="3"/>
      <c r="N1121" s="3"/>
      <c r="O1121" s="2"/>
      <c r="P1121" s="277"/>
    </row>
    <row r="1122" spans="1:16" ht="30" customHeight="1" x14ac:dyDescent="0.15">
      <c r="A1122" s="284" t="s">
        <v>8531</v>
      </c>
      <c r="B1122" s="157"/>
      <c r="C1122" s="157"/>
      <c r="D1122" s="157"/>
      <c r="E1122" s="6"/>
      <c r="F1122" s="6"/>
      <c r="G1122" s="2"/>
      <c r="H1122" s="157"/>
      <c r="I1122" s="157"/>
      <c r="J1122" s="2"/>
      <c r="K1122" s="157"/>
      <c r="L1122" s="3"/>
      <c r="M1122" s="3"/>
      <c r="N1122" s="3"/>
      <c r="O1122" s="2"/>
      <c r="P1122" s="277"/>
    </row>
    <row r="1123" spans="1:16" ht="30" customHeight="1" x14ac:dyDescent="0.15">
      <c r="A1123" s="284" t="s">
        <v>8532</v>
      </c>
      <c r="B1123" s="157"/>
      <c r="C1123" s="157"/>
      <c r="D1123" s="157"/>
      <c r="E1123" s="6"/>
      <c r="F1123" s="6"/>
      <c r="G1123" s="2"/>
      <c r="H1123" s="157"/>
      <c r="I1123" s="157"/>
      <c r="J1123" s="2"/>
      <c r="K1123" s="157"/>
      <c r="L1123" s="3"/>
      <c r="M1123" s="3"/>
      <c r="N1123" s="3"/>
      <c r="O1123" s="2"/>
      <c r="P1123" s="277"/>
    </row>
    <row r="1124" spans="1:16" ht="30" customHeight="1" x14ac:dyDescent="0.15">
      <c r="A1124" s="284" t="s">
        <v>8533</v>
      </c>
      <c r="B1124" s="157"/>
      <c r="C1124" s="157"/>
      <c r="D1124" s="157"/>
      <c r="E1124" s="6"/>
      <c r="F1124" s="6"/>
      <c r="G1124" s="2"/>
      <c r="H1124" s="157"/>
      <c r="I1124" s="157"/>
      <c r="J1124" s="2"/>
      <c r="K1124" s="157"/>
      <c r="L1124" s="3"/>
      <c r="M1124" s="3"/>
      <c r="N1124" s="3"/>
      <c r="O1124" s="2"/>
      <c r="P1124" s="277"/>
    </row>
    <row r="1125" spans="1:16" ht="30" customHeight="1" x14ac:dyDescent="0.15">
      <c r="A1125" s="284" t="s">
        <v>8534</v>
      </c>
      <c r="B1125" s="157"/>
      <c r="C1125" s="157"/>
      <c r="D1125" s="157"/>
      <c r="E1125" s="6"/>
      <c r="F1125" s="6"/>
      <c r="G1125" s="2"/>
      <c r="H1125" s="157"/>
      <c r="I1125" s="157"/>
      <c r="J1125" s="2"/>
      <c r="K1125" s="157"/>
      <c r="L1125" s="3"/>
      <c r="M1125" s="3"/>
      <c r="N1125" s="3"/>
      <c r="O1125" s="2"/>
      <c r="P1125" s="277"/>
    </row>
    <row r="1126" spans="1:16" ht="30" customHeight="1" x14ac:dyDescent="0.15">
      <c r="A1126" s="284" t="s">
        <v>8535</v>
      </c>
      <c r="B1126" s="157"/>
      <c r="C1126" s="157"/>
      <c r="D1126" s="157"/>
      <c r="E1126" s="6"/>
      <c r="F1126" s="6"/>
      <c r="G1126" s="2"/>
      <c r="H1126" s="157"/>
      <c r="I1126" s="157"/>
      <c r="J1126" s="2"/>
      <c r="K1126" s="157"/>
      <c r="L1126" s="3"/>
      <c r="M1126" s="3"/>
      <c r="N1126" s="3"/>
      <c r="O1126" s="2"/>
      <c r="P1126" s="277"/>
    </row>
    <row r="1127" spans="1:16" ht="30" customHeight="1" x14ac:dyDescent="0.15">
      <c r="A1127" s="284" t="s">
        <v>8536</v>
      </c>
      <c r="B1127" s="157"/>
      <c r="C1127" s="157"/>
      <c r="D1127" s="157"/>
      <c r="E1127" s="6"/>
      <c r="F1127" s="6"/>
      <c r="G1127" s="2"/>
      <c r="H1127" s="157"/>
      <c r="I1127" s="157"/>
      <c r="J1127" s="2"/>
      <c r="K1127" s="157"/>
      <c r="L1127" s="3"/>
      <c r="M1127" s="3"/>
      <c r="N1127" s="3"/>
      <c r="O1127" s="2"/>
      <c r="P1127" s="277"/>
    </row>
    <row r="1128" spans="1:16" ht="30" customHeight="1" x14ac:dyDescent="0.15">
      <c r="A1128" s="284" t="s">
        <v>8537</v>
      </c>
      <c r="B1128" s="157"/>
      <c r="C1128" s="157"/>
      <c r="D1128" s="157"/>
      <c r="E1128" s="6"/>
      <c r="F1128" s="6"/>
      <c r="G1128" s="2"/>
      <c r="H1128" s="157"/>
      <c r="I1128" s="157"/>
      <c r="J1128" s="2"/>
      <c r="K1128" s="157"/>
      <c r="L1128" s="3"/>
      <c r="M1128" s="3"/>
      <c r="N1128" s="3"/>
      <c r="O1128" s="2"/>
      <c r="P1128" s="277"/>
    </row>
    <row r="1129" spans="1:16" ht="30" customHeight="1" x14ac:dyDescent="0.15">
      <c r="A1129" s="284" t="s">
        <v>8538</v>
      </c>
      <c r="B1129" s="157"/>
      <c r="C1129" s="157"/>
      <c r="D1129" s="157"/>
      <c r="E1129" s="6"/>
      <c r="F1129" s="6"/>
      <c r="G1129" s="2"/>
      <c r="H1129" s="157"/>
      <c r="I1129" s="157"/>
      <c r="J1129" s="2"/>
      <c r="K1129" s="157"/>
      <c r="L1129" s="3"/>
      <c r="M1129" s="3"/>
      <c r="N1129" s="3"/>
      <c r="O1129" s="2"/>
      <c r="P1129" s="277"/>
    </row>
    <row r="1130" spans="1:16" ht="30" customHeight="1" x14ac:dyDescent="0.15">
      <c r="A1130" s="284" t="s">
        <v>8539</v>
      </c>
      <c r="B1130" s="157"/>
      <c r="C1130" s="157"/>
      <c r="D1130" s="157"/>
      <c r="E1130" s="6"/>
      <c r="F1130" s="6"/>
      <c r="G1130" s="2"/>
      <c r="H1130" s="157"/>
      <c r="I1130" s="157"/>
      <c r="J1130" s="2"/>
      <c r="K1130" s="157"/>
      <c r="L1130" s="3"/>
      <c r="M1130" s="3"/>
      <c r="N1130" s="3"/>
      <c r="O1130" s="2"/>
      <c r="P1130" s="277"/>
    </row>
    <row r="1131" spans="1:16" ht="30" customHeight="1" x14ac:dyDescent="0.15">
      <c r="A1131" s="284" t="s">
        <v>8540</v>
      </c>
      <c r="B1131" s="157"/>
      <c r="C1131" s="157"/>
      <c r="D1131" s="157"/>
      <c r="E1131" s="6"/>
      <c r="F1131" s="6"/>
      <c r="G1131" s="2"/>
      <c r="H1131" s="157"/>
      <c r="I1131" s="157"/>
      <c r="J1131" s="2"/>
      <c r="K1131" s="157"/>
      <c r="L1131" s="3"/>
      <c r="M1131" s="3"/>
      <c r="N1131" s="3"/>
      <c r="O1131" s="2"/>
      <c r="P1131" s="277"/>
    </row>
    <row r="1132" spans="1:16" ht="30" customHeight="1" x14ac:dyDescent="0.15">
      <c r="A1132" s="284" t="s">
        <v>8541</v>
      </c>
      <c r="B1132" s="157"/>
      <c r="C1132" s="157"/>
      <c r="D1132" s="157"/>
      <c r="E1132" s="6"/>
      <c r="F1132" s="6"/>
      <c r="G1132" s="2"/>
      <c r="H1132" s="157"/>
      <c r="I1132" s="157"/>
      <c r="J1132" s="2"/>
      <c r="K1132" s="157"/>
      <c r="L1132" s="3"/>
      <c r="M1132" s="3"/>
      <c r="N1132" s="3"/>
      <c r="O1132" s="2"/>
      <c r="P1132" s="277"/>
    </row>
    <row r="1133" spans="1:16" ht="30" customHeight="1" x14ac:dyDescent="0.15">
      <c r="A1133" s="284" t="s">
        <v>8542</v>
      </c>
      <c r="B1133" s="157"/>
      <c r="C1133" s="157"/>
      <c r="D1133" s="157"/>
      <c r="E1133" s="6"/>
      <c r="F1133" s="6"/>
      <c r="G1133" s="2"/>
      <c r="H1133" s="157"/>
      <c r="I1133" s="157"/>
      <c r="J1133" s="2"/>
      <c r="K1133" s="157"/>
      <c r="L1133" s="3"/>
      <c r="M1133" s="3"/>
      <c r="N1133" s="3"/>
      <c r="O1133" s="2"/>
      <c r="P1133" s="277"/>
    </row>
    <row r="1134" spans="1:16" ht="30" customHeight="1" x14ac:dyDescent="0.15">
      <c r="A1134" s="284" t="s">
        <v>8543</v>
      </c>
      <c r="B1134" s="157"/>
      <c r="C1134" s="157"/>
      <c r="D1134" s="157"/>
      <c r="E1134" s="6"/>
      <c r="F1134" s="6"/>
      <c r="G1134" s="2"/>
      <c r="H1134" s="157"/>
      <c r="I1134" s="157"/>
      <c r="J1134" s="2"/>
      <c r="K1134" s="157"/>
      <c r="L1134" s="3"/>
      <c r="M1134" s="3"/>
      <c r="N1134" s="3"/>
      <c r="O1134" s="2"/>
      <c r="P1134" s="277"/>
    </row>
    <row r="1135" spans="1:16" ht="30" customHeight="1" x14ac:dyDescent="0.15">
      <c r="A1135" s="284" t="s">
        <v>8544</v>
      </c>
      <c r="B1135" s="157"/>
      <c r="C1135" s="157"/>
      <c r="D1135" s="157"/>
      <c r="E1135" s="6"/>
      <c r="F1135" s="6"/>
      <c r="G1135" s="2"/>
      <c r="H1135" s="157"/>
      <c r="I1135" s="157"/>
      <c r="J1135" s="2"/>
      <c r="K1135" s="157"/>
      <c r="L1135" s="3"/>
      <c r="M1135" s="3"/>
      <c r="N1135" s="3"/>
      <c r="O1135" s="2"/>
      <c r="P1135" s="277"/>
    </row>
    <row r="1136" spans="1:16" ht="30" customHeight="1" x14ac:dyDescent="0.15">
      <c r="A1136" s="284" t="s">
        <v>8545</v>
      </c>
      <c r="B1136" s="157"/>
      <c r="C1136" s="157"/>
      <c r="D1136" s="157"/>
      <c r="E1136" s="6"/>
      <c r="F1136" s="6"/>
      <c r="G1136" s="2"/>
      <c r="H1136" s="157"/>
      <c r="I1136" s="157"/>
      <c r="J1136" s="2"/>
      <c r="K1136" s="157"/>
      <c r="L1136" s="3"/>
      <c r="M1136" s="3"/>
      <c r="N1136" s="3"/>
      <c r="O1136" s="2"/>
      <c r="P1136" s="277"/>
    </row>
    <row r="1137" spans="1:16" ht="30" customHeight="1" x14ac:dyDescent="0.15">
      <c r="A1137" s="284" t="s">
        <v>8546</v>
      </c>
      <c r="B1137" s="157"/>
      <c r="C1137" s="157"/>
      <c r="D1137" s="157"/>
      <c r="E1137" s="6"/>
      <c r="F1137" s="6"/>
      <c r="G1137" s="2"/>
      <c r="H1137" s="157"/>
      <c r="I1137" s="157"/>
      <c r="J1137" s="2"/>
      <c r="K1137" s="157"/>
      <c r="L1137" s="3"/>
      <c r="M1137" s="3"/>
      <c r="N1137" s="3"/>
      <c r="O1137" s="2"/>
      <c r="P1137" s="277"/>
    </row>
    <row r="1138" spans="1:16" ht="30" customHeight="1" x14ac:dyDescent="0.15">
      <c r="A1138" s="284" t="s">
        <v>8547</v>
      </c>
      <c r="B1138" s="157"/>
      <c r="C1138" s="157"/>
      <c r="D1138" s="157"/>
      <c r="E1138" s="6"/>
      <c r="F1138" s="6"/>
      <c r="G1138" s="2"/>
      <c r="H1138" s="157"/>
      <c r="I1138" s="157"/>
      <c r="J1138" s="2"/>
      <c r="K1138" s="157"/>
      <c r="L1138" s="3"/>
      <c r="M1138" s="3"/>
      <c r="N1138" s="3"/>
      <c r="O1138" s="2"/>
      <c r="P1138" s="277"/>
    </row>
    <row r="1139" spans="1:16" ht="30" customHeight="1" x14ac:dyDescent="0.15">
      <c r="A1139" s="284" t="s">
        <v>8548</v>
      </c>
      <c r="B1139" s="157"/>
      <c r="C1139" s="157"/>
      <c r="D1139" s="157"/>
      <c r="E1139" s="6"/>
      <c r="F1139" s="6"/>
      <c r="G1139" s="2"/>
      <c r="H1139" s="157"/>
      <c r="I1139" s="157"/>
      <c r="J1139" s="2"/>
      <c r="K1139" s="157"/>
      <c r="L1139" s="3"/>
      <c r="M1139" s="3"/>
      <c r="N1139" s="3"/>
      <c r="O1139" s="2"/>
      <c r="P1139" s="277"/>
    </row>
    <row r="1140" spans="1:16" ht="30" customHeight="1" x14ac:dyDescent="0.15">
      <c r="A1140" s="284" t="s">
        <v>8549</v>
      </c>
      <c r="B1140" s="157"/>
      <c r="C1140" s="157"/>
      <c r="D1140" s="157"/>
      <c r="E1140" s="6"/>
      <c r="F1140" s="6"/>
      <c r="G1140" s="2"/>
      <c r="H1140" s="157"/>
      <c r="I1140" s="157"/>
      <c r="J1140" s="2"/>
      <c r="K1140" s="157"/>
      <c r="L1140" s="3"/>
      <c r="M1140" s="3"/>
      <c r="N1140" s="3"/>
      <c r="O1140" s="2"/>
      <c r="P1140" s="277"/>
    </row>
    <row r="1141" spans="1:16" ht="30" customHeight="1" x14ac:dyDescent="0.15">
      <c r="A1141" s="284" t="s">
        <v>8550</v>
      </c>
      <c r="B1141" s="157"/>
      <c r="C1141" s="157"/>
      <c r="D1141" s="157"/>
      <c r="E1141" s="6"/>
      <c r="F1141" s="6"/>
      <c r="G1141" s="2"/>
      <c r="H1141" s="157"/>
      <c r="I1141" s="157"/>
      <c r="J1141" s="2"/>
      <c r="K1141" s="157"/>
      <c r="L1141" s="3"/>
      <c r="M1141" s="3"/>
      <c r="N1141" s="3"/>
      <c r="O1141" s="2"/>
      <c r="P1141" s="277"/>
    </row>
    <row r="1142" spans="1:16" ht="30" customHeight="1" x14ac:dyDescent="0.15">
      <c r="A1142" s="284" t="s">
        <v>8551</v>
      </c>
      <c r="B1142" s="157"/>
      <c r="C1142" s="157"/>
      <c r="D1142" s="157"/>
      <c r="E1142" s="6"/>
      <c r="F1142" s="6"/>
      <c r="G1142" s="2"/>
      <c r="H1142" s="157"/>
      <c r="I1142" s="157"/>
      <c r="J1142" s="2"/>
      <c r="K1142" s="157"/>
      <c r="L1142" s="3"/>
      <c r="M1142" s="3"/>
      <c r="N1142" s="3"/>
      <c r="O1142" s="2"/>
      <c r="P1142" s="277"/>
    </row>
    <row r="1143" spans="1:16" ht="30" customHeight="1" x14ac:dyDescent="0.15">
      <c r="A1143" s="284" t="s">
        <v>8552</v>
      </c>
      <c r="B1143" s="157"/>
      <c r="C1143" s="157"/>
      <c r="D1143" s="157"/>
      <c r="E1143" s="6"/>
      <c r="F1143" s="6"/>
      <c r="G1143" s="2"/>
      <c r="H1143" s="157"/>
      <c r="I1143" s="157"/>
      <c r="J1143" s="2"/>
      <c r="K1143" s="157"/>
      <c r="L1143" s="3"/>
      <c r="M1143" s="3"/>
      <c r="N1143" s="3"/>
      <c r="O1143" s="2"/>
      <c r="P1143" s="277"/>
    </row>
    <row r="1144" spans="1:16" ht="30" customHeight="1" x14ac:dyDescent="0.15">
      <c r="A1144" s="284" t="s">
        <v>8553</v>
      </c>
      <c r="B1144" s="157"/>
      <c r="C1144" s="157"/>
      <c r="D1144" s="157"/>
      <c r="E1144" s="6"/>
      <c r="F1144" s="6"/>
      <c r="G1144" s="2"/>
      <c r="H1144" s="157"/>
      <c r="I1144" s="157"/>
      <c r="J1144" s="2"/>
      <c r="K1144" s="157"/>
      <c r="L1144" s="3"/>
      <c r="M1144" s="3"/>
      <c r="N1144" s="3"/>
      <c r="O1144" s="2"/>
      <c r="P1144" s="277"/>
    </row>
    <row r="1145" spans="1:16" ht="30" customHeight="1" x14ac:dyDescent="0.15">
      <c r="A1145" s="284" t="s">
        <v>8554</v>
      </c>
      <c r="B1145" s="157"/>
      <c r="C1145" s="157"/>
      <c r="D1145" s="157"/>
      <c r="E1145" s="6"/>
      <c r="F1145" s="6"/>
      <c r="G1145" s="2"/>
      <c r="H1145" s="157"/>
      <c r="I1145" s="157"/>
      <c r="J1145" s="2"/>
      <c r="K1145" s="157"/>
      <c r="L1145" s="3"/>
      <c r="M1145" s="3"/>
      <c r="N1145" s="3"/>
      <c r="O1145" s="2"/>
      <c r="P1145" s="277"/>
    </row>
    <row r="1146" spans="1:16" ht="30" customHeight="1" x14ac:dyDescent="0.15">
      <c r="A1146" s="284" t="s">
        <v>8555</v>
      </c>
      <c r="B1146" s="157"/>
      <c r="C1146" s="157"/>
      <c r="D1146" s="157"/>
      <c r="E1146" s="6"/>
      <c r="F1146" s="6"/>
      <c r="G1146" s="2"/>
      <c r="H1146" s="157"/>
      <c r="I1146" s="157"/>
      <c r="J1146" s="2"/>
      <c r="K1146" s="157"/>
      <c r="L1146" s="3"/>
      <c r="M1146" s="3"/>
      <c r="N1146" s="3"/>
      <c r="O1146" s="2"/>
      <c r="P1146" s="277"/>
    </row>
    <row r="1147" spans="1:16" ht="30" customHeight="1" x14ac:dyDescent="0.15">
      <c r="A1147" s="284" t="s">
        <v>8556</v>
      </c>
      <c r="B1147" s="157"/>
      <c r="C1147" s="157"/>
      <c r="D1147" s="157"/>
      <c r="E1147" s="6"/>
      <c r="F1147" s="6"/>
      <c r="G1147" s="2"/>
      <c r="H1147" s="157"/>
      <c r="I1147" s="157"/>
      <c r="J1147" s="2"/>
      <c r="K1147" s="157"/>
      <c r="L1147" s="3"/>
      <c r="M1147" s="3"/>
      <c r="N1147" s="3"/>
      <c r="O1147" s="2"/>
      <c r="P1147" s="277"/>
    </row>
    <row r="1148" spans="1:16" ht="30" customHeight="1" x14ac:dyDescent="0.15">
      <c r="A1148" s="284" t="s">
        <v>8557</v>
      </c>
      <c r="B1148" s="157"/>
      <c r="C1148" s="157"/>
      <c r="D1148" s="157"/>
      <c r="E1148" s="6"/>
      <c r="F1148" s="6"/>
      <c r="G1148" s="2"/>
      <c r="H1148" s="157"/>
      <c r="I1148" s="157"/>
      <c r="J1148" s="2"/>
      <c r="K1148" s="157"/>
      <c r="L1148" s="3"/>
      <c r="M1148" s="3"/>
      <c r="N1148" s="3"/>
      <c r="O1148" s="2"/>
      <c r="P1148" s="277"/>
    </row>
    <row r="1149" spans="1:16" ht="30" customHeight="1" x14ac:dyDescent="0.15">
      <c r="A1149" s="284" t="s">
        <v>8558</v>
      </c>
      <c r="B1149" s="157"/>
      <c r="C1149" s="157"/>
      <c r="D1149" s="157"/>
      <c r="E1149" s="6"/>
      <c r="F1149" s="6"/>
      <c r="G1149" s="2"/>
      <c r="H1149" s="157"/>
      <c r="I1149" s="157"/>
      <c r="J1149" s="2"/>
      <c r="K1149" s="157"/>
      <c r="L1149" s="3"/>
      <c r="M1149" s="3"/>
      <c r="N1149" s="3"/>
      <c r="O1149" s="2"/>
      <c r="P1149" s="277"/>
    </row>
    <row r="1150" spans="1:16" ht="30" customHeight="1" x14ac:dyDescent="0.15">
      <c r="A1150" s="284" t="s">
        <v>8559</v>
      </c>
      <c r="B1150" s="157"/>
      <c r="C1150" s="157"/>
      <c r="D1150" s="157"/>
      <c r="E1150" s="6"/>
      <c r="F1150" s="6"/>
      <c r="G1150" s="2"/>
      <c r="H1150" s="157"/>
      <c r="I1150" s="157"/>
      <c r="J1150" s="2"/>
      <c r="K1150" s="157"/>
      <c r="L1150" s="3"/>
      <c r="M1150" s="3"/>
      <c r="N1150" s="3"/>
      <c r="O1150" s="2"/>
      <c r="P1150" s="277"/>
    </row>
    <row r="1151" spans="1:16" ht="30" customHeight="1" x14ac:dyDescent="0.15">
      <c r="A1151" s="284" t="s">
        <v>8560</v>
      </c>
      <c r="B1151" s="157"/>
      <c r="C1151" s="157"/>
      <c r="D1151" s="157"/>
      <c r="E1151" s="6"/>
      <c r="F1151" s="6"/>
      <c r="G1151" s="2"/>
      <c r="H1151" s="157"/>
      <c r="I1151" s="157"/>
      <c r="J1151" s="2"/>
      <c r="K1151" s="157"/>
      <c r="L1151" s="3"/>
      <c r="M1151" s="3"/>
      <c r="N1151" s="3"/>
      <c r="O1151" s="2"/>
      <c r="P1151" s="277"/>
    </row>
    <row r="1152" spans="1:16" ht="30" customHeight="1" x14ac:dyDescent="0.15">
      <c r="A1152" s="284" t="s">
        <v>8561</v>
      </c>
      <c r="B1152" s="157"/>
      <c r="C1152" s="157"/>
      <c r="D1152" s="157"/>
      <c r="E1152" s="6"/>
      <c r="F1152" s="6"/>
      <c r="G1152" s="2"/>
      <c r="H1152" s="157"/>
      <c r="I1152" s="157"/>
      <c r="J1152" s="2"/>
      <c r="K1152" s="157"/>
      <c r="L1152" s="3"/>
      <c r="M1152" s="3"/>
      <c r="N1152" s="3"/>
      <c r="O1152" s="2"/>
      <c r="P1152" s="277"/>
    </row>
    <row r="1153" spans="1:16" ht="30" customHeight="1" x14ac:dyDescent="0.15">
      <c r="A1153" s="284" t="s">
        <v>8562</v>
      </c>
      <c r="B1153" s="157"/>
      <c r="C1153" s="157"/>
      <c r="D1153" s="157"/>
      <c r="E1153" s="6"/>
      <c r="F1153" s="6"/>
      <c r="G1153" s="2"/>
      <c r="H1153" s="157"/>
      <c r="I1153" s="157"/>
      <c r="J1153" s="2"/>
      <c r="K1153" s="157"/>
      <c r="L1153" s="3"/>
      <c r="M1153" s="3"/>
      <c r="N1153" s="3"/>
      <c r="O1153" s="2"/>
      <c r="P1153" s="277"/>
    </row>
    <row r="1154" spans="1:16" ht="30" customHeight="1" x14ac:dyDescent="0.15">
      <c r="A1154" s="284" t="s">
        <v>8563</v>
      </c>
      <c r="B1154" s="157"/>
      <c r="C1154" s="157"/>
      <c r="D1154" s="157"/>
      <c r="E1154" s="6"/>
      <c r="F1154" s="6"/>
      <c r="G1154" s="2"/>
      <c r="H1154" s="157"/>
      <c r="I1154" s="157"/>
      <c r="J1154" s="2"/>
      <c r="K1154" s="157"/>
      <c r="L1154" s="3"/>
      <c r="M1154" s="3"/>
      <c r="N1154" s="3"/>
      <c r="O1154" s="2"/>
      <c r="P1154" s="277"/>
    </row>
    <row r="1155" spans="1:16" ht="30" customHeight="1" x14ac:dyDescent="0.15">
      <c r="A1155" s="284" t="s">
        <v>8564</v>
      </c>
      <c r="B1155" s="157"/>
      <c r="C1155" s="157"/>
      <c r="D1155" s="157"/>
      <c r="E1155" s="6"/>
      <c r="F1155" s="6"/>
      <c r="G1155" s="2"/>
      <c r="H1155" s="157"/>
      <c r="I1155" s="157"/>
      <c r="J1155" s="2"/>
      <c r="K1155" s="157"/>
      <c r="L1155" s="3"/>
      <c r="M1155" s="3"/>
      <c r="N1155" s="3"/>
      <c r="O1155" s="2"/>
      <c r="P1155" s="277"/>
    </row>
    <row r="1156" spans="1:16" ht="30" customHeight="1" x14ac:dyDescent="0.15">
      <c r="A1156" s="284" t="s">
        <v>8565</v>
      </c>
      <c r="B1156" s="157"/>
      <c r="C1156" s="157"/>
      <c r="D1156" s="157"/>
      <c r="E1156" s="6"/>
      <c r="F1156" s="6"/>
      <c r="G1156" s="2"/>
      <c r="H1156" s="157"/>
      <c r="I1156" s="157"/>
      <c r="J1156" s="2"/>
      <c r="K1156" s="157"/>
      <c r="L1156" s="3"/>
      <c r="M1156" s="3"/>
      <c r="N1156" s="3"/>
      <c r="O1156" s="2"/>
      <c r="P1156" s="277"/>
    </row>
    <row r="1157" spans="1:16" ht="30" customHeight="1" x14ac:dyDescent="0.15">
      <c r="A1157" s="284" t="s">
        <v>8566</v>
      </c>
      <c r="B1157" s="157"/>
      <c r="C1157" s="157"/>
      <c r="D1157" s="157"/>
      <c r="E1157" s="6"/>
      <c r="F1157" s="6"/>
      <c r="G1157" s="2"/>
      <c r="H1157" s="157"/>
      <c r="I1157" s="157"/>
      <c r="J1157" s="2"/>
      <c r="K1157" s="157"/>
      <c r="L1157" s="3"/>
      <c r="M1157" s="3"/>
      <c r="N1157" s="3"/>
      <c r="O1157" s="2"/>
      <c r="P1157" s="277"/>
    </row>
    <row r="1158" spans="1:16" ht="30" customHeight="1" x14ac:dyDescent="0.15">
      <c r="A1158" s="284" t="s">
        <v>8567</v>
      </c>
      <c r="B1158" s="157"/>
      <c r="C1158" s="157"/>
      <c r="D1158" s="157"/>
      <c r="E1158" s="6"/>
      <c r="F1158" s="6"/>
      <c r="G1158" s="2"/>
      <c r="H1158" s="157"/>
      <c r="I1158" s="157"/>
      <c r="J1158" s="2"/>
      <c r="K1158" s="157"/>
      <c r="L1158" s="3"/>
      <c r="M1158" s="3"/>
      <c r="N1158" s="3"/>
      <c r="O1158" s="2"/>
      <c r="P1158" s="277"/>
    </row>
    <row r="1159" spans="1:16" ht="30" customHeight="1" x14ac:dyDescent="0.15">
      <c r="A1159" s="284" t="s">
        <v>8568</v>
      </c>
      <c r="B1159" s="157"/>
      <c r="C1159" s="157"/>
      <c r="D1159" s="157"/>
      <c r="E1159" s="6"/>
      <c r="F1159" s="6"/>
      <c r="G1159" s="2"/>
      <c r="H1159" s="157"/>
      <c r="I1159" s="157"/>
      <c r="J1159" s="2"/>
      <c r="K1159" s="157"/>
      <c r="L1159" s="3"/>
      <c r="M1159" s="3"/>
      <c r="N1159" s="3"/>
      <c r="O1159" s="2"/>
      <c r="P1159" s="277"/>
    </row>
    <row r="1160" spans="1:16" ht="30" customHeight="1" x14ac:dyDescent="0.15">
      <c r="A1160" s="284" t="s">
        <v>8569</v>
      </c>
      <c r="B1160" s="157"/>
      <c r="C1160" s="157"/>
      <c r="D1160" s="157"/>
      <c r="E1160" s="6"/>
      <c r="F1160" s="6"/>
      <c r="G1160" s="2"/>
      <c r="H1160" s="157"/>
      <c r="I1160" s="157"/>
      <c r="J1160" s="2"/>
      <c r="K1160" s="157"/>
      <c r="L1160" s="3"/>
      <c r="M1160" s="3"/>
      <c r="N1160" s="3"/>
      <c r="O1160" s="2"/>
      <c r="P1160" s="277"/>
    </row>
    <row r="1161" spans="1:16" ht="30" customHeight="1" x14ac:dyDescent="0.15">
      <c r="A1161" s="284" t="s">
        <v>8570</v>
      </c>
      <c r="B1161" s="157"/>
      <c r="C1161" s="157"/>
      <c r="D1161" s="157"/>
      <c r="E1161" s="6"/>
      <c r="F1161" s="6"/>
      <c r="G1161" s="2"/>
      <c r="H1161" s="157"/>
      <c r="I1161" s="157"/>
      <c r="J1161" s="2"/>
      <c r="K1161" s="157"/>
      <c r="L1161" s="3"/>
      <c r="M1161" s="3"/>
      <c r="N1161" s="3"/>
      <c r="O1161" s="2"/>
      <c r="P1161" s="277"/>
    </row>
    <row r="1162" spans="1:16" ht="30" customHeight="1" x14ac:dyDescent="0.15">
      <c r="A1162" s="284" t="s">
        <v>8571</v>
      </c>
      <c r="B1162" s="157"/>
      <c r="C1162" s="157"/>
      <c r="D1162" s="157"/>
      <c r="E1162" s="6"/>
      <c r="F1162" s="6"/>
      <c r="G1162" s="2"/>
      <c r="H1162" s="157"/>
      <c r="I1162" s="157"/>
      <c r="J1162" s="2"/>
      <c r="K1162" s="157"/>
      <c r="L1162" s="3"/>
      <c r="M1162" s="3"/>
      <c r="N1162" s="3"/>
      <c r="O1162" s="2"/>
      <c r="P1162" s="277"/>
    </row>
    <row r="1163" spans="1:16" ht="30" customHeight="1" x14ac:dyDescent="0.15">
      <c r="A1163" s="284" t="s">
        <v>8572</v>
      </c>
      <c r="B1163" s="157"/>
      <c r="C1163" s="157"/>
      <c r="D1163" s="157"/>
      <c r="E1163" s="6"/>
      <c r="F1163" s="6"/>
      <c r="G1163" s="2"/>
      <c r="H1163" s="157"/>
      <c r="I1163" s="157"/>
      <c r="J1163" s="2"/>
      <c r="K1163" s="157"/>
      <c r="L1163" s="3"/>
      <c r="M1163" s="3"/>
      <c r="N1163" s="3"/>
      <c r="O1163" s="2"/>
      <c r="P1163" s="277"/>
    </row>
    <row r="1164" spans="1:16" ht="30" customHeight="1" x14ac:dyDescent="0.15">
      <c r="A1164" s="284" t="s">
        <v>8573</v>
      </c>
      <c r="B1164" s="157"/>
      <c r="C1164" s="157"/>
      <c r="D1164" s="157"/>
      <c r="E1164" s="6"/>
      <c r="F1164" s="6"/>
      <c r="G1164" s="2"/>
      <c r="H1164" s="157"/>
      <c r="I1164" s="157"/>
      <c r="J1164" s="2"/>
      <c r="K1164" s="157"/>
      <c r="L1164" s="3"/>
      <c r="M1164" s="3"/>
      <c r="N1164" s="3"/>
      <c r="O1164" s="2"/>
      <c r="P1164" s="277"/>
    </row>
    <row r="1165" spans="1:16" ht="30" customHeight="1" x14ac:dyDescent="0.15">
      <c r="A1165" s="284" t="s">
        <v>8574</v>
      </c>
      <c r="B1165" s="157"/>
      <c r="C1165" s="157"/>
      <c r="D1165" s="157"/>
      <c r="E1165" s="6"/>
      <c r="F1165" s="6"/>
      <c r="G1165" s="2"/>
      <c r="H1165" s="157"/>
      <c r="I1165" s="157"/>
      <c r="J1165" s="2"/>
      <c r="K1165" s="157"/>
      <c r="L1165" s="3"/>
      <c r="M1165" s="3"/>
      <c r="N1165" s="3"/>
      <c r="O1165" s="2"/>
      <c r="P1165" s="277"/>
    </row>
    <row r="1166" spans="1:16" ht="30" customHeight="1" x14ac:dyDescent="0.15">
      <c r="A1166" s="284" t="s">
        <v>8575</v>
      </c>
      <c r="B1166" s="157"/>
      <c r="C1166" s="157"/>
      <c r="D1166" s="157"/>
      <c r="E1166" s="6"/>
      <c r="F1166" s="6"/>
      <c r="G1166" s="2"/>
      <c r="H1166" s="157"/>
      <c r="I1166" s="157"/>
      <c r="J1166" s="2"/>
      <c r="K1166" s="157"/>
      <c r="L1166" s="3"/>
      <c r="M1166" s="3"/>
      <c r="N1166" s="3"/>
      <c r="O1166" s="2"/>
      <c r="P1166" s="277"/>
    </row>
    <row r="1167" spans="1:16" ht="30" customHeight="1" x14ac:dyDescent="0.15">
      <c r="A1167" s="284" t="s">
        <v>8576</v>
      </c>
      <c r="B1167" s="157"/>
      <c r="C1167" s="157"/>
      <c r="D1167" s="157"/>
      <c r="E1167" s="6"/>
      <c r="F1167" s="6"/>
      <c r="G1167" s="2"/>
      <c r="H1167" s="157"/>
      <c r="I1167" s="157"/>
      <c r="J1167" s="2"/>
      <c r="K1167" s="157"/>
      <c r="L1167" s="3"/>
      <c r="M1167" s="3"/>
      <c r="N1167" s="3"/>
      <c r="O1167" s="2"/>
      <c r="P1167" s="277"/>
    </row>
    <row r="1168" spans="1:16" ht="30" customHeight="1" x14ac:dyDescent="0.15">
      <c r="A1168" s="284" t="s">
        <v>8577</v>
      </c>
      <c r="B1168" s="157"/>
      <c r="C1168" s="157"/>
      <c r="D1168" s="157"/>
      <c r="E1168" s="6"/>
      <c r="F1168" s="6"/>
      <c r="G1168" s="2"/>
      <c r="H1168" s="157"/>
      <c r="I1168" s="157"/>
      <c r="J1168" s="2"/>
      <c r="K1168" s="157"/>
      <c r="L1168" s="3"/>
      <c r="M1168" s="3"/>
      <c r="N1168" s="3"/>
      <c r="O1168" s="2"/>
      <c r="P1168" s="277"/>
    </row>
    <row r="1169" spans="1:16" ht="30" customHeight="1" x14ac:dyDescent="0.15">
      <c r="A1169" s="284" t="s">
        <v>8578</v>
      </c>
      <c r="B1169" s="157"/>
      <c r="C1169" s="157"/>
      <c r="D1169" s="157"/>
      <c r="E1169" s="6"/>
      <c r="F1169" s="6"/>
      <c r="G1169" s="2"/>
      <c r="H1169" s="157"/>
      <c r="I1169" s="157"/>
      <c r="J1169" s="2"/>
      <c r="K1169" s="157"/>
      <c r="L1169" s="3"/>
      <c r="M1169" s="3"/>
      <c r="N1169" s="3"/>
      <c r="O1169" s="2"/>
      <c r="P1169" s="277"/>
    </row>
    <row r="1170" spans="1:16" ht="30" customHeight="1" x14ac:dyDescent="0.15">
      <c r="A1170" s="284" t="s">
        <v>8579</v>
      </c>
      <c r="B1170" s="157"/>
      <c r="C1170" s="157"/>
      <c r="D1170" s="157"/>
      <c r="E1170" s="6"/>
      <c r="F1170" s="6"/>
      <c r="G1170" s="2"/>
      <c r="H1170" s="157"/>
      <c r="I1170" s="157"/>
      <c r="J1170" s="2"/>
      <c r="K1170" s="157"/>
      <c r="L1170" s="3"/>
      <c r="M1170" s="3"/>
      <c r="N1170" s="3"/>
      <c r="O1170" s="2"/>
      <c r="P1170" s="277"/>
    </row>
    <row r="1171" spans="1:16" ht="30" customHeight="1" x14ac:dyDescent="0.15">
      <c r="A1171" s="284" t="s">
        <v>8580</v>
      </c>
      <c r="B1171" s="157"/>
      <c r="C1171" s="157"/>
      <c r="D1171" s="157"/>
      <c r="E1171" s="6"/>
      <c r="F1171" s="6"/>
      <c r="G1171" s="2"/>
      <c r="H1171" s="157"/>
      <c r="I1171" s="157"/>
      <c r="J1171" s="2"/>
      <c r="K1171" s="157"/>
      <c r="L1171" s="3"/>
      <c r="M1171" s="3"/>
      <c r="N1171" s="3"/>
      <c r="O1171" s="2"/>
      <c r="P1171" s="277"/>
    </row>
    <row r="1172" spans="1:16" ht="30" customHeight="1" x14ac:dyDescent="0.15">
      <c r="A1172" s="284" t="s">
        <v>8581</v>
      </c>
      <c r="B1172" s="157"/>
      <c r="C1172" s="157"/>
      <c r="D1172" s="157"/>
      <c r="E1172" s="6"/>
      <c r="F1172" s="6"/>
      <c r="G1172" s="2"/>
      <c r="H1172" s="157"/>
      <c r="I1172" s="157"/>
      <c r="J1172" s="2"/>
      <c r="K1172" s="157"/>
      <c r="L1172" s="3"/>
      <c r="M1172" s="3"/>
      <c r="N1172" s="3"/>
      <c r="O1172" s="2"/>
      <c r="P1172" s="277"/>
    </row>
    <row r="1173" spans="1:16" ht="30" customHeight="1" x14ac:dyDescent="0.15">
      <c r="A1173" s="284" t="s">
        <v>8582</v>
      </c>
      <c r="B1173" s="157"/>
      <c r="C1173" s="157"/>
      <c r="D1173" s="157"/>
      <c r="E1173" s="6"/>
      <c r="F1173" s="6"/>
      <c r="G1173" s="2"/>
      <c r="H1173" s="157"/>
      <c r="I1173" s="157"/>
      <c r="J1173" s="2"/>
      <c r="K1173" s="157"/>
      <c r="L1173" s="3"/>
      <c r="M1173" s="3"/>
      <c r="N1173" s="3"/>
      <c r="O1173" s="2"/>
      <c r="P1173" s="277"/>
    </row>
    <row r="1174" spans="1:16" ht="30" customHeight="1" x14ac:dyDescent="0.15">
      <c r="A1174" s="284" t="s">
        <v>8583</v>
      </c>
      <c r="B1174" s="157"/>
      <c r="C1174" s="157"/>
      <c r="D1174" s="157"/>
      <c r="E1174" s="6"/>
      <c r="F1174" s="6"/>
      <c r="G1174" s="2"/>
      <c r="H1174" s="157"/>
      <c r="I1174" s="157"/>
      <c r="J1174" s="2"/>
      <c r="K1174" s="157"/>
      <c r="L1174" s="3"/>
      <c r="M1174" s="3"/>
      <c r="N1174" s="3"/>
      <c r="O1174" s="2"/>
      <c r="P1174" s="277"/>
    </row>
    <row r="1175" spans="1:16" ht="30" customHeight="1" x14ac:dyDescent="0.15">
      <c r="A1175" s="284" t="s">
        <v>8584</v>
      </c>
      <c r="B1175" s="157"/>
      <c r="C1175" s="157"/>
      <c r="D1175" s="157"/>
      <c r="E1175" s="6"/>
      <c r="F1175" s="6"/>
      <c r="G1175" s="2"/>
      <c r="H1175" s="157"/>
      <c r="I1175" s="157"/>
      <c r="J1175" s="2"/>
      <c r="K1175" s="157"/>
      <c r="L1175" s="3"/>
      <c r="M1175" s="3"/>
      <c r="N1175" s="3"/>
      <c r="O1175" s="2"/>
      <c r="P1175" s="277"/>
    </row>
    <row r="1176" spans="1:16" ht="30" customHeight="1" x14ac:dyDescent="0.15">
      <c r="A1176" s="284" t="s">
        <v>8585</v>
      </c>
      <c r="B1176" s="157"/>
      <c r="C1176" s="157"/>
      <c r="D1176" s="157"/>
      <c r="E1176" s="6"/>
      <c r="F1176" s="6"/>
      <c r="G1176" s="2"/>
      <c r="H1176" s="157"/>
      <c r="I1176" s="157"/>
      <c r="J1176" s="2"/>
      <c r="K1176" s="157"/>
      <c r="L1176" s="3"/>
      <c r="M1176" s="3"/>
      <c r="N1176" s="3"/>
      <c r="O1176" s="2"/>
      <c r="P1176" s="277"/>
    </row>
    <row r="1177" spans="1:16" ht="30" customHeight="1" x14ac:dyDescent="0.15">
      <c r="A1177" s="284" t="s">
        <v>8586</v>
      </c>
      <c r="B1177" s="157"/>
      <c r="C1177" s="157"/>
      <c r="D1177" s="157"/>
      <c r="E1177" s="6"/>
      <c r="F1177" s="6"/>
      <c r="G1177" s="2"/>
      <c r="H1177" s="157"/>
      <c r="I1177" s="157"/>
      <c r="J1177" s="2"/>
      <c r="K1177" s="157"/>
      <c r="L1177" s="3"/>
      <c r="M1177" s="3"/>
      <c r="N1177" s="3"/>
      <c r="O1177" s="2"/>
      <c r="P1177" s="277"/>
    </row>
    <row r="1178" spans="1:16" ht="30" customHeight="1" x14ac:dyDescent="0.15">
      <c r="A1178" s="284" t="s">
        <v>8587</v>
      </c>
      <c r="B1178" s="157"/>
      <c r="C1178" s="157"/>
      <c r="D1178" s="157"/>
      <c r="E1178" s="6"/>
      <c r="F1178" s="6"/>
      <c r="G1178" s="2"/>
      <c r="H1178" s="157"/>
      <c r="I1178" s="157"/>
      <c r="J1178" s="2"/>
      <c r="K1178" s="157"/>
      <c r="L1178" s="3"/>
      <c r="M1178" s="3"/>
      <c r="N1178" s="3"/>
      <c r="O1178" s="2"/>
      <c r="P1178" s="277"/>
    </row>
    <row r="1179" spans="1:16" ht="30" customHeight="1" x14ac:dyDescent="0.15">
      <c r="A1179" s="284" t="s">
        <v>8588</v>
      </c>
      <c r="B1179" s="157"/>
      <c r="C1179" s="157"/>
      <c r="D1179" s="157"/>
      <c r="E1179" s="6"/>
      <c r="F1179" s="6"/>
      <c r="G1179" s="2"/>
      <c r="H1179" s="157"/>
      <c r="I1179" s="157"/>
      <c r="J1179" s="2"/>
      <c r="K1179" s="157"/>
      <c r="L1179" s="3"/>
      <c r="M1179" s="3"/>
      <c r="N1179" s="3"/>
      <c r="O1179" s="2"/>
      <c r="P1179" s="277"/>
    </row>
    <row r="1180" spans="1:16" ht="30" customHeight="1" x14ac:dyDescent="0.15">
      <c r="A1180" s="284" t="s">
        <v>8589</v>
      </c>
      <c r="B1180" s="157"/>
      <c r="C1180" s="157"/>
      <c r="D1180" s="157"/>
      <c r="E1180" s="6"/>
      <c r="F1180" s="6"/>
      <c r="G1180" s="2"/>
      <c r="H1180" s="157"/>
      <c r="I1180" s="157"/>
      <c r="J1180" s="2"/>
      <c r="K1180" s="157"/>
      <c r="L1180" s="3"/>
      <c r="M1180" s="3"/>
      <c r="N1180" s="3"/>
      <c r="O1180" s="2"/>
      <c r="P1180" s="277"/>
    </row>
    <row r="1181" spans="1:16" ht="30" customHeight="1" x14ac:dyDescent="0.15">
      <c r="A1181" s="284" t="s">
        <v>8590</v>
      </c>
      <c r="B1181" s="157"/>
      <c r="C1181" s="157"/>
      <c r="D1181" s="157"/>
      <c r="E1181" s="6"/>
      <c r="F1181" s="6"/>
      <c r="G1181" s="2"/>
      <c r="H1181" s="157"/>
      <c r="I1181" s="157"/>
      <c r="J1181" s="2"/>
      <c r="K1181" s="157"/>
      <c r="L1181" s="3"/>
      <c r="M1181" s="3"/>
      <c r="N1181" s="3"/>
      <c r="O1181" s="2"/>
      <c r="P1181" s="277"/>
    </row>
    <row r="1182" spans="1:16" ht="30" customHeight="1" x14ac:dyDescent="0.15">
      <c r="A1182" s="284" t="s">
        <v>8591</v>
      </c>
      <c r="B1182" s="157"/>
      <c r="C1182" s="157"/>
      <c r="D1182" s="157"/>
      <c r="E1182" s="6"/>
      <c r="F1182" s="6"/>
      <c r="G1182" s="2"/>
      <c r="H1182" s="157"/>
      <c r="I1182" s="157"/>
      <c r="J1182" s="2"/>
      <c r="K1182" s="157"/>
      <c r="L1182" s="3"/>
      <c r="M1182" s="3"/>
      <c r="N1182" s="3"/>
      <c r="O1182" s="2"/>
      <c r="P1182" s="277"/>
    </row>
    <row r="1183" spans="1:16" ht="30" customHeight="1" x14ac:dyDescent="0.15">
      <c r="A1183" s="284" t="s">
        <v>8592</v>
      </c>
      <c r="B1183" s="157"/>
      <c r="C1183" s="157"/>
      <c r="D1183" s="157"/>
      <c r="E1183" s="6"/>
      <c r="F1183" s="6"/>
      <c r="G1183" s="2"/>
      <c r="H1183" s="157"/>
      <c r="I1183" s="157"/>
      <c r="J1183" s="2"/>
      <c r="K1183" s="157"/>
      <c r="L1183" s="3"/>
      <c r="M1183" s="3"/>
      <c r="N1183" s="3"/>
      <c r="O1183" s="2"/>
      <c r="P1183" s="277"/>
    </row>
    <row r="1184" spans="1:16" ht="30" customHeight="1" x14ac:dyDescent="0.15">
      <c r="A1184" s="284" t="s">
        <v>8593</v>
      </c>
      <c r="B1184" s="157"/>
      <c r="C1184" s="157"/>
      <c r="D1184" s="157"/>
      <c r="E1184" s="6"/>
      <c r="F1184" s="6"/>
      <c r="G1184" s="2"/>
      <c r="H1184" s="157"/>
      <c r="I1184" s="157"/>
      <c r="J1184" s="2"/>
      <c r="K1184" s="157"/>
      <c r="L1184" s="3"/>
      <c r="M1184" s="3"/>
      <c r="N1184" s="3"/>
      <c r="O1184" s="2"/>
      <c r="P1184" s="277"/>
    </row>
    <row r="1185" spans="1:16" ht="30" customHeight="1" x14ac:dyDescent="0.15">
      <c r="A1185" s="284" t="s">
        <v>8594</v>
      </c>
      <c r="B1185" s="157"/>
      <c r="C1185" s="157"/>
      <c r="D1185" s="157"/>
      <c r="E1185" s="6"/>
      <c r="F1185" s="6"/>
      <c r="G1185" s="2"/>
      <c r="H1185" s="157"/>
      <c r="I1185" s="157"/>
      <c r="J1185" s="2"/>
      <c r="K1185" s="157"/>
      <c r="L1185" s="3"/>
      <c r="M1185" s="3"/>
      <c r="N1185" s="3"/>
      <c r="O1185" s="2"/>
      <c r="P1185" s="277"/>
    </row>
    <row r="1186" spans="1:16" ht="30" customHeight="1" x14ac:dyDescent="0.15">
      <c r="A1186" s="284" t="s">
        <v>8595</v>
      </c>
      <c r="B1186" s="157"/>
      <c r="C1186" s="157"/>
      <c r="D1186" s="157"/>
      <c r="E1186" s="6"/>
      <c r="F1186" s="6"/>
      <c r="G1186" s="2"/>
      <c r="H1186" s="157"/>
      <c r="I1186" s="157"/>
      <c r="J1186" s="2"/>
      <c r="K1186" s="157"/>
      <c r="L1186" s="3"/>
      <c r="M1186" s="3"/>
      <c r="N1186" s="3"/>
      <c r="O1186" s="2"/>
      <c r="P1186" s="277"/>
    </row>
    <row r="1187" spans="1:16" ht="30" customHeight="1" x14ac:dyDescent="0.15">
      <c r="A1187" s="284" t="s">
        <v>8596</v>
      </c>
      <c r="B1187" s="157"/>
      <c r="C1187" s="157"/>
      <c r="D1187" s="157"/>
      <c r="E1187" s="6"/>
      <c r="F1187" s="6"/>
      <c r="G1187" s="2"/>
      <c r="H1187" s="157"/>
      <c r="I1187" s="157"/>
      <c r="J1187" s="2"/>
      <c r="K1187" s="157"/>
      <c r="L1187" s="3"/>
      <c r="M1187" s="3"/>
      <c r="N1187" s="3"/>
      <c r="O1187" s="2"/>
      <c r="P1187" s="277"/>
    </row>
    <row r="1188" spans="1:16" ht="30" customHeight="1" x14ac:dyDescent="0.15">
      <c r="A1188" s="284" t="s">
        <v>8597</v>
      </c>
      <c r="B1188" s="157"/>
      <c r="C1188" s="157"/>
      <c r="D1188" s="157"/>
      <c r="E1188" s="6"/>
      <c r="F1188" s="6"/>
      <c r="G1188" s="2"/>
      <c r="H1188" s="157"/>
      <c r="I1188" s="157"/>
      <c r="J1188" s="2"/>
      <c r="K1188" s="157"/>
      <c r="L1188" s="3"/>
      <c r="M1188" s="3"/>
      <c r="N1188" s="3"/>
      <c r="O1188" s="2"/>
      <c r="P1188" s="277"/>
    </row>
    <row r="1189" spans="1:16" ht="30" customHeight="1" x14ac:dyDescent="0.15">
      <c r="A1189" s="284" t="s">
        <v>8598</v>
      </c>
      <c r="B1189" s="157"/>
      <c r="C1189" s="157"/>
      <c r="D1189" s="157"/>
      <c r="E1189" s="6"/>
      <c r="F1189" s="6"/>
      <c r="G1189" s="2"/>
      <c r="H1189" s="157"/>
      <c r="I1189" s="157"/>
      <c r="J1189" s="2"/>
      <c r="K1189" s="157"/>
      <c r="L1189" s="3"/>
      <c r="M1189" s="3"/>
      <c r="N1189" s="3"/>
      <c r="O1189" s="2"/>
      <c r="P1189" s="277"/>
    </row>
    <row r="1190" spans="1:16" ht="30" customHeight="1" x14ac:dyDescent="0.15">
      <c r="A1190" s="284" t="s">
        <v>8599</v>
      </c>
      <c r="B1190" s="157"/>
      <c r="C1190" s="157"/>
      <c r="D1190" s="157"/>
      <c r="E1190" s="6"/>
      <c r="F1190" s="6"/>
      <c r="G1190" s="2"/>
      <c r="H1190" s="157"/>
      <c r="I1190" s="157"/>
      <c r="J1190" s="2"/>
      <c r="K1190" s="157"/>
      <c r="L1190" s="3"/>
      <c r="M1190" s="3"/>
      <c r="N1190" s="3"/>
      <c r="O1190" s="2"/>
      <c r="P1190" s="277"/>
    </row>
    <row r="1191" spans="1:16" ht="30" customHeight="1" x14ac:dyDescent="0.15">
      <c r="A1191" s="284" t="s">
        <v>8600</v>
      </c>
      <c r="B1191" s="157"/>
      <c r="C1191" s="157"/>
      <c r="D1191" s="157"/>
      <c r="E1191" s="6"/>
      <c r="F1191" s="6"/>
      <c r="G1191" s="2"/>
      <c r="H1191" s="157"/>
      <c r="I1191" s="157"/>
      <c r="J1191" s="2"/>
      <c r="K1191" s="157"/>
      <c r="L1191" s="3"/>
      <c r="M1191" s="3"/>
      <c r="N1191" s="3"/>
      <c r="O1191" s="2"/>
      <c r="P1191" s="277"/>
    </row>
    <row r="1192" spans="1:16" ht="30" customHeight="1" x14ac:dyDescent="0.15">
      <c r="A1192" s="284" t="s">
        <v>8601</v>
      </c>
      <c r="B1192" s="157"/>
      <c r="C1192" s="157"/>
      <c r="D1192" s="157"/>
      <c r="E1192" s="6"/>
      <c r="F1192" s="6"/>
      <c r="G1192" s="2"/>
      <c r="H1192" s="157"/>
      <c r="I1192" s="157"/>
      <c r="J1192" s="2"/>
      <c r="K1192" s="157"/>
      <c r="L1192" s="3"/>
      <c r="M1192" s="3"/>
      <c r="N1192" s="3"/>
      <c r="O1192" s="2"/>
      <c r="P1192" s="277"/>
    </row>
    <row r="1193" spans="1:16" ht="30" customHeight="1" x14ac:dyDescent="0.15">
      <c r="A1193" s="284" t="s">
        <v>8602</v>
      </c>
      <c r="B1193" s="157"/>
      <c r="C1193" s="157"/>
      <c r="D1193" s="157"/>
      <c r="E1193" s="6"/>
      <c r="F1193" s="6"/>
      <c r="G1193" s="2"/>
      <c r="H1193" s="157"/>
      <c r="I1193" s="157"/>
      <c r="J1193" s="2"/>
      <c r="K1193" s="157"/>
      <c r="L1193" s="3"/>
      <c r="M1193" s="3"/>
      <c r="N1193" s="3"/>
      <c r="O1193" s="2"/>
      <c r="P1193" s="277"/>
    </row>
    <row r="1194" spans="1:16" ht="30" customHeight="1" x14ac:dyDescent="0.15">
      <c r="A1194" s="284" t="s">
        <v>8603</v>
      </c>
      <c r="B1194" s="157"/>
      <c r="C1194" s="157"/>
      <c r="D1194" s="157"/>
      <c r="E1194" s="6"/>
      <c r="F1194" s="6"/>
      <c r="G1194" s="2"/>
      <c r="H1194" s="157"/>
      <c r="I1194" s="157"/>
      <c r="J1194" s="2"/>
      <c r="K1194" s="157"/>
      <c r="L1194" s="3"/>
      <c r="M1194" s="3"/>
      <c r="N1194" s="3"/>
      <c r="O1194" s="2"/>
      <c r="P1194" s="277"/>
    </row>
    <row r="1195" spans="1:16" ht="30" customHeight="1" x14ac:dyDescent="0.15">
      <c r="A1195" s="284" t="s">
        <v>8604</v>
      </c>
      <c r="B1195" s="157"/>
      <c r="C1195" s="157"/>
      <c r="D1195" s="157"/>
      <c r="E1195" s="6"/>
      <c r="F1195" s="6"/>
      <c r="G1195" s="2"/>
      <c r="H1195" s="157"/>
      <c r="I1195" s="157"/>
      <c r="J1195" s="2"/>
      <c r="K1195" s="157"/>
      <c r="L1195" s="3"/>
      <c r="M1195" s="3"/>
      <c r="N1195" s="3"/>
      <c r="O1195" s="2"/>
      <c r="P1195" s="277"/>
    </row>
    <row r="1196" spans="1:16" ht="30" customHeight="1" x14ac:dyDescent="0.15">
      <c r="A1196" s="284" t="s">
        <v>8605</v>
      </c>
      <c r="B1196" s="157"/>
      <c r="C1196" s="157"/>
      <c r="D1196" s="157"/>
      <c r="E1196" s="6"/>
      <c r="F1196" s="6"/>
      <c r="G1196" s="2"/>
      <c r="H1196" s="157"/>
      <c r="I1196" s="157"/>
      <c r="J1196" s="2"/>
      <c r="K1196" s="157"/>
      <c r="L1196" s="3"/>
      <c r="M1196" s="3"/>
      <c r="N1196" s="3"/>
      <c r="O1196" s="2"/>
      <c r="P1196" s="277"/>
    </row>
    <row r="1197" spans="1:16" ht="30" customHeight="1" x14ac:dyDescent="0.15">
      <c r="A1197" s="284" t="s">
        <v>8606</v>
      </c>
      <c r="B1197" s="157"/>
      <c r="C1197" s="157"/>
      <c r="D1197" s="157"/>
      <c r="E1197" s="6"/>
      <c r="F1197" s="6"/>
      <c r="G1197" s="2"/>
      <c r="H1197" s="157"/>
      <c r="I1197" s="157"/>
      <c r="J1197" s="2"/>
      <c r="K1197" s="157"/>
      <c r="L1197" s="3"/>
      <c r="M1197" s="3"/>
      <c r="N1197" s="3"/>
      <c r="O1197" s="2"/>
      <c r="P1197" s="277"/>
    </row>
    <row r="1198" spans="1:16" ht="30" customHeight="1" x14ac:dyDescent="0.15">
      <c r="A1198" s="284" t="s">
        <v>8607</v>
      </c>
      <c r="B1198" s="157"/>
      <c r="C1198" s="157"/>
      <c r="D1198" s="157"/>
      <c r="E1198" s="6"/>
      <c r="F1198" s="6"/>
      <c r="G1198" s="2"/>
      <c r="H1198" s="157"/>
      <c r="I1198" s="157"/>
      <c r="J1198" s="2"/>
      <c r="K1198" s="157"/>
      <c r="L1198" s="3"/>
      <c r="M1198" s="3"/>
      <c r="N1198" s="3"/>
      <c r="O1198" s="2"/>
      <c r="P1198" s="277"/>
    </row>
    <row r="1199" spans="1:16" ht="30" customHeight="1" x14ac:dyDescent="0.15">
      <c r="A1199" s="284" t="s">
        <v>8608</v>
      </c>
      <c r="B1199" s="157"/>
      <c r="C1199" s="157"/>
      <c r="D1199" s="157"/>
      <c r="E1199" s="6"/>
      <c r="F1199" s="6"/>
      <c r="G1199" s="2"/>
      <c r="H1199" s="157"/>
      <c r="I1199" s="157"/>
      <c r="J1199" s="2"/>
      <c r="K1199" s="157"/>
      <c r="L1199" s="3"/>
      <c r="M1199" s="3"/>
      <c r="N1199" s="3"/>
      <c r="O1199" s="2"/>
      <c r="P1199" s="277"/>
    </row>
    <row r="1200" spans="1:16" ht="30" customHeight="1" x14ac:dyDescent="0.15">
      <c r="A1200" s="284" t="s">
        <v>8609</v>
      </c>
      <c r="B1200" s="157"/>
      <c r="C1200" s="157"/>
      <c r="D1200" s="157"/>
      <c r="E1200" s="6"/>
      <c r="F1200" s="6"/>
      <c r="G1200" s="2"/>
      <c r="H1200" s="157"/>
      <c r="I1200" s="157"/>
      <c r="J1200" s="2"/>
      <c r="K1200" s="157"/>
      <c r="L1200" s="3"/>
      <c r="M1200" s="3"/>
      <c r="N1200" s="3"/>
      <c r="O1200" s="2"/>
      <c r="P1200" s="277"/>
    </row>
    <row r="1201" spans="1:16" ht="30" customHeight="1" x14ac:dyDescent="0.15">
      <c r="A1201" s="284" t="s">
        <v>8610</v>
      </c>
      <c r="B1201" s="157"/>
      <c r="C1201" s="157"/>
      <c r="D1201" s="157"/>
      <c r="E1201" s="6"/>
      <c r="F1201" s="6"/>
      <c r="G1201" s="2"/>
      <c r="H1201" s="157"/>
      <c r="I1201" s="157"/>
      <c r="J1201" s="2"/>
      <c r="K1201" s="157"/>
      <c r="L1201" s="3"/>
      <c r="M1201" s="3"/>
      <c r="N1201" s="3"/>
      <c r="O1201" s="2"/>
      <c r="P1201" s="277"/>
    </row>
    <row r="1202" spans="1:16" ht="30" customHeight="1" x14ac:dyDescent="0.15">
      <c r="A1202" s="284" t="s">
        <v>8611</v>
      </c>
      <c r="B1202" s="157"/>
      <c r="C1202" s="157"/>
      <c r="D1202" s="157"/>
      <c r="E1202" s="6"/>
      <c r="F1202" s="6"/>
      <c r="G1202" s="2"/>
      <c r="H1202" s="157"/>
      <c r="I1202" s="157"/>
      <c r="J1202" s="2"/>
      <c r="K1202" s="157"/>
      <c r="L1202" s="3"/>
      <c r="M1202" s="3"/>
      <c r="N1202" s="3"/>
      <c r="O1202" s="2"/>
      <c r="P1202" s="277"/>
    </row>
    <row r="1203" spans="1:16" ht="30" customHeight="1" x14ac:dyDescent="0.15">
      <c r="A1203" s="284" t="s">
        <v>8612</v>
      </c>
      <c r="B1203" s="157"/>
      <c r="C1203" s="157"/>
      <c r="D1203" s="157"/>
      <c r="E1203" s="6"/>
      <c r="F1203" s="6"/>
      <c r="G1203" s="2"/>
      <c r="H1203" s="157"/>
      <c r="I1203" s="157"/>
      <c r="J1203" s="2"/>
      <c r="K1203" s="157"/>
      <c r="L1203" s="3"/>
      <c r="M1203" s="3"/>
      <c r="N1203" s="3"/>
      <c r="O1203" s="2"/>
      <c r="P1203" s="277"/>
    </row>
    <row r="1204" spans="1:16" ht="30" customHeight="1" x14ac:dyDescent="0.15">
      <c r="A1204" s="284" t="s">
        <v>8613</v>
      </c>
      <c r="B1204" s="157"/>
      <c r="C1204" s="157"/>
      <c r="D1204" s="157"/>
      <c r="E1204" s="6"/>
      <c r="F1204" s="6"/>
      <c r="G1204" s="2"/>
      <c r="H1204" s="157"/>
      <c r="I1204" s="157"/>
      <c r="J1204" s="2"/>
      <c r="K1204" s="157"/>
      <c r="L1204" s="3"/>
      <c r="M1204" s="3"/>
      <c r="N1204" s="3"/>
      <c r="O1204" s="2"/>
      <c r="P1204" s="277"/>
    </row>
    <row r="1205" spans="1:16" ht="30" customHeight="1" x14ac:dyDescent="0.15">
      <c r="A1205" s="284" t="s">
        <v>8614</v>
      </c>
      <c r="B1205" s="157"/>
      <c r="C1205" s="157"/>
      <c r="D1205" s="157"/>
      <c r="E1205" s="6"/>
      <c r="F1205" s="6"/>
      <c r="G1205" s="2"/>
      <c r="H1205" s="157"/>
      <c r="I1205" s="157"/>
      <c r="J1205" s="2"/>
      <c r="K1205" s="157"/>
      <c r="L1205" s="3"/>
      <c r="M1205" s="3"/>
      <c r="N1205" s="3"/>
      <c r="O1205" s="2"/>
      <c r="P1205" s="277"/>
    </row>
    <row r="1206" spans="1:16" ht="30" customHeight="1" x14ac:dyDescent="0.15">
      <c r="A1206" s="284" t="s">
        <v>8615</v>
      </c>
      <c r="B1206" s="157"/>
      <c r="C1206" s="157"/>
      <c r="D1206" s="157"/>
      <c r="E1206" s="6"/>
      <c r="F1206" s="6"/>
      <c r="G1206" s="2"/>
      <c r="H1206" s="157"/>
      <c r="I1206" s="157"/>
      <c r="J1206" s="2"/>
      <c r="K1206" s="157"/>
      <c r="L1206" s="3"/>
      <c r="M1206" s="3"/>
      <c r="N1206" s="3"/>
      <c r="O1206" s="2"/>
      <c r="P1206" s="277"/>
    </row>
    <row r="1207" spans="1:16" ht="30" customHeight="1" x14ac:dyDescent="0.15">
      <c r="A1207" s="284" t="s">
        <v>8616</v>
      </c>
      <c r="B1207" s="157"/>
      <c r="C1207" s="157"/>
      <c r="D1207" s="157"/>
      <c r="E1207" s="6"/>
      <c r="F1207" s="6"/>
      <c r="G1207" s="2"/>
      <c r="H1207" s="157"/>
      <c r="I1207" s="157"/>
      <c r="J1207" s="2"/>
      <c r="K1207" s="157"/>
      <c r="L1207" s="3"/>
      <c r="M1207" s="3"/>
      <c r="N1207" s="3"/>
      <c r="O1207" s="2"/>
      <c r="P1207" s="277"/>
    </row>
    <row r="1208" spans="1:16" ht="30" customHeight="1" x14ac:dyDescent="0.15">
      <c r="A1208" s="284" t="s">
        <v>8617</v>
      </c>
      <c r="B1208" s="157"/>
      <c r="C1208" s="157"/>
      <c r="D1208" s="157"/>
      <c r="E1208" s="6"/>
      <c r="F1208" s="6"/>
      <c r="G1208" s="2"/>
      <c r="H1208" s="157"/>
      <c r="I1208" s="157"/>
      <c r="J1208" s="2"/>
      <c r="K1208" s="157"/>
      <c r="L1208" s="3"/>
      <c r="M1208" s="3"/>
      <c r="N1208" s="3"/>
      <c r="O1208" s="2"/>
      <c r="P1208" s="277"/>
    </row>
    <row r="1209" spans="1:16" ht="30" customHeight="1" x14ac:dyDescent="0.15">
      <c r="A1209" s="284" t="s">
        <v>8618</v>
      </c>
      <c r="B1209" s="157"/>
      <c r="C1209" s="157"/>
      <c r="D1209" s="157"/>
      <c r="E1209" s="6"/>
      <c r="F1209" s="6"/>
      <c r="G1209" s="2"/>
      <c r="H1209" s="157"/>
      <c r="I1209" s="157"/>
      <c r="J1209" s="2"/>
      <c r="K1209" s="157"/>
      <c r="L1209" s="3"/>
      <c r="M1209" s="3"/>
      <c r="N1209" s="3"/>
      <c r="O1209" s="2"/>
      <c r="P1209" s="277"/>
    </row>
    <row r="1210" spans="1:16" ht="30" customHeight="1" x14ac:dyDescent="0.15">
      <c r="A1210" s="284" t="s">
        <v>8619</v>
      </c>
      <c r="B1210" s="157"/>
      <c r="C1210" s="157"/>
      <c r="D1210" s="157"/>
      <c r="E1210" s="6"/>
      <c r="F1210" s="6"/>
      <c r="G1210" s="2"/>
      <c r="H1210" s="157"/>
      <c r="I1210" s="157"/>
      <c r="J1210" s="2"/>
      <c r="K1210" s="157"/>
      <c r="L1210" s="3"/>
      <c r="M1210" s="3"/>
      <c r="N1210" s="3"/>
      <c r="O1210" s="2"/>
      <c r="P1210" s="277"/>
    </row>
    <row r="1211" spans="1:16" ht="30" customHeight="1" x14ac:dyDescent="0.15">
      <c r="A1211" s="284" t="s">
        <v>8620</v>
      </c>
      <c r="B1211" s="157"/>
      <c r="C1211" s="157"/>
      <c r="D1211" s="157"/>
      <c r="E1211" s="6"/>
      <c r="F1211" s="6"/>
      <c r="G1211" s="2"/>
      <c r="H1211" s="157"/>
      <c r="I1211" s="157"/>
      <c r="J1211" s="2"/>
      <c r="K1211" s="157"/>
      <c r="L1211" s="3"/>
      <c r="M1211" s="3"/>
      <c r="N1211" s="3"/>
      <c r="O1211" s="2"/>
      <c r="P1211" s="277"/>
    </row>
    <row r="1212" spans="1:16" ht="30" customHeight="1" x14ac:dyDescent="0.15">
      <c r="A1212" s="284" t="s">
        <v>8621</v>
      </c>
      <c r="B1212" s="157"/>
      <c r="C1212" s="157"/>
      <c r="D1212" s="157"/>
      <c r="E1212" s="6"/>
      <c r="F1212" s="6"/>
      <c r="G1212" s="2"/>
      <c r="H1212" s="157"/>
      <c r="I1212" s="157"/>
      <c r="J1212" s="2"/>
      <c r="K1212" s="157"/>
      <c r="L1212" s="3"/>
      <c r="M1212" s="3"/>
      <c r="N1212" s="3"/>
      <c r="O1212" s="2"/>
      <c r="P1212" s="277"/>
    </row>
    <row r="1213" spans="1:16" ht="30" customHeight="1" x14ac:dyDescent="0.15">
      <c r="A1213" s="284" t="s">
        <v>8622</v>
      </c>
      <c r="B1213" s="157"/>
      <c r="C1213" s="157"/>
      <c r="D1213" s="157"/>
      <c r="E1213" s="6"/>
      <c r="F1213" s="6"/>
      <c r="G1213" s="2"/>
      <c r="H1213" s="157"/>
      <c r="I1213" s="157"/>
      <c r="J1213" s="2"/>
      <c r="K1213" s="157"/>
      <c r="L1213" s="3"/>
      <c r="M1213" s="3"/>
      <c r="N1213" s="3"/>
      <c r="O1213" s="2"/>
      <c r="P1213" s="277"/>
    </row>
    <row r="1214" spans="1:16" ht="30" customHeight="1" x14ac:dyDescent="0.15">
      <c r="A1214" s="284" t="s">
        <v>8623</v>
      </c>
      <c r="B1214" s="157"/>
      <c r="C1214" s="157"/>
      <c r="D1214" s="157"/>
      <c r="E1214" s="6"/>
      <c r="F1214" s="6"/>
      <c r="G1214" s="2"/>
      <c r="H1214" s="157"/>
      <c r="I1214" s="157"/>
      <c r="J1214" s="2"/>
      <c r="K1214" s="157"/>
      <c r="L1214" s="3"/>
      <c r="M1214" s="3"/>
      <c r="N1214" s="3"/>
      <c r="O1214" s="2"/>
      <c r="P1214" s="277"/>
    </row>
    <row r="1215" spans="1:16" ht="30" customHeight="1" x14ac:dyDescent="0.15">
      <c r="A1215" s="284" t="s">
        <v>8624</v>
      </c>
      <c r="B1215" s="157"/>
      <c r="C1215" s="157"/>
      <c r="D1215" s="157"/>
      <c r="E1215" s="6"/>
      <c r="F1215" s="6"/>
      <c r="G1215" s="2"/>
      <c r="H1215" s="157"/>
      <c r="I1215" s="157"/>
      <c r="J1215" s="2"/>
      <c r="K1215" s="157"/>
      <c r="L1215" s="3"/>
      <c r="M1215" s="3"/>
      <c r="N1215" s="3"/>
      <c r="O1215" s="2"/>
      <c r="P1215" s="277"/>
    </row>
    <row r="1216" spans="1:16" ht="30" customHeight="1" x14ac:dyDescent="0.15">
      <c r="A1216" s="284" t="s">
        <v>8625</v>
      </c>
      <c r="B1216" s="157"/>
      <c r="C1216" s="157"/>
      <c r="D1216" s="157"/>
      <c r="E1216" s="6"/>
      <c r="F1216" s="6"/>
      <c r="G1216" s="2"/>
      <c r="H1216" s="157"/>
      <c r="I1216" s="157"/>
      <c r="J1216" s="2"/>
      <c r="K1216" s="157"/>
      <c r="L1216" s="3"/>
      <c r="M1216" s="3"/>
      <c r="N1216" s="3"/>
      <c r="O1216" s="2"/>
      <c r="P1216" s="277"/>
    </row>
    <row r="1217" spans="1:16" ht="30" customHeight="1" x14ac:dyDescent="0.15">
      <c r="A1217" s="284" t="s">
        <v>8626</v>
      </c>
      <c r="B1217" s="157"/>
      <c r="C1217" s="157"/>
      <c r="D1217" s="157"/>
      <c r="E1217" s="6"/>
      <c r="F1217" s="6"/>
      <c r="G1217" s="2"/>
      <c r="H1217" s="157"/>
      <c r="I1217" s="157"/>
      <c r="J1217" s="2"/>
      <c r="K1217" s="157"/>
      <c r="L1217" s="3"/>
      <c r="M1217" s="3"/>
      <c r="N1217" s="3"/>
      <c r="O1217" s="2"/>
      <c r="P1217" s="277"/>
    </row>
    <row r="1218" spans="1:16" ht="30" customHeight="1" x14ac:dyDescent="0.15">
      <c r="A1218" s="284" t="s">
        <v>8627</v>
      </c>
      <c r="B1218" s="157"/>
      <c r="C1218" s="157"/>
      <c r="D1218" s="157"/>
      <c r="E1218" s="6"/>
      <c r="F1218" s="6"/>
      <c r="G1218" s="2"/>
      <c r="H1218" s="157"/>
      <c r="I1218" s="157"/>
      <c r="J1218" s="2"/>
      <c r="K1218" s="157"/>
      <c r="L1218" s="3"/>
      <c r="M1218" s="3"/>
      <c r="N1218" s="3"/>
      <c r="O1218" s="2"/>
      <c r="P1218" s="277"/>
    </row>
    <row r="1219" spans="1:16" ht="30" customHeight="1" x14ac:dyDescent="0.15">
      <c r="A1219" s="284" t="s">
        <v>8628</v>
      </c>
      <c r="B1219" s="157"/>
      <c r="C1219" s="157"/>
      <c r="D1219" s="157"/>
      <c r="E1219" s="6"/>
      <c r="F1219" s="6"/>
      <c r="G1219" s="2"/>
      <c r="H1219" s="157"/>
      <c r="I1219" s="157"/>
      <c r="J1219" s="2"/>
      <c r="K1219" s="157"/>
      <c r="L1219" s="3"/>
      <c r="M1219" s="3"/>
      <c r="N1219" s="3"/>
      <c r="O1219" s="2"/>
      <c r="P1219" s="277"/>
    </row>
    <row r="1220" spans="1:16" ht="30" customHeight="1" x14ac:dyDescent="0.15">
      <c r="A1220" s="284" t="s">
        <v>8629</v>
      </c>
      <c r="B1220" s="157"/>
      <c r="C1220" s="157"/>
      <c r="D1220" s="157"/>
      <c r="E1220" s="6"/>
      <c r="F1220" s="6"/>
      <c r="G1220" s="2"/>
      <c r="H1220" s="157"/>
      <c r="I1220" s="157"/>
      <c r="J1220" s="2"/>
      <c r="K1220" s="157"/>
      <c r="L1220" s="3"/>
      <c r="M1220" s="3"/>
      <c r="N1220" s="3"/>
      <c r="O1220" s="2"/>
      <c r="P1220" s="277"/>
    </row>
    <row r="1221" spans="1:16" ht="30" customHeight="1" x14ac:dyDescent="0.15">
      <c r="A1221" s="284" t="s">
        <v>8630</v>
      </c>
      <c r="B1221" s="157"/>
      <c r="C1221" s="157"/>
      <c r="D1221" s="157"/>
      <c r="E1221" s="6"/>
      <c r="F1221" s="6"/>
      <c r="G1221" s="2"/>
      <c r="H1221" s="157"/>
      <c r="I1221" s="157"/>
      <c r="J1221" s="2"/>
      <c r="K1221" s="157"/>
      <c r="L1221" s="3"/>
      <c r="M1221" s="3"/>
      <c r="N1221" s="3"/>
      <c r="O1221" s="2"/>
      <c r="P1221" s="277"/>
    </row>
    <row r="1222" spans="1:16" ht="30" customHeight="1" x14ac:dyDescent="0.15">
      <c r="A1222" s="284" t="s">
        <v>8631</v>
      </c>
      <c r="B1222" s="157"/>
      <c r="C1222" s="157"/>
      <c r="D1222" s="157"/>
      <c r="E1222" s="6"/>
      <c r="F1222" s="6"/>
      <c r="G1222" s="2"/>
      <c r="H1222" s="157"/>
      <c r="I1222" s="157"/>
      <c r="J1222" s="2"/>
      <c r="K1222" s="157"/>
      <c r="L1222" s="3"/>
      <c r="M1222" s="3"/>
      <c r="N1222" s="3"/>
      <c r="O1222" s="2"/>
      <c r="P1222" s="277"/>
    </row>
    <row r="1223" spans="1:16" ht="30" customHeight="1" x14ac:dyDescent="0.15">
      <c r="A1223" s="284" t="s">
        <v>8632</v>
      </c>
      <c r="B1223" s="157"/>
      <c r="C1223" s="157"/>
      <c r="D1223" s="157"/>
      <c r="E1223" s="6"/>
      <c r="F1223" s="6"/>
      <c r="G1223" s="2"/>
      <c r="H1223" s="157"/>
      <c r="I1223" s="157"/>
      <c r="J1223" s="2"/>
      <c r="K1223" s="157"/>
      <c r="L1223" s="3"/>
      <c r="M1223" s="3"/>
      <c r="N1223" s="3"/>
      <c r="O1223" s="2"/>
      <c r="P1223" s="277"/>
    </row>
    <row r="1224" spans="1:16" ht="30" customHeight="1" x14ac:dyDescent="0.15">
      <c r="A1224" s="284" t="s">
        <v>8633</v>
      </c>
      <c r="B1224" s="157"/>
      <c r="C1224" s="157"/>
      <c r="D1224" s="157"/>
      <c r="E1224" s="6"/>
      <c r="F1224" s="6"/>
      <c r="G1224" s="2"/>
      <c r="H1224" s="157"/>
      <c r="I1224" s="157"/>
      <c r="J1224" s="2"/>
      <c r="K1224" s="157"/>
      <c r="L1224" s="3"/>
      <c r="M1224" s="3"/>
      <c r="N1224" s="3"/>
      <c r="O1224" s="2"/>
      <c r="P1224" s="277"/>
    </row>
    <row r="1225" spans="1:16" ht="30" customHeight="1" x14ac:dyDescent="0.15">
      <c r="A1225" s="284" t="s">
        <v>8634</v>
      </c>
      <c r="B1225" s="157"/>
      <c r="C1225" s="157"/>
      <c r="D1225" s="157"/>
      <c r="E1225" s="6"/>
      <c r="F1225" s="6"/>
      <c r="G1225" s="2"/>
      <c r="H1225" s="157"/>
      <c r="I1225" s="157"/>
      <c r="J1225" s="2"/>
      <c r="K1225" s="157"/>
      <c r="L1225" s="3"/>
      <c r="M1225" s="3"/>
      <c r="N1225" s="3"/>
      <c r="O1225" s="2"/>
      <c r="P1225" s="277"/>
    </row>
    <row r="1226" spans="1:16" ht="30" customHeight="1" x14ac:dyDescent="0.15">
      <c r="A1226" s="284" t="s">
        <v>8635</v>
      </c>
      <c r="B1226" s="157"/>
      <c r="C1226" s="157"/>
      <c r="D1226" s="157"/>
      <c r="E1226" s="6"/>
      <c r="F1226" s="6"/>
      <c r="G1226" s="2"/>
      <c r="H1226" s="157"/>
      <c r="I1226" s="157"/>
      <c r="J1226" s="2"/>
      <c r="K1226" s="157"/>
      <c r="L1226" s="3"/>
      <c r="M1226" s="3"/>
      <c r="N1226" s="3"/>
      <c r="O1226" s="2"/>
      <c r="P1226" s="277"/>
    </row>
    <row r="1227" spans="1:16" ht="30" customHeight="1" x14ac:dyDescent="0.15">
      <c r="A1227" s="284" t="s">
        <v>8636</v>
      </c>
      <c r="B1227" s="157"/>
      <c r="C1227" s="157"/>
      <c r="D1227" s="157"/>
      <c r="E1227" s="6"/>
      <c r="F1227" s="6"/>
      <c r="G1227" s="2"/>
      <c r="H1227" s="157"/>
      <c r="I1227" s="157"/>
      <c r="J1227" s="2"/>
      <c r="K1227" s="157"/>
      <c r="L1227" s="3"/>
      <c r="M1227" s="3"/>
      <c r="N1227" s="3"/>
      <c r="O1227" s="2"/>
      <c r="P1227" s="277"/>
    </row>
    <row r="1228" spans="1:16" ht="30" customHeight="1" x14ac:dyDescent="0.15">
      <c r="A1228" s="284" t="s">
        <v>8637</v>
      </c>
      <c r="B1228" s="157"/>
      <c r="C1228" s="157"/>
      <c r="D1228" s="157"/>
      <c r="E1228" s="6"/>
      <c r="F1228" s="6"/>
      <c r="G1228" s="2"/>
      <c r="H1228" s="157"/>
      <c r="I1228" s="157"/>
      <c r="J1228" s="2"/>
      <c r="K1228" s="157"/>
      <c r="L1228" s="3"/>
      <c r="M1228" s="3"/>
      <c r="N1228" s="3"/>
      <c r="O1228" s="2"/>
      <c r="P1228" s="277"/>
    </row>
    <row r="1229" spans="1:16" ht="30" customHeight="1" x14ac:dyDescent="0.15">
      <c r="A1229" s="284" t="s">
        <v>8638</v>
      </c>
      <c r="B1229" s="157"/>
      <c r="C1229" s="157"/>
      <c r="D1229" s="157"/>
      <c r="E1229" s="6"/>
      <c r="F1229" s="6"/>
      <c r="G1229" s="2"/>
      <c r="H1229" s="157"/>
      <c r="I1229" s="157"/>
      <c r="J1229" s="2"/>
      <c r="K1229" s="157"/>
      <c r="L1229" s="3"/>
      <c r="M1229" s="3"/>
      <c r="N1229" s="3"/>
      <c r="O1229" s="2"/>
      <c r="P1229" s="277"/>
    </row>
    <row r="1230" spans="1:16" ht="30" customHeight="1" x14ac:dyDescent="0.15">
      <c r="A1230" s="284" t="s">
        <v>8639</v>
      </c>
      <c r="B1230" s="157"/>
      <c r="C1230" s="157"/>
      <c r="D1230" s="157"/>
      <c r="E1230" s="6"/>
      <c r="F1230" s="6"/>
      <c r="G1230" s="2"/>
      <c r="H1230" s="157"/>
      <c r="I1230" s="157"/>
      <c r="J1230" s="2"/>
      <c r="K1230" s="157"/>
      <c r="L1230" s="3"/>
      <c r="M1230" s="3"/>
      <c r="N1230" s="3"/>
      <c r="O1230" s="2"/>
      <c r="P1230" s="277"/>
    </row>
    <row r="1231" spans="1:16" ht="30" customHeight="1" x14ac:dyDescent="0.15">
      <c r="A1231" s="284" t="s">
        <v>8640</v>
      </c>
      <c r="B1231" s="157"/>
      <c r="C1231" s="157"/>
      <c r="D1231" s="157"/>
      <c r="E1231" s="6"/>
      <c r="F1231" s="6"/>
      <c r="G1231" s="2"/>
      <c r="H1231" s="157"/>
      <c r="I1231" s="157"/>
      <c r="J1231" s="2"/>
      <c r="K1231" s="157"/>
      <c r="L1231" s="3"/>
      <c r="M1231" s="3"/>
      <c r="N1231" s="3"/>
      <c r="O1231" s="2"/>
      <c r="P1231" s="277"/>
    </row>
    <row r="1232" spans="1:16" ht="30" customHeight="1" x14ac:dyDescent="0.15">
      <c r="A1232" s="284" t="s">
        <v>8641</v>
      </c>
      <c r="B1232" s="157"/>
      <c r="C1232" s="157"/>
      <c r="D1232" s="157"/>
      <c r="E1232" s="6"/>
      <c r="F1232" s="6"/>
      <c r="G1232" s="2"/>
      <c r="H1232" s="157"/>
      <c r="I1232" s="157"/>
      <c r="J1232" s="2"/>
      <c r="K1232" s="157"/>
      <c r="L1232" s="3"/>
      <c r="M1232" s="3"/>
      <c r="N1232" s="3"/>
      <c r="O1232" s="2"/>
      <c r="P1232" s="277"/>
    </row>
    <row r="1233" spans="1:16" ht="30" customHeight="1" x14ac:dyDescent="0.15">
      <c r="A1233" s="284" t="s">
        <v>8642</v>
      </c>
      <c r="B1233" s="157"/>
      <c r="C1233" s="157"/>
      <c r="D1233" s="157"/>
      <c r="E1233" s="6"/>
      <c r="F1233" s="6"/>
      <c r="G1233" s="2"/>
      <c r="H1233" s="157"/>
      <c r="I1233" s="157"/>
      <c r="J1233" s="2"/>
      <c r="K1233" s="157"/>
      <c r="L1233" s="3"/>
      <c r="M1233" s="3"/>
      <c r="N1233" s="3"/>
      <c r="O1233" s="2"/>
      <c r="P1233" s="277"/>
    </row>
    <row r="1234" spans="1:16" ht="30" customHeight="1" x14ac:dyDescent="0.15">
      <c r="A1234" s="284" t="s">
        <v>8643</v>
      </c>
      <c r="B1234" s="157"/>
      <c r="C1234" s="157"/>
      <c r="D1234" s="157"/>
      <c r="E1234" s="6"/>
      <c r="F1234" s="6"/>
      <c r="G1234" s="2"/>
      <c r="H1234" s="157"/>
      <c r="I1234" s="157"/>
      <c r="J1234" s="2"/>
      <c r="K1234" s="157"/>
      <c r="L1234" s="3"/>
      <c r="M1234" s="3"/>
      <c r="N1234" s="3"/>
      <c r="O1234" s="2"/>
      <c r="P1234" s="277"/>
    </row>
    <row r="1235" spans="1:16" ht="30" customHeight="1" x14ac:dyDescent="0.15">
      <c r="A1235" s="284" t="s">
        <v>8644</v>
      </c>
      <c r="B1235" s="157"/>
      <c r="C1235" s="157"/>
      <c r="D1235" s="157"/>
      <c r="E1235" s="6"/>
      <c r="F1235" s="6"/>
      <c r="G1235" s="2"/>
      <c r="H1235" s="157"/>
      <c r="I1235" s="157"/>
      <c r="J1235" s="2"/>
      <c r="K1235" s="157"/>
      <c r="L1235" s="3"/>
      <c r="M1235" s="3"/>
      <c r="N1235" s="3"/>
      <c r="O1235" s="2"/>
      <c r="P1235" s="277"/>
    </row>
    <row r="1236" spans="1:16" ht="30" customHeight="1" x14ac:dyDescent="0.15">
      <c r="A1236" s="284" t="s">
        <v>8645</v>
      </c>
      <c r="B1236" s="157"/>
      <c r="C1236" s="157"/>
      <c r="D1236" s="157"/>
      <c r="E1236" s="6"/>
      <c r="F1236" s="6"/>
      <c r="G1236" s="2"/>
      <c r="H1236" s="157"/>
      <c r="I1236" s="157"/>
      <c r="J1236" s="2"/>
      <c r="K1236" s="157"/>
      <c r="L1236" s="3"/>
      <c r="M1236" s="3"/>
      <c r="N1236" s="3"/>
      <c r="O1236" s="2"/>
      <c r="P1236" s="277"/>
    </row>
    <row r="1237" spans="1:16" ht="30" customHeight="1" x14ac:dyDescent="0.15">
      <c r="A1237" s="284" t="s">
        <v>8646</v>
      </c>
      <c r="B1237" s="157"/>
      <c r="C1237" s="157"/>
      <c r="D1237" s="157"/>
      <c r="E1237" s="6"/>
      <c r="F1237" s="6"/>
      <c r="G1237" s="2"/>
      <c r="H1237" s="157"/>
      <c r="I1237" s="157"/>
      <c r="J1237" s="2"/>
      <c r="K1237" s="157"/>
      <c r="L1237" s="3"/>
      <c r="M1237" s="3"/>
      <c r="N1237" s="3"/>
      <c r="O1237" s="2"/>
      <c r="P1237" s="277"/>
    </row>
    <row r="1238" spans="1:16" ht="30" customHeight="1" x14ac:dyDescent="0.15">
      <c r="A1238" s="284" t="s">
        <v>8647</v>
      </c>
      <c r="B1238" s="157"/>
      <c r="C1238" s="157"/>
      <c r="D1238" s="157"/>
      <c r="E1238" s="6"/>
      <c r="F1238" s="6"/>
      <c r="G1238" s="2"/>
      <c r="H1238" s="157"/>
      <c r="I1238" s="157"/>
      <c r="J1238" s="2"/>
      <c r="K1238" s="157"/>
      <c r="L1238" s="3"/>
      <c r="M1238" s="3"/>
      <c r="N1238" s="3"/>
      <c r="O1238" s="2"/>
      <c r="P1238" s="277"/>
    </row>
    <row r="1239" spans="1:16" ht="30" customHeight="1" x14ac:dyDescent="0.15">
      <c r="A1239" s="284" t="s">
        <v>8648</v>
      </c>
      <c r="B1239" s="157"/>
      <c r="C1239" s="157"/>
      <c r="D1239" s="157"/>
      <c r="E1239" s="6"/>
      <c r="F1239" s="6"/>
      <c r="G1239" s="2"/>
      <c r="H1239" s="157"/>
      <c r="I1239" s="157"/>
      <c r="J1239" s="2"/>
      <c r="K1239" s="157"/>
      <c r="L1239" s="3"/>
      <c r="M1239" s="3"/>
      <c r="N1239" s="3"/>
      <c r="O1239" s="2"/>
      <c r="P1239" s="277"/>
    </row>
    <row r="1240" spans="1:16" ht="30" customHeight="1" x14ac:dyDescent="0.15">
      <c r="A1240" s="284" t="s">
        <v>8649</v>
      </c>
      <c r="B1240" s="157"/>
      <c r="C1240" s="157"/>
      <c r="D1240" s="157"/>
      <c r="E1240" s="6"/>
      <c r="F1240" s="6"/>
      <c r="G1240" s="2"/>
      <c r="H1240" s="157"/>
      <c r="I1240" s="157"/>
      <c r="J1240" s="2"/>
      <c r="K1240" s="157"/>
      <c r="L1240" s="3"/>
      <c r="M1240" s="3"/>
      <c r="N1240" s="3"/>
      <c r="O1240" s="2"/>
      <c r="P1240" s="277"/>
    </row>
    <row r="1241" spans="1:16" ht="30" customHeight="1" x14ac:dyDescent="0.15">
      <c r="A1241" s="284" t="s">
        <v>8650</v>
      </c>
      <c r="B1241" s="157"/>
      <c r="C1241" s="157"/>
      <c r="D1241" s="157"/>
      <c r="E1241" s="6"/>
      <c r="F1241" s="6"/>
      <c r="G1241" s="2"/>
      <c r="H1241" s="157"/>
      <c r="I1241" s="157"/>
      <c r="J1241" s="2"/>
      <c r="K1241" s="157"/>
      <c r="L1241" s="3"/>
      <c r="M1241" s="3"/>
      <c r="N1241" s="3"/>
      <c r="O1241" s="2"/>
      <c r="P1241" s="277"/>
    </row>
    <row r="1242" spans="1:16" ht="30" customHeight="1" x14ac:dyDescent="0.15">
      <c r="A1242" s="284" t="s">
        <v>8651</v>
      </c>
      <c r="B1242" s="157"/>
      <c r="C1242" s="157"/>
      <c r="D1242" s="157"/>
      <c r="E1242" s="6"/>
      <c r="F1242" s="6"/>
      <c r="G1242" s="2"/>
      <c r="H1242" s="157"/>
      <c r="I1242" s="157"/>
      <c r="J1242" s="2"/>
      <c r="K1242" s="157"/>
      <c r="L1242" s="3"/>
      <c r="M1242" s="3"/>
      <c r="N1242" s="3"/>
      <c r="O1242" s="2"/>
      <c r="P1242" s="277"/>
    </row>
    <row r="1243" spans="1:16" ht="30" customHeight="1" x14ac:dyDescent="0.15">
      <c r="A1243" s="284" t="s">
        <v>8652</v>
      </c>
      <c r="B1243" s="157"/>
      <c r="C1243" s="157"/>
      <c r="D1243" s="157"/>
      <c r="E1243" s="6"/>
      <c r="F1243" s="6"/>
      <c r="G1243" s="2"/>
      <c r="H1243" s="157"/>
      <c r="I1243" s="157"/>
      <c r="J1243" s="2"/>
      <c r="K1243" s="157"/>
      <c r="L1243" s="3"/>
      <c r="M1243" s="3"/>
      <c r="N1243" s="3"/>
      <c r="O1243" s="2"/>
      <c r="P1243" s="277"/>
    </row>
    <row r="1244" spans="1:16" ht="30" customHeight="1" x14ac:dyDescent="0.15">
      <c r="A1244" s="284" t="s">
        <v>8653</v>
      </c>
      <c r="B1244" s="157"/>
      <c r="C1244" s="157"/>
      <c r="D1244" s="157"/>
      <c r="E1244" s="6"/>
      <c r="F1244" s="6"/>
      <c r="G1244" s="2"/>
      <c r="H1244" s="157"/>
      <c r="I1244" s="157"/>
      <c r="J1244" s="2"/>
      <c r="K1244" s="157"/>
      <c r="L1244" s="3"/>
      <c r="M1244" s="3"/>
      <c r="N1244" s="3"/>
      <c r="O1244" s="2"/>
      <c r="P1244" s="277"/>
    </row>
    <row r="1245" spans="1:16" ht="30" customHeight="1" x14ac:dyDescent="0.15">
      <c r="A1245" s="284" t="s">
        <v>8654</v>
      </c>
      <c r="B1245" s="157"/>
      <c r="C1245" s="157"/>
      <c r="D1245" s="157"/>
      <c r="E1245" s="6"/>
      <c r="F1245" s="6"/>
      <c r="G1245" s="2"/>
      <c r="H1245" s="157"/>
      <c r="I1245" s="157"/>
      <c r="J1245" s="2"/>
      <c r="K1245" s="157"/>
      <c r="L1245" s="3"/>
      <c r="M1245" s="3"/>
      <c r="N1245" s="3"/>
      <c r="O1245" s="2"/>
      <c r="P1245" s="277"/>
    </row>
    <row r="1246" spans="1:16" ht="30" customHeight="1" x14ac:dyDescent="0.15">
      <c r="A1246" s="284" t="s">
        <v>8655</v>
      </c>
      <c r="B1246" s="157"/>
      <c r="C1246" s="157"/>
      <c r="D1246" s="157"/>
      <c r="E1246" s="6"/>
      <c r="F1246" s="6"/>
      <c r="G1246" s="2"/>
      <c r="H1246" s="157"/>
      <c r="I1246" s="157"/>
      <c r="J1246" s="2"/>
      <c r="K1246" s="157"/>
      <c r="L1246" s="3"/>
      <c r="M1246" s="3"/>
      <c r="N1246" s="3"/>
      <c r="O1246" s="2"/>
      <c r="P1246" s="277"/>
    </row>
    <row r="1247" spans="1:16" ht="30" customHeight="1" x14ac:dyDescent="0.15">
      <c r="A1247" s="284" t="s">
        <v>8656</v>
      </c>
      <c r="B1247" s="157"/>
      <c r="C1247" s="157"/>
      <c r="D1247" s="157"/>
      <c r="E1247" s="6"/>
      <c r="F1247" s="6"/>
      <c r="G1247" s="2"/>
      <c r="H1247" s="157"/>
      <c r="I1247" s="157"/>
      <c r="J1247" s="2"/>
      <c r="K1247" s="157"/>
      <c r="L1247" s="3"/>
      <c r="M1247" s="3"/>
      <c r="N1247" s="3"/>
      <c r="O1247" s="2"/>
      <c r="P1247" s="277"/>
    </row>
    <row r="1248" spans="1:16" ht="30" customHeight="1" x14ac:dyDescent="0.15">
      <c r="A1248" s="284" t="s">
        <v>8657</v>
      </c>
      <c r="B1248" s="157"/>
      <c r="C1248" s="157"/>
      <c r="D1248" s="157"/>
      <c r="E1248" s="6"/>
      <c r="F1248" s="6"/>
      <c r="G1248" s="2"/>
      <c r="H1248" s="157"/>
      <c r="I1248" s="157"/>
      <c r="J1248" s="2"/>
      <c r="K1248" s="157"/>
      <c r="L1248" s="3"/>
      <c r="M1248" s="3"/>
      <c r="N1248" s="3"/>
      <c r="O1248" s="2"/>
      <c r="P1248" s="277"/>
    </row>
    <row r="1249" spans="1:16" ht="30" customHeight="1" x14ac:dyDescent="0.15">
      <c r="A1249" s="284" t="s">
        <v>8658</v>
      </c>
      <c r="B1249" s="157"/>
      <c r="C1249" s="157"/>
      <c r="D1249" s="157"/>
      <c r="E1249" s="6"/>
      <c r="F1249" s="6"/>
      <c r="G1249" s="2"/>
      <c r="H1249" s="157"/>
      <c r="I1249" s="157"/>
      <c r="J1249" s="2"/>
      <c r="K1249" s="157"/>
      <c r="L1249" s="3"/>
      <c r="M1249" s="3"/>
      <c r="N1249" s="3"/>
      <c r="O1249" s="2"/>
      <c r="P1249" s="277"/>
    </row>
    <row r="1250" spans="1:16" ht="30" customHeight="1" x14ac:dyDescent="0.15">
      <c r="A1250" s="284" t="s">
        <v>8659</v>
      </c>
      <c r="B1250" s="157"/>
      <c r="C1250" s="157"/>
      <c r="D1250" s="157"/>
      <c r="E1250" s="6"/>
      <c r="F1250" s="6"/>
      <c r="G1250" s="2"/>
      <c r="H1250" s="157"/>
      <c r="I1250" s="157"/>
      <c r="J1250" s="2"/>
      <c r="K1250" s="157"/>
      <c r="L1250" s="3"/>
      <c r="M1250" s="3"/>
      <c r="N1250" s="3"/>
      <c r="O1250" s="2"/>
      <c r="P1250" s="277"/>
    </row>
    <row r="1251" spans="1:16" ht="30" customHeight="1" x14ac:dyDescent="0.15">
      <c r="A1251" s="284" t="s">
        <v>8660</v>
      </c>
      <c r="B1251" s="157"/>
      <c r="C1251" s="157"/>
      <c r="D1251" s="157"/>
      <c r="E1251" s="6"/>
      <c r="F1251" s="6"/>
      <c r="G1251" s="2"/>
      <c r="H1251" s="157"/>
      <c r="I1251" s="157"/>
      <c r="J1251" s="2"/>
      <c r="K1251" s="157"/>
      <c r="L1251" s="3"/>
      <c r="M1251" s="3"/>
      <c r="N1251" s="3"/>
      <c r="O1251" s="2"/>
      <c r="P1251" s="277"/>
    </row>
    <row r="1252" spans="1:16" ht="30" customHeight="1" x14ac:dyDescent="0.15">
      <c r="A1252" s="284" t="s">
        <v>8661</v>
      </c>
      <c r="B1252" s="157"/>
      <c r="C1252" s="157"/>
      <c r="D1252" s="157"/>
      <c r="E1252" s="6"/>
      <c r="F1252" s="6"/>
      <c r="G1252" s="2"/>
      <c r="H1252" s="157"/>
      <c r="I1252" s="157"/>
      <c r="J1252" s="2"/>
      <c r="K1252" s="157"/>
      <c r="L1252" s="3"/>
      <c r="M1252" s="3"/>
      <c r="N1252" s="3"/>
      <c r="O1252" s="2"/>
      <c r="P1252" s="277"/>
    </row>
    <row r="1253" spans="1:16" ht="30" customHeight="1" x14ac:dyDescent="0.15">
      <c r="A1253" s="284" t="s">
        <v>8662</v>
      </c>
      <c r="B1253" s="157"/>
      <c r="C1253" s="157"/>
      <c r="D1253" s="157"/>
      <c r="E1253" s="6"/>
      <c r="F1253" s="6"/>
      <c r="G1253" s="2"/>
      <c r="H1253" s="157"/>
      <c r="I1253" s="157"/>
      <c r="J1253" s="2"/>
      <c r="K1253" s="157"/>
      <c r="L1253" s="3"/>
      <c r="M1253" s="3"/>
      <c r="N1253" s="3"/>
      <c r="O1253" s="2"/>
      <c r="P1253" s="277"/>
    </row>
    <row r="1254" spans="1:16" ht="30" customHeight="1" x14ac:dyDescent="0.15">
      <c r="A1254" s="284" t="s">
        <v>8663</v>
      </c>
      <c r="B1254" s="157"/>
      <c r="C1254" s="157"/>
      <c r="D1254" s="157"/>
      <c r="E1254" s="6"/>
      <c r="F1254" s="6"/>
      <c r="G1254" s="2"/>
      <c r="H1254" s="157"/>
      <c r="I1254" s="157"/>
      <c r="J1254" s="2"/>
      <c r="K1254" s="157"/>
      <c r="L1254" s="3"/>
      <c r="M1254" s="3"/>
      <c r="N1254" s="3"/>
      <c r="O1254" s="2"/>
      <c r="P1254" s="277"/>
    </row>
    <row r="1255" spans="1:16" ht="30" customHeight="1" x14ac:dyDescent="0.15">
      <c r="A1255" s="284" t="s">
        <v>8664</v>
      </c>
      <c r="B1255" s="157"/>
      <c r="C1255" s="157"/>
      <c r="D1255" s="157"/>
      <c r="E1255" s="6"/>
      <c r="F1255" s="6"/>
      <c r="G1255" s="2"/>
      <c r="H1255" s="157"/>
      <c r="I1255" s="157"/>
      <c r="J1255" s="2"/>
      <c r="K1255" s="157"/>
      <c r="L1255" s="3"/>
      <c r="M1255" s="3"/>
      <c r="N1255" s="3"/>
      <c r="O1255" s="2"/>
      <c r="P1255" s="277"/>
    </row>
    <row r="1256" spans="1:16" ht="30" customHeight="1" x14ac:dyDescent="0.15">
      <c r="A1256" s="284" t="s">
        <v>8665</v>
      </c>
      <c r="B1256" s="157"/>
      <c r="C1256" s="157"/>
      <c r="D1256" s="157"/>
      <c r="E1256" s="6"/>
      <c r="F1256" s="6"/>
      <c r="G1256" s="2"/>
      <c r="H1256" s="157"/>
      <c r="I1256" s="157"/>
      <c r="J1256" s="2"/>
      <c r="K1256" s="157"/>
      <c r="L1256" s="3"/>
      <c r="M1256" s="3"/>
      <c r="N1256" s="3"/>
      <c r="O1256" s="2"/>
      <c r="P1256" s="277"/>
    </row>
    <row r="1257" spans="1:16" ht="30" customHeight="1" x14ac:dyDescent="0.15">
      <c r="A1257" s="284" t="s">
        <v>8666</v>
      </c>
      <c r="B1257" s="157"/>
      <c r="C1257" s="157"/>
      <c r="D1257" s="157"/>
      <c r="E1257" s="6"/>
      <c r="F1257" s="6"/>
      <c r="G1257" s="2"/>
      <c r="H1257" s="157"/>
      <c r="I1257" s="157"/>
      <c r="J1257" s="2"/>
      <c r="K1257" s="157"/>
      <c r="L1257" s="3"/>
      <c r="M1257" s="3"/>
      <c r="N1257" s="3"/>
      <c r="O1257" s="2"/>
      <c r="P1257" s="277"/>
    </row>
    <row r="1258" spans="1:16" ht="30" customHeight="1" x14ac:dyDescent="0.15">
      <c r="A1258" s="284" t="s">
        <v>8667</v>
      </c>
      <c r="B1258" s="157"/>
      <c r="C1258" s="157"/>
      <c r="D1258" s="157"/>
      <c r="E1258" s="6"/>
      <c r="F1258" s="6"/>
      <c r="G1258" s="2"/>
      <c r="H1258" s="157"/>
      <c r="I1258" s="157"/>
      <c r="J1258" s="2"/>
      <c r="K1258" s="157"/>
      <c r="L1258" s="3"/>
      <c r="M1258" s="3"/>
      <c r="N1258" s="3"/>
      <c r="O1258" s="2"/>
      <c r="P1258" s="277"/>
    </row>
    <row r="1259" spans="1:16" ht="30" customHeight="1" x14ac:dyDescent="0.15">
      <c r="A1259" s="284" t="s">
        <v>8668</v>
      </c>
      <c r="B1259" s="157"/>
      <c r="C1259" s="157"/>
      <c r="D1259" s="157"/>
      <c r="E1259" s="6"/>
      <c r="F1259" s="6"/>
      <c r="G1259" s="2"/>
      <c r="H1259" s="157"/>
      <c r="I1259" s="157"/>
      <c r="J1259" s="2"/>
      <c r="K1259" s="157"/>
      <c r="L1259" s="3"/>
      <c r="M1259" s="3"/>
      <c r="N1259" s="3"/>
      <c r="O1259" s="2"/>
      <c r="P1259" s="277"/>
    </row>
    <row r="1260" spans="1:16" ht="30" customHeight="1" x14ac:dyDescent="0.15">
      <c r="A1260" s="284" t="s">
        <v>8669</v>
      </c>
      <c r="B1260" s="157"/>
      <c r="C1260" s="157"/>
      <c r="D1260" s="157"/>
      <c r="E1260" s="6"/>
      <c r="F1260" s="6"/>
      <c r="G1260" s="2"/>
      <c r="H1260" s="157"/>
      <c r="I1260" s="157"/>
      <c r="J1260" s="2"/>
      <c r="K1260" s="157"/>
      <c r="L1260" s="3"/>
      <c r="M1260" s="3"/>
      <c r="N1260" s="3"/>
      <c r="O1260" s="2"/>
      <c r="P1260" s="277"/>
    </row>
    <row r="1261" spans="1:16" ht="30" customHeight="1" x14ac:dyDescent="0.15">
      <c r="A1261" s="284" t="s">
        <v>8670</v>
      </c>
      <c r="B1261" s="157"/>
      <c r="C1261" s="157"/>
      <c r="D1261" s="157"/>
      <c r="E1261" s="6"/>
      <c r="F1261" s="6"/>
      <c r="G1261" s="2"/>
      <c r="H1261" s="157"/>
      <c r="I1261" s="157"/>
      <c r="J1261" s="2"/>
      <c r="K1261" s="157"/>
      <c r="L1261" s="3"/>
      <c r="M1261" s="3"/>
      <c r="N1261" s="3"/>
      <c r="O1261" s="2"/>
      <c r="P1261" s="277"/>
    </row>
    <row r="1262" spans="1:16" ht="30" customHeight="1" x14ac:dyDescent="0.15">
      <c r="A1262" s="284" t="s">
        <v>8671</v>
      </c>
      <c r="B1262" s="157"/>
      <c r="C1262" s="157"/>
      <c r="D1262" s="157"/>
      <c r="E1262" s="6"/>
      <c r="F1262" s="6"/>
      <c r="G1262" s="2"/>
      <c r="H1262" s="157"/>
      <c r="I1262" s="157"/>
      <c r="J1262" s="2"/>
      <c r="K1262" s="157"/>
      <c r="L1262" s="3"/>
      <c r="M1262" s="3"/>
      <c r="N1262" s="3"/>
      <c r="O1262" s="2"/>
      <c r="P1262" s="277"/>
    </row>
    <row r="1263" spans="1:16" ht="30" customHeight="1" x14ac:dyDescent="0.15">
      <c r="A1263" s="284" t="s">
        <v>8672</v>
      </c>
      <c r="B1263" s="157"/>
      <c r="C1263" s="157"/>
      <c r="D1263" s="157"/>
      <c r="E1263" s="6"/>
      <c r="F1263" s="6"/>
      <c r="G1263" s="2"/>
      <c r="H1263" s="157"/>
      <c r="I1263" s="157"/>
      <c r="J1263" s="2"/>
      <c r="K1263" s="157"/>
      <c r="L1263" s="3"/>
      <c r="M1263" s="3"/>
      <c r="N1263" s="3"/>
      <c r="O1263" s="2"/>
      <c r="P1263" s="277"/>
    </row>
    <row r="1264" spans="1:16" ht="30" customHeight="1" x14ac:dyDescent="0.15">
      <c r="A1264" s="284" t="s">
        <v>8673</v>
      </c>
      <c r="B1264" s="157"/>
      <c r="C1264" s="157"/>
      <c r="D1264" s="157"/>
      <c r="E1264" s="6"/>
      <c r="F1264" s="6"/>
      <c r="G1264" s="2"/>
      <c r="H1264" s="157"/>
      <c r="I1264" s="157"/>
      <c r="J1264" s="2"/>
      <c r="K1264" s="157"/>
      <c r="L1264" s="3"/>
      <c r="M1264" s="3"/>
      <c r="N1264" s="3"/>
      <c r="O1264" s="2"/>
      <c r="P1264" s="277"/>
    </row>
    <row r="1265" spans="1:16" ht="30" customHeight="1" x14ac:dyDescent="0.15">
      <c r="A1265" s="284" t="s">
        <v>8674</v>
      </c>
      <c r="B1265" s="157"/>
      <c r="C1265" s="157"/>
      <c r="D1265" s="157"/>
      <c r="E1265" s="6"/>
      <c r="F1265" s="6"/>
      <c r="G1265" s="2"/>
      <c r="H1265" s="157"/>
      <c r="I1265" s="157"/>
      <c r="J1265" s="2"/>
      <c r="K1265" s="157"/>
      <c r="L1265" s="3"/>
      <c r="M1265" s="3"/>
      <c r="N1265" s="3"/>
      <c r="O1265" s="2"/>
      <c r="P1265" s="277"/>
    </row>
    <row r="1266" spans="1:16" ht="30" customHeight="1" x14ac:dyDescent="0.15">
      <c r="A1266" s="284" t="s">
        <v>8675</v>
      </c>
      <c r="B1266" s="157"/>
      <c r="C1266" s="157"/>
      <c r="D1266" s="157"/>
      <c r="E1266" s="6"/>
      <c r="F1266" s="6"/>
      <c r="G1266" s="2"/>
      <c r="H1266" s="157"/>
      <c r="I1266" s="157"/>
      <c r="J1266" s="2"/>
      <c r="K1266" s="157"/>
      <c r="L1266" s="3"/>
      <c r="M1266" s="3"/>
      <c r="N1266" s="3"/>
      <c r="O1266" s="2"/>
      <c r="P1266" s="277"/>
    </row>
    <row r="1267" spans="1:16" ht="30" customHeight="1" x14ac:dyDescent="0.15">
      <c r="A1267" s="284" t="s">
        <v>8676</v>
      </c>
      <c r="B1267" s="157"/>
      <c r="C1267" s="157"/>
      <c r="D1267" s="157"/>
      <c r="E1267" s="6"/>
      <c r="F1267" s="6"/>
      <c r="G1267" s="2"/>
      <c r="H1267" s="157"/>
      <c r="I1267" s="157"/>
      <c r="J1267" s="2"/>
      <c r="K1267" s="157"/>
      <c r="L1267" s="3"/>
      <c r="M1267" s="3"/>
      <c r="N1267" s="3"/>
      <c r="O1267" s="2"/>
      <c r="P1267" s="277"/>
    </row>
    <row r="1268" spans="1:16" ht="30" customHeight="1" x14ac:dyDescent="0.15">
      <c r="A1268" s="284" t="s">
        <v>8677</v>
      </c>
      <c r="B1268" s="157"/>
      <c r="C1268" s="157"/>
      <c r="D1268" s="157"/>
      <c r="E1268" s="6"/>
      <c r="F1268" s="6"/>
      <c r="G1268" s="2"/>
      <c r="H1268" s="157"/>
      <c r="I1268" s="157"/>
      <c r="J1268" s="2"/>
      <c r="K1268" s="157"/>
      <c r="L1268" s="3"/>
      <c r="M1268" s="3"/>
      <c r="N1268" s="3"/>
      <c r="O1268" s="2"/>
      <c r="P1268" s="277"/>
    </row>
    <row r="1269" spans="1:16" ht="30" customHeight="1" x14ac:dyDescent="0.15">
      <c r="A1269" s="284" t="s">
        <v>8678</v>
      </c>
      <c r="B1269" s="157"/>
      <c r="C1269" s="157"/>
      <c r="D1269" s="157"/>
      <c r="E1269" s="6"/>
      <c r="F1269" s="6"/>
      <c r="G1269" s="2"/>
      <c r="H1269" s="157"/>
      <c r="I1269" s="157"/>
      <c r="J1269" s="2"/>
      <c r="K1269" s="157"/>
      <c r="L1269" s="3"/>
      <c r="M1269" s="3"/>
      <c r="N1269" s="3"/>
      <c r="O1269" s="2"/>
      <c r="P1269" s="277"/>
    </row>
    <row r="1270" spans="1:16" ht="30" customHeight="1" x14ac:dyDescent="0.15">
      <c r="A1270" s="284" t="s">
        <v>8679</v>
      </c>
      <c r="B1270" s="157"/>
      <c r="C1270" s="157"/>
      <c r="D1270" s="157"/>
      <c r="E1270" s="6"/>
      <c r="F1270" s="6"/>
      <c r="G1270" s="2"/>
      <c r="H1270" s="157"/>
      <c r="I1270" s="157"/>
      <c r="J1270" s="2"/>
      <c r="K1270" s="157"/>
      <c r="L1270" s="3"/>
      <c r="M1270" s="3"/>
      <c r="N1270" s="3"/>
      <c r="O1270" s="2"/>
      <c r="P1270" s="277"/>
    </row>
    <row r="1271" spans="1:16" ht="30" customHeight="1" x14ac:dyDescent="0.15">
      <c r="A1271" s="284" t="s">
        <v>8680</v>
      </c>
      <c r="B1271" s="157"/>
      <c r="C1271" s="157"/>
      <c r="D1271" s="157"/>
      <c r="E1271" s="6"/>
      <c r="F1271" s="6"/>
      <c r="G1271" s="2"/>
      <c r="H1271" s="157"/>
      <c r="I1271" s="157"/>
      <c r="J1271" s="2"/>
      <c r="K1271" s="157"/>
      <c r="L1271" s="3"/>
      <c r="M1271" s="3"/>
      <c r="N1271" s="3"/>
      <c r="O1271" s="2"/>
      <c r="P1271" s="277"/>
    </row>
    <row r="1272" spans="1:16" ht="30" customHeight="1" x14ac:dyDescent="0.15">
      <c r="A1272" s="284" t="s">
        <v>8681</v>
      </c>
      <c r="B1272" s="157"/>
      <c r="C1272" s="157"/>
      <c r="D1272" s="157"/>
      <c r="E1272" s="6"/>
      <c r="F1272" s="6"/>
      <c r="G1272" s="2"/>
      <c r="H1272" s="157"/>
      <c r="I1272" s="157"/>
      <c r="J1272" s="2"/>
      <c r="K1272" s="157"/>
      <c r="L1272" s="3"/>
      <c r="M1272" s="3"/>
      <c r="N1272" s="3"/>
      <c r="O1272" s="2"/>
      <c r="P1272" s="277"/>
    </row>
    <row r="1273" spans="1:16" ht="30" customHeight="1" x14ac:dyDescent="0.15">
      <c r="A1273" s="284" t="s">
        <v>8682</v>
      </c>
      <c r="B1273" s="157"/>
      <c r="C1273" s="157"/>
      <c r="D1273" s="157"/>
      <c r="E1273" s="6"/>
      <c r="F1273" s="6"/>
      <c r="G1273" s="2"/>
      <c r="H1273" s="157"/>
      <c r="I1273" s="157"/>
      <c r="J1273" s="2"/>
      <c r="K1273" s="157"/>
      <c r="L1273" s="3"/>
      <c r="M1273" s="3"/>
      <c r="N1273" s="3"/>
      <c r="O1273" s="2"/>
      <c r="P1273" s="277"/>
    </row>
    <row r="1274" spans="1:16" ht="30" customHeight="1" x14ac:dyDescent="0.15">
      <c r="A1274" s="284" t="s">
        <v>8683</v>
      </c>
      <c r="B1274" s="157"/>
      <c r="C1274" s="157"/>
      <c r="D1274" s="157"/>
      <c r="E1274" s="6"/>
      <c r="F1274" s="6"/>
      <c r="G1274" s="2"/>
      <c r="H1274" s="157"/>
      <c r="I1274" s="157"/>
      <c r="J1274" s="2"/>
      <c r="K1274" s="157"/>
      <c r="L1274" s="3"/>
      <c r="M1274" s="3"/>
      <c r="N1274" s="3"/>
      <c r="O1274" s="2"/>
      <c r="P1274" s="277"/>
    </row>
    <row r="1275" spans="1:16" ht="30" customHeight="1" x14ac:dyDescent="0.15">
      <c r="A1275" s="284" t="s">
        <v>8684</v>
      </c>
      <c r="B1275" s="157"/>
      <c r="C1275" s="157"/>
      <c r="D1275" s="157"/>
      <c r="E1275" s="6"/>
      <c r="F1275" s="6"/>
      <c r="G1275" s="2"/>
      <c r="H1275" s="157"/>
      <c r="I1275" s="157"/>
      <c r="J1275" s="2"/>
      <c r="K1275" s="157"/>
      <c r="L1275" s="3"/>
      <c r="M1275" s="3"/>
      <c r="N1275" s="3"/>
      <c r="O1275" s="2"/>
      <c r="P1275" s="277"/>
    </row>
    <row r="1276" spans="1:16" ht="30" customHeight="1" x14ac:dyDescent="0.15">
      <c r="A1276" s="284" t="s">
        <v>8685</v>
      </c>
      <c r="B1276" s="157"/>
      <c r="C1276" s="157"/>
      <c r="D1276" s="157"/>
      <c r="E1276" s="6"/>
      <c r="F1276" s="6"/>
      <c r="G1276" s="2"/>
      <c r="H1276" s="157"/>
      <c r="I1276" s="157"/>
      <c r="J1276" s="2"/>
      <c r="K1276" s="157"/>
      <c r="L1276" s="3"/>
      <c r="M1276" s="3"/>
      <c r="N1276" s="3"/>
      <c r="O1276" s="2"/>
      <c r="P1276" s="277"/>
    </row>
    <row r="1277" spans="1:16" ht="30" customHeight="1" x14ac:dyDescent="0.15">
      <c r="A1277" s="284" t="s">
        <v>8686</v>
      </c>
      <c r="B1277" s="157"/>
      <c r="C1277" s="157"/>
      <c r="D1277" s="157"/>
      <c r="E1277" s="6"/>
      <c r="F1277" s="6"/>
      <c r="G1277" s="2"/>
      <c r="H1277" s="157"/>
      <c r="I1277" s="157"/>
      <c r="J1277" s="2"/>
      <c r="K1277" s="157"/>
      <c r="L1277" s="3"/>
      <c r="M1277" s="3"/>
      <c r="N1277" s="3"/>
      <c r="O1277" s="2"/>
      <c r="P1277" s="277"/>
    </row>
    <row r="1278" spans="1:16" ht="30" customHeight="1" x14ac:dyDescent="0.15">
      <c r="A1278" s="284" t="s">
        <v>8687</v>
      </c>
      <c r="B1278" s="157"/>
      <c r="C1278" s="157"/>
      <c r="D1278" s="157"/>
      <c r="E1278" s="6"/>
      <c r="F1278" s="6"/>
      <c r="G1278" s="2"/>
      <c r="H1278" s="157"/>
      <c r="I1278" s="157"/>
      <c r="J1278" s="2"/>
      <c r="K1278" s="157"/>
      <c r="L1278" s="3"/>
      <c r="M1278" s="3"/>
      <c r="N1278" s="3"/>
      <c r="O1278" s="2"/>
      <c r="P1278" s="277"/>
    </row>
    <row r="1279" spans="1:16" ht="30" customHeight="1" x14ac:dyDescent="0.15">
      <c r="A1279" s="284" t="s">
        <v>8688</v>
      </c>
      <c r="B1279" s="157"/>
      <c r="C1279" s="157"/>
      <c r="D1279" s="157"/>
      <c r="E1279" s="6"/>
      <c r="F1279" s="6"/>
      <c r="G1279" s="2"/>
      <c r="H1279" s="157"/>
      <c r="I1279" s="157"/>
      <c r="J1279" s="2"/>
      <c r="K1279" s="157"/>
      <c r="L1279" s="3"/>
      <c r="M1279" s="3"/>
      <c r="N1279" s="3"/>
      <c r="O1279" s="2"/>
      <c r="P1279" s="277"/>
    </row>
    <row r="1280" spans="1:16" ht="30" customHeight="1" x14ac:dyDescent="0.15">
      <c r="A1280" s="284" t="s">
        <v>8689</v>
      </c>
      <c r="B1280" s="157"/>
      <c r="C1280" s="157"/>
      <c r="D1280" s="157"/>
      <c r="E1280" s="6"/>
      <c r="F1280" s="6"/>
      <c r="G1280" s="2"/>
      <c r="H1280" s="157"/>
      <c r="I1280" s="157"/>
      <c r="J1280" s="2"/>
      <c r="K1280" s="157"/>
      <c r="L1280" s="3"/>
      <c r="M1280" s="3"/>
      <c r="N1280" s="3"/>
      <c r="O1280" s="2"/>
      <c r="P1280" s="277"/>
    </row>
    <row r="1281" spans="1:16" ht="30" customHeight="1" x14ac:dyDescent="0.15">
      <c r="A1281" s="284" t="s">
        <v>8690</v>
      </c>
      <c r="B1281" s="157"/>
      <c r="C1281" s="157"/>
      <c r="D1281" s="157"/>
      <c r="E1281" s="6"/>
      <c r="F1281" s="6"/>
      <c r="G1281" s="2"/>
      <c r="H1281" s="157"/>
      <c r="I1281" s="157"/>
      <c r="J1281" s="2"/>
      <c r="K1281" s="157"/>
      <c r="L1281" s="3"/>
      <c r="M1281" s="3"/>
      <c r="N1281" s="3"/>
      <c r="O1281" s="2"/>
      <c r="P1281" s="277"/>
    </row>
    <row r="1282" spans="1:16" ht="30" customHeight="1" x14ac:dyDescent="0.15">
      <c r="A1282" s="284" t="s">
        <v>8691</v>
      </c>
      <c r="B1282" s="157"/>
      <c r="C1282" s="157"/>
      <c r="D1282" s="157"/>
      <c r="E1282" s="6"/>
      <c r="F1282" s="6"/>
      <c r="G1282" s="2"/>
      <c r="H1282" s="157"/>
      <c r="I1282" s="157"/>
      <c r="J1282" s="2"/>
      <c r="K1282" s="157"/>
      <c r="L1282" s="3"/>
      <c r="M1282" s="3"/>
      <c r="N1282" s="3"/>
      <c r="O1282" s="2"/>
      <c r="P1282" s="277"/>
    </row>
    <row r="1283" spans="1:16" ht="30" customHeight="1" x14ac:dyDescent="0.15">
      <c r="A1283" s="284" t="s">
        <v>8692</v>
      </c>
      <c r="B1283" s="157"/>
      <c r="C1283" s="157"/>
      <c r="D1283" s="157"/>
      <c r="E1283" s="6"/>
      <c r="F1283" s="6"/>
      <c r="G1283" s="2"/>
      <c r="H1283" s="157"/>
      <c r="I1283" s="157"/>
      <c r="J1283" s="2"/>
      <c r="K1283" s="157"/>
      <c r="L1283" s="3"/>
      <c r="M1283" s="3"/>
      <c r="N1283" s="3"/>
      <c r="O1283" s="2"/>
      <c r="P1283" s="277"/>
    </row>
    <row r="1284" spans="1:16" ht="30" customHeight="1" x14ac:dyDescent="0.15">
      <c r="A1284" s="284" t="s">
        <v>8693</v>
      </c>
      <c r="B1284" s="157"/>
      <c r="C1284" s="157"/>
      <c r="D1284" s="157"/>
      <c r="E1284" s="6"/>
      <c r="F1284" s="6"/>
      <c r="G1284" s="2"/>
      <c r="H1284" s="157"/>
      <c r="I1284" s="157"/>
      <c r="J1284" s="2"/>
      <c r="K1284" s="157"/>
      <c r="L1284" s="3"/>
      <c r="M1284" s="3"/>
      <c r="N1284" s="3"/>
      <c r="O1284" s="2"/>
      <c r="P1284" s="277"/>
    </row>
    <row r="1285" spans="1:16" ht="30" customHeight="1" x14ac:dyDescent="0.15">
      <c r="A1285" s="284" t="s">
        <v>8694</v>
      </c>
      <c r="B1285" s="157"/>
      <c r="C1285" s="157"/>
      <c r="D1285" s="157"/>
      <c r="E1285" s="6"/>
      <c r="F1285" s="6"/>
      <c r="G1285" s="2"/>
      <c r="H1285" s="157"/>
      <c r="I1285" s="157"/>
      <c r="J1285" s="2"/>
      <c r="K1285" s="157"/>
      <c r="L1285" s="3"/>
      <c r="M1285" s="3"/>
      <c r="N1285" s="3"/>
      <c r="O1285" s="2"/>
      <c r="P1285" s="277"/>
    </row>
    <row r="1286" spans="1:16" ht="30" customHeight="1" x14ac:dyDescent="0.15">
      <c r="A1286" s="284" t="s">
        <v>8695</v>
      </c>
      <c r="B1286" s="157"/>
      <c r="C1286" s="157"/>
      <c r="D1286" s="157"/>
      <c r="E1286" s="6"/>
      <c r="F1286" s="6"/>
      <c r="G1286" s="2"/>
      <c r="H1286" s="157"/>
      <c r="I1286" s="157"/>
      <c r="J1286" s="2"/>
      <c r="K1286" s="157"/>
      <c r="L1286" s="3"/>
      <c r="M1286" s="3"/>
      <c r="N1286" s="3"/>
      <c r="O1286" s="2"/>
      <c r="P1286" s="277"/>
    </row>
    <row r="1287" spans="1:16" ht="30" customHeight="1" x14ac:dyDescent="0.15">
      <c r="A1287" s="284" t="s">
        <v>8696</v>
      </c>
      <c r="B1287" s="157"/>
      <c r="C1287" s="157"/>
      <c r="D1287" s="157"/>
      <c r="E1287" s="6"/>
      <c r="F1287" s="6"/>
      <c r="G1287" s="2"/>
      <c r="H1287" s="157"/>
      <c r="I1287" s="157"/>
      <c r="J1287" s="2"/>
      <c r="K1287" s="157"/>
      <c r="L1287" s="3"/>
      <c r="M1287" s="3"/>
      <c r="N1287" s="3"/>
      <c r="O1287" s="2"/>
      <c r="P1287" s="277"/>
    </row>
    <row r="1288" spans="1:16" ht="30" customHeight="1" x14ac:dyDescent="0.15">
      <c r="A1288" s="284" t="s">
        <v>8697</v>
      </c>
      <c r="B1288" s="157"/>
      <c r="C1288" s="157"/>
      <c r="D1288" s="157"/>
      <c r="E1288" s="6"/>
      <c r="F1288" s="6"/>
      <c r="G1288" s="2"/>
      <c r="H1288" s="157"/>
      <c r="I1288" s="157"/>
      <c r="J1288" s="2"/>
      <c r="K1288" s="157"/>
      <c r="L1288" s="3"/>
      <c r="M1288" s="3"/>
      <c r="N1288" s="3"/>
      <c r="O1288" s="2"/>
      <c r="P1288" s="277"/>
    </row>
    <row r="1289" spans="1:16" ht="30" customHeight="1" x14ac:dyDescent="0.15">
      <c r="A1289" s="284" t="s">
        <v>8698</v>
      </c>
      <c r="B1289" s="157"/>
      <c r="C1289" s="157"/>
      <c r="D1289" s="157"/>
      <c r="E1289" s="6"/>
      <c r="F1289" s="6"/>
      <c r="G1289" s="2"/>
      <c r="H1289" s="157"/>
      <c r="I1289" s="157"/>
      <c r="J1289" s="2"/>
      <c r="K1289" s="157"/>
      <c r="L1289" s="3"/>
      <c r="M1289" s="3"/>
      <c r="N1289" s="3"/>
      <c r="O1289" s="2"/>
      <c r="P1289" s="277"/>
    </row>
    <row r="1290" spans="1:16" ht="30" customHeight="1" x14ac:dyDescent="0.15">
      <c r="A1290" s="284" t="s">
        <v>8699</v>
      </c>
      <c r="B1290" s="157"/>
      <c r="C1290" s="157"/>
      <c r="D1290" s="157"/>
      <c r="E1290" s="6"/>
      <c r="F1290" s="6"/>
      <c r="G1290" s="2"/>
      <c r="H1290" s="157"/>
      <c r="I1290" s="157"/>
      <c r="J1290" s="2"/>
      <c r="K1290" s="157"/>
      <c r="L1290" s="3"/>
      <c r="M1290" s="3"/>
      <c r="N1290" s="3"/>
      <c r="O1290" s="2"/>
      <c r="P1290" s="277"/>
    </row>
    <row r="1291" spans="1:16" ht="30" customHeight="1" x14ac:dyDescent="0.15">
      <c r="A1291" s="284" t="s">
        <v>8700</v>
      </c>
      <c r="B1291" s="157"/>
      <c r="C1291" s="157"/>
      <c r="D1291" s="157"/>
      <c r="E1291" s="6"/>
      <c r="F1291" s="6"/>
      <c r="G1291" s="2"/>
      <c r="H1291" s="157"/>
      <c r="I1291" s="157"/>
      <c r="J1291" s="2"/>
      <c r="K1291" s="157"/>
      <c r="L1291" s="3"/>
      <c r="M1291" s="3"/>
      <c r="N1291" s="3"/>
      <c r="O1291" s="2"/>
      <c r="P1291" s="277"/>
    </row>
    <row r="1292" spans="1:16" ht="30" customHeight="1" x14ac:dyDescent="0.15">
      <c r="A1292" s="284" t="s">
        <v>8701</v>
      </c>
      <c r="B1292" s="157"/>
      <c r="C1292" s="157"/>
      <c r="D1292" s="157"/>
      <c r="E1292" s="6"/>
      <c r="F1292" s="6"/>
      <c r="G1292" s="2"/>
      <c r="H1292" s="157"/>
      <c r="I1292" s="157"/>
      <c r="J1292" s="2"/>
      <c r="K1292" s="157"/>
      <c r="L1292" s="3"/>
      <c r="M1292" s="3"/>
      <c r="N1292" s="3"/>
      <c r="O1292" s="2"/>
      <c r="P1292" s="277"/>
    </row>
    <row r="1293" spans="1:16" ht="30" customHeight="1" x14ac:dyDescent="0.15">
      <c r="A1293" s="284" t="s">
        <v>8702</v>
      </c>
      <c r="B1293" s="157"/>
      <c r="C1293" s="157"/>
      <c r="D1293" s="157"/>
      <c r="E1293" s="6"/>
      <c r="F1293" s="6"/>
      <c r="G1293" s="2"/>
      <c r="H1293" s="157"/>
      <c r="I1293" s="157"/>
      <c r="J1293" s="2"/>
      <c r="K1293" s="157"/>
      <c r="L1293" s="3"/>
      <c r="M1293" s="3"/>
      <c r="N1293" s="3"/>
      <c r="O1293" s="2"/>
      <c r="P1293" s="277"/>
    </row>
    <row r="1294" spans="1:16" ht="30" customHeight="1" x14ac:dyDescent="0.15">
      <c r="A1294" s="284" t="s">
        <v>8703</v>
      </c>
      <c r="B1294" s="157"/>
      <c r="C1294" s="157"/>
      <c r="D1294" s="157"/>
      <c r="E1294" s="6"/>
      <c r="F1294" s="6"/>
      <c r="G1294" s="2"/>
      <c r="H1294" s="157"/>
      <c r="I1294" s="157"/>
      <c r="J1294" s="2"/>
      <c r="K1294" s="157"/>
      <c r="L1294" s="3"/>
      <c r="M1294" s="3"/>
      <c r="N1294" s="3"/>
      <c r="O1294" s="2"/>
      <c r="P1294" s="277"/>
    </row>
    <row r="1295" spans="1:16" ht="30" customHeight="1" x14ac:dyDescent="0.15">
      <c r="A1295" s="284" t="s">
        <v>8704</v>
      </c>
      <c r="B1295" s="157"/>
      <c r="C1295" s="157"/>
      <c r="D1295" s="157"/>
      <c r="E1295" s="6"/>
      <c r="F1295" s="6"/>
      <c r="G1295" s="2"/>
      <c r="H1295" s="157"/>
      <c r="I1295" s="157"/>
      <c r="J1295" s="2"/>
      <c r="K1295" s="157"/>
      <c r="L1295" s="3"/>
      <c r="M1295" s="3"/>
      <c r="N1295" s="3"/>
      <c r="O1295" s="2"/>
      <c r="P1295" s="277"/>
    </row>
    <row r="1296" spans="1:16" ht="30" customHeight="1" x14ac:dyDescent="0.15">
      <c r="A1296" s="284" t="s">
        <v>8705</v>
      </c>
      <c r="B1296" s="157"/>
      <c r="C1296" s="157"/>
      <c r="D1296" s="157"/>
      <c r="E1296" s="6"/>
      <c r="F1296" s="6"/>
      <c r="G1296" s="2"/>
      <c r="H1296" s="157"/>
      <c r="I1296" s="157"/>
      <c r="J1296" s="2"/>
      <c r="K1296" s="157"/>
      <c r="L1296" s="3"/>
      <c r="M1296" s="3"/>
      <c r="N1296" s="3"/>
      <c r="O1296" s="2"/>
      <c r="P1296" s="277"/>
    </row>
    <row r="1297" spans="1:16" ht="30" customHeight="1" x14ac:dyDescent="0.15">
      <c r="A1297" s="284" t="s">
        <v>8706</v>
      </c>
      <c r="B1297" s="157"/>
      <c r="C1297" s="157"/>
      <c r="D1297" s="157"/>
      <c r="E1297" s="6"/>
      <c r="F1297" s="6"/>
      <c r="G1297" s="2"/>
      <c r="H1297" s="157"/>
      <c r="I1297" s="157"/>
      <c r="J1297" s="2"/>
      <c r="K1297" s="157"/>
      <c r="L1297" s="3"/>
      <c r="M1297" s="3"/>
      <c r="N1297" s="3"/>
      <c r="O1297" s="2"/>
      <c r="P1297" s="277"/>
    </row>
    <row r="1298" spans="1:16" ht="30" customHeight="1" x14ac:dyDescent="0.15">
      <c r="A1298" s="284" t="s">
        <v>8707</v>
      </c>
      <c r="B1298" s="157"/>
      <c r="C1298" s="157"/>
      <c r="D1298" s="157"/>
      <c r="E1298" s="6"/>
      <c r="F1298" s="6"/>
      <c r="G1298" s="2"/>
      <c r="H1298" s="157"/>
      <c r="I1298" s="157"/>
      <c r="J1298" s="2"/>
      <c r="K1298" s="157"/>
      <c r="L1298" s="3"/>
      <c r="M1298" s="3"/>
      <c r="N1298" s="3"/>
      <c r="O1298" s="2"/>
      <c r="P1298" s="277"/>
    </row>
    <row r="1299" spans="1:16" ht="30" customHeight="1" x14ac:dyDescent="0.15">
      <c r="A1299" s="284" t="s">
        <v>8708</v>
      </c>
      <c r="B1299" s="157"/>
      <c r="C1299" s="157"/>
      <c r="D1299" s="157"/>
      <c r="E1299" s="6"/>
      <c r="F1299" s="6"/>
      <c r="G1299" s="2"/>
      <c r="H1299" s="157"/>
      <c r="I1299" s="157"/>
      <c r="J1299" s="2"/>
      <c r="K1299" s="157"/>
      <c r="L1299" s="3"/>
      <c r="M1299" s="3"/>
      <c r="N1299" s="3"/>
      <c r="O1299" s="2"/>
      <c r="P1299" s="277"/>
    </row>
    <row r="1300" spans="1:16" ht="30" customHeight="1" x14ac:dyDescent="0.15">
      <c r="A1300" s="284" t="s">
        <v>8709</v>
      </c>
      <c r="B1300" s="157"/>
      <c r="C1300" s="157"/>
      <c r="D1300" s="157"/>
      <c r="E1300" s="6"/>
      <c r="F1300" s="6"/>
      <c r="G1300" s="2"/>
      <c r="H1300" s="157"/>
      <c r="I1300" s="157"/>
      <c r="J1300" s="2"/>
      <c r="K1300" s="157"/>
      <c r="L1300" s="3"/>
      <c r="M1300" s="3"/>
      <c r="N1300" s="3"/>
      <c r="O1300" s="2"/>
      <c r="P1300" s="277"/>
    </row>
    <row r="1301" spans="1:16" ht="30" customHeight="1" x14ac:dyDescent="0.15">
      <c r="A1301" s="284" t="s">
        <v>8710</v>
      </c>
      <c r="B1301" s="157"/>
      <c r="C1301" s="157"/>
      <c r="D1301" s="157"/>
      <c r="E1301" s="6"/>
      <c r="F1301" s="6"/>
      <c r="G1301" s="2"/>
      <c r="H1301" s="157"/>
      <c r="I1301" s="157"/>
      <c r="J1301" s="2"/>
      <c r="K1301" s="157"/>
      <c r="L1301" s="3"/>
      <c r="M1301" s="3"/>
      <c r="N1301" s="3"/>
      <c r="O1301" s="2"/>
      <c r="P1301" s="277"/>
    </row>
    <row r="1302" spans="1:16" ht="30" customHeight="1" x14ac:dyDescent="0.15">
      <c r="A1302" s="284" t="s">
        <v>8711</v>
      </c>
      <c r="B1302" s="157"/>
      <c r="C1302" s="157"/>
      <c r="D1302" s="157"/>
      <c r="E1302" s="6"/>
      <c r="F1302" s="6"/>
      <c r="G1302" s="2"/>
      <c r="H1302" s="157"/>
      <c r="I1302" s="157"/>
      <c r="J1302" s="2"/>
      <c r="K1302" s="157"/>
      <c r="L1302" s="3"/>
      <c r="M1302" s="3"/>
      <c r="N1302" s="3"/>
      <c r="O1302" s="2"/>
      <c r="P1302" s="277"/>
    </row>
    <row r="1303" spans="1:16" ht="30" customHeight="1" x14ac:dyDescent="0.15">
      <c r="A1303" s="284" t="s">
        <v>8712</v>
      </c>
      <c r="B1303" s="157"/>
      <c r="C1303" s="157"/>
      <c r="D1303" s="157"/>
      <c r="E1303" s="6"/>
      <c r="F1303" s="6"/>
      <c r="G1303" s="2"/>
      <c r="H1303" s="157"/>
      <c r="I1303" s="157"/>
      <c r="J1303" s="2"/>
      <c r="K1303" s="157"/>
      <c r="L1303" s="3"/>
      <c r="M1303" s="3"/>
      <c r="N1303" s="3"/>
      <c r="O1303" s="2"/>
      <c r="P1303" s="277"/>
    </row>
    <row r="1304" spans="1:16" ht="30" customHeight="1" x14ac:dyDescent="0.15">
      <c r="A1304" s="284" t="s">
        <v>8713</v>
      </c>
      <c r="B1304" s="157"/>
      <c r="C1304" s="157"/>
      <c r="D1304" s="157"/>
      <c r="E1304" s="6"/>
      <c r="F1304" s="6"/>
      <c r="G1304" s="2"/>
      <c r="H1304" s="157"/>
      <c r="I1304" s="157"/>
      <c r="J1304" s="2"/>
      <c r="K1304" s="157"/>
      <c r="L1304" s="3"/>
      <c r="M1304" s="3"/>
      <c r="N1304" s="3"/>
      <c r="O1304" s="2"/>
      <c r="P1304" s="277"/>
    </row>
    <row r="1305" spans="1:16" ht="30" customHeight="1" x14ac:dyDescent="0.15">
      <c r="A1305" s="284" t="s">
        <v>8714</v>
      </c>
      <c r="B1305" s="157"/>
      <c r="C1305" s="157"/>
      <c r="D1305" s="157"/>
      <c r="E1305" s="6"/>
      <c r="F1305" s="6"/>
      <c r="G1305" s="2"/>
      <c r="H1305" s="157"/>
      <c r="I1305" s="157"/>
      <c r="J1305" s="2"/>
      <c r="K1305" s="157"/>
      <c r="L1305" s="3"/>
      <c r="M1305" s="3"/>
      <c r="N1305" s="3"/>
      <c r="O1305" s="2"/>
      <c r="P1305" s="277"/>
    </row>
    <row r="1306" spans="1:16" ht="30" customHeight="1" x14ac:dyDescent="0.15">
      <c r="A1306" s="284" t="s">
        <v>8715</v>
      </c>
      <c r="B1306" s="157"/>
      <c r="C1306" s="157"/>
      <c r="D1306" s="157"/>
      <c r="E1306" s="6"/>
      <c r="F1306" s="6"/>
      <c r="G1306" s="2"/>
      <c r="H1306" s="157"/>
      <c r="I1306" s="157"/>
      <c r="J1306" s="2"/>
      <c r="K1306" s="157"/>
      <c r="L1306" s="3"/>
      <c r="M1306" s="3"/>
      <c r="N1306" s="3"/>
      <c r="O1306" s="2"/>
      <c r="P1306" s="277"/>
    </row>
    <row r="1307" spans="1:16" ht="30" customHeight="1" x14ac:dyDescent="0.15">
      <c r="A1307" s="284" t="s">
        <v>8716</v>
      </c>
      <c r="B1307" s="157"/>
      <c r="C1307" s="157"/>
      <c r="D1307" s="157"/>
      <c r="E1307" s="6"/>
      <c r="F1307" s="6"/>
      <c r="G1307" s="2"/>
      <c r="H1307" s="157"/>
      <c r="I1307" s="157"/>
      <c r="J1307" s="2"/>
      <c r="K1307" s="157"/>
      <c r="L1307" s="3"/>
      <c r="M1307" s="3"/>
      <c r="N1307" s="3"/>
      <c r="O1307" s="2"/>
      <c r="P1307" s="277"/>
    </row>
    <row r="1308" spans="1:16" ht="30" customHeight="1" x14ac:dyDescent="0.15">
      <c r="A1308" s="284" t="s">
        <v>8717</v>
      </c>
      <c r="B1308" s="157"/>
      <c r="C1308" s="157"/>
      <c r="D1308" s="157"/>
      <c r="E1308" s="6"/>
      <c r="F1308" s="6"/>
      <c r="G1308" s="2"/>
      <c r="H1308" s="157"/>
      <c r="I1308" s="157"/>
      <c r="J1308" s="2"/>
      <c r="K1308" s="157"/>
      <c r="L1308" s="3"/>
      <c r="M1308" s="3"/>
      <c r="N1308" s="3"/>
      <c r="O1308" s="2"/>
      <c r="P1308" s="277"/>
    </row>
    <row r="1309" spans="1:16" ht="30" customHeight="1" x14ac:dyDescent="0.15">
      <c r="A1309" s="284" t="s">
        <v>8718</v>
      </c>
      <c r="B1309" s="157"/>
      <c r="C1309" s="157"/>
      <c r="D1309" s="157"/>
      <c r="E1309" s="6"/>
      <c r="F1309" s="6"/>
      <c r="G1309" s="2"/>
      <c r="H1309" s="157"/>
      <c r="I1309" s="157"/>
      <c r="J1309" s="2"/>
      <c r="K1309" s="157"/>
      <c r="L1309" s="3"/>
      <c r="M1309" s="3"/>
      <c r="N1309" s="3"/>
      <c r="O1309" s="2"/>
      <c r="P1309" s="277"/>
    </row>
    <row r="1310" spans="1:16" ht="30" customHeight="1" x14ac:dyDescent="0.15">
      <c r="A1310" s="284" t="s">
        <v>8719</v>
      </c>
      <c r="B1310" s="157"/>
      <c r="C1310" s="157"/>
      <c r="D1310" s="157"/>
      <c r="E1310" s="6"/>
      <c r="F1310" s="6"/>
      <c r="G1310" s="2"/>
      <c r="H1310" s="157"/>
      <c r="I1310" s="157"/>
      <c r="J1310" s="2"/>
      <c r="K1310" s="157"/>
      <c r="L1310" s="3"/>
      <c r="M1310" s="3"/>
      <c r="N1310" s="3"/>
      <c r="O1310" s="2"/>
      <c r="P1310" s="277"/>
    </row>
    <row r="1311" spans="1:16" ht="30" customHeight="1" x14ac:dyDescent="0.15">
      <c r="A1311" s="284" t="s">
        <v>8720</v>
      </c>
      <c r="B1311" s="157"/>
      <c r="C1311" s="157"/>
      <c r="D1311" s="157"/>
      <c r="E1311" s="6"/>
      <c r="F1311" s="6"/>
      <c r="G1311" s="2"/>
      <c r="H1311" s="157"/>
      <c r="I1311" s="157"/>
      <c r="J1311" s="2"/>
      <c r="K1311" s="157"/>
      <c r="L1311" s="3"/>
      <c r="M1311" s="3"/>
      <c r="N1311" s="3"/>
      <c r="O1311" s="2"/>
      <c r="P1311" s="277"/>
    </row>
    <row r="1312" spans="1:16" ht="30" customHeight="1" x14ac:dyDescent="0.15">
      <c r="A1312" s="284" t="s">
        <v>8721</v>
      </c>
      <c r="B1312" s="157"/>
      <c r="C1312" s="157"/>
      <c r="D1312" s="157"/>
      <c r="E1312" s="6"/>
      <c r="F1312" s="6"/>
      <c r="G1312" s="2"/>
      <c r="H1312" s="157"/>
      <c r="I1312" s="157"/>
      <c r="J1312" s="2"/>
      <c r="K1312" s="157"/>
      <c r="L1312" s="3"/>
      <c r="M1312" s="3"/>
      <c r="N1312" s="3"/>
      <c r="O1312" s="2"/>
      <c r="P1312" s="277"/>
    </row>
    <row r="1313" spans="1:16" ht="30" customHeight="1" x14ac:dyDescent="0.15">
      <c r="A1313" s="284" t="s">
        <v>8722</v>
      </c>
      <c r="B1313" s="157"/>
      <c r="C1313" s="157"/>
      <c r="D1313" s="157"/>
      <c r="E1313" s="6"/>
      <c r="F1313" s="6"/>
      <c r="G1313" s="2"/>
      <c r="H1313" s="157"/>
      <c r="I1313" s="157"/>
      <c r="J1313" s="2"/>
      <c r="K1313" s="157"/>
      <c r="L1313" s="3"/>
      <c r="M1313" s="3"/>
      <c r="N1313" s="3"/>
      <c r="O1313" s="2"/>
      <c r="P1313" s="277"/>
    </row>
    <row r="1314" spans="1:16" ht="30" customHeight="1" x14ac:dyDescent="0.15">
      <c r="A1314" s="284" t="s">
        <v>8723</v>
      </c>
      <c r="B1314" s="157"/>
      <c r="C1314" s="157"/>
      <c r="D1314" s="157"/>
      <c r="E1314" s="6"/>
      <c r="F1314" s="6"/>
      <c r="G1314" s="2"/>
      <c r="H1314" s="157"/>
      <c r="I1314" s="157"/>
      <c r="J1314" s="2"/>
      <c r="K1314" s="157"/>
      <c r="L1314" s="3"/>
      <c r="M1314" s="3"/>
      <c r="N1314" s="3"/>
      <c r="O1314" s="2"/>
      <c r="P1314" s="277"/>
    </row>
    <row r="1315" spans="1:16" ht="30" customHeight="1" x14ac:dyDescent="0.15">
      <c r="A1315" s="284" t="s">
        <v>8724</v>
      </c>
      <c r="B1315" s="157"/>
      <c r="C1315" s="157"/>
      <c r="D1315" s="157"/>
      <c r="E1315" s="6"/>
      <c r="F1315" s="6"/>
      <c r="G1315" s="2"/>
      <c r="H1315" s="157"/>
      <c r="I1315" s="157"/>
      <c r="J1315" s="2"/>
      <c r="K1315" s="157"/>
      <c r="L1315" s="3"/>
      <c r="M1315" s="3"/>
      <c r="N1315" s="3"/>
      <c r="O1315" s="2"/>
      <c r="P1315" s="277"/>
    </row>
    <row r="1316" spans="1:16" ht="30" customHeight="1" x14ac:dyDescent="0.15">
      <c r="A1316" s="284" t="s">
        <v>8725</v>
      </c>
      <c r="B1316" s="157"/>
      <c r="C1316" s="157"/>
      <c r="D1316" s="157"/>
      <c r="E1316" s="6"/>
      <c r="F1316" s="6"/>
      <c r="G1316" s="2"/>
      <c r="H1316" s="157"/>
      <c r="I1316" s="157"/>
      <c r="J1316" s="2"/>
      <c r="K1316" s="157"/>
      <c r="L1316" s="3"/>
      <c r="M1316" s="3"/>
      <c r="N1316" s="3"/>
      <c r="O1316" s="2"/>
      <c r="P1316" s="277"/>
    </row>
    <row r="1317" spans="1:16" ht="30" customHeight="1" x14ac:dyDescent="0.15">
      <c r="A1317" s="284" t="s">
        <v>8726</v>
      </c>
      <c r="B1317" s="157"/>
      <c r="C1317" s="157"/>
      <c r="D1317" s="157"/>
      <c r="E1317" s="6"/>
      <c r="F1317" s="6"/>
      <c r="G1317" s="2"/>
      <c r="H1317" s="157"/>
      <c r="I1317" s="157"/>
      <c r="J1317" s="2"/>
      <c r="K1317" s="157"/>
      <c r="L1317" s="3"/>
      <c r="M1317" s="3"/>
      <c r="N1317" s="3"/>
      <c r="O1317" s="2"/>
      <c r="P1317" s="277"/>
    </row>
    <row r="1318" spans="1:16" ht="30" customHeight="1" x14ac:dyDescent="0.15">
      <c r="A1318" s="284" t="s">
        <v>8727</v>
      </c>
      <c r="B1318" s="157"/>
      <c r="C1318" s="157"/>
      <c r="D1318" s="157"/>
      <c r="E1318" s="6"/>
      <c r="F1318" s="6"/>
      <c r="G1318" s="2"/>
      <c r="H1318" s="157"/>
      <c r="I1318" s="157"/>
      <c r="J1318" s="2"/>
      <c r="K1318" s="157"/>
      <c r="L1318" s="3"/>
      <c r="M1318" s="3"/>
      <c r="N1318" s="3"/>
      <c r="O1318" s="2"/>
      <c r="P1318" s="277"/>
    </row>
    <row r="1319" spans="1:16" ht="30" customHeight="1" x14ac:dyDescent="0.15">
      <c r="A1319" s="284" t="s">
        <v>8728</v>
      </c>
      <c r="B1319" s="157"/>
      <c r="C1319" s="157"/>
      <c r="D1319" s="157"/>
      <c r="E1319" s="6"/>
      <c r="F1319" s="6"/>
      <c r="G1319" s="2"/>
      <c r="H1319" s="157"/>
      <c r="I1319" s="157"/>
      <c r="J1319" s="2"/>
      <c r="K1319" s="157"/>
      <c r="L1319" s="3"/>
      <c r="M1319" s="3"/>
      <c r="N1319" s="3"/>
      <c r="O1319" s="2"/>
      <c r="P1319" s="277"/>
    </row>
    <row r="1320" spans="1:16" ht="30" customHeight="1" x14ac:dyDescent="0.15">
      <c r="A1320" s="284" t="s">
        <v>8729</v>
      </c>
      <c r="B1320" s="157"/>
      <c r="C1320" s="157"/>
      <c r="D1320" s="157"/>
      <c r="E1320" s="6"/>
      <c r="F1320" s="6"/>
      <c r="G1320" s="2"/>
      <c r="H1320" s="157"/>
      <c r="I1320" s="157"/>
      <c r="J1320" s="2"/>
      <c r="K1320" s="157"/>
      <c r="L1320" s="3"/>
      <c r="M1320" s="3"/>
      <c r="N1320" s="3"/>
      <c r="O1320" s="2"/>
      <c r="P1320" s="277"/>
    </row>
    <row r="1321" spans="1:16" ht="30" customHeight="1" x14ac:dyDescent="0.15">
      <c r="A1321" s="284" t="s">
        <v>8730</v>
      </c>
      <c r="B1321" s="157"/>
      <c r="C1321" s="157"/>
      <c r="D1321" s="157"/>
      <c r="E1321" s="6"/>
      <c r="F1321" s="6"/>
      <c r="G1321" s="2"/>
      <c r="H1321" s="157"/>
      <c r="I1321" s="157"/>
      <c r="J1321" s="2"/>
      <c r="K1321" s="157"/>
      <c r="L1321" s="3"/>
      <c r="M1321" s="3"/>
      <c r="N1321" s="3"/>
      <c r="O1321" s="2"/>
      <c r="P1321" s="277"/>
    </row>
    <row r="1322" spans="1:16" ht="30" customHeight="1" x14ac:dyDescent="0.15">
      <c r="A1322" s="284" t="s">
        <v>8731</v>
      </c>
      <c r="B1322" s="157"/>
      <c r="C1322" s="157"/>
      <c r="D1322" s="157"/>
      <c r="E1322" s="6"/>
      <c r="F1322" s="6"/>
      <c r="G1322" s="2"/>
      <c r="H1322" s="157"/>
      <c r="I1322" s="157"/>
      <c r="J1322" s="2"/>
      <c r="K1322" s="157"/>
      <c r="L1322" s="3"/>
      <c r="M1322" s="3"/>
      <c r="N1322" s="3"/>
      <c r="O1322" s="2"/>
      <c r="P1322" s="277"/>
    </row>
    <row r="1323" spans="1:16" ht="30" customHeight="1" x14ac:dyDescent="0.15">
      <c r="A1323" s="284" t="s">
        <v>8732</v>
      </c>
      <c r="B1323" s="157"/>
      <c r="C1323" s="157"/>
      <c r="D1323" s="157"/>
      <c r="E1323" s="6"/>
      <c r="F1323" s="6"/>
      <c r="G1323" s="2"/>
      <c r="H1323" s="157"/>
      <c r="I1323" s="157"/>
      <c r="J1323" s="2"/>
      <c r="K1323" s="157"/>
      <c r="L1323" s="3"/>
      <c r="M1323" s="3"/>
      <c r="N1323" s="3"/>
      <c r="O1323" s="2"/>
      <c r="P1323" s="277"/>
    </row>
    <row r="1324" spans="1:16" ht="30" customHeight="1" x14ac:dyDescent="0.15">
      <c r="A1324" s="284" t="s">
        <v>8733</v>
      </c>
      <c r="B1324" s="157"/>
      <c r="C1324" s="157"/>
      <c r="D1324" s="157"/>
      <c r="E1324" s="6"/>
      <c r="F1324" s="6"/>
      <c r="G1324" s="2"/>
      <c r="H1324" s="157"/>
      <c r="I1324" s="157"/>
      <c r="J1324" s="2"/>
      <c r="K1324" s="157"/>
      <c r="L1324" s="3"/>
      <c r="M1324" s="3"/>
      <c r="N1324" s="3"/>
      <c r="O1324" s="2"/>
      <c r="P1324" s="277"/>
    </row>
    <row r="1325" spans="1:16" ht="30" customHeight="1" x14ac:dyDescent="0.15">
      <c r="A1325" s="284" t="s">
        <v>8734</v>
      </c>
      <c r="B1325" s="157"/>
      <c r="C1325" s="157"/>
      <c r="D1325" s="157"/>
      <c r="E1325" s="6"/>
      <c r="F1325" s="6"/>
      <c r="G1325" s="2"/>
      <c r="H1325" s="157"/>
      <c r="I1325" s="157"/>
      <c r="J1325" s="2"/>
      <c r="K1325" s="157"/>
      <c r="L1325" s="3"/>
      <c r="M1325" s="3"/>
      <c r="N1325" s="3"/>
      <c r="O1325" s="2"/>
      <c r="P1325" s="277"/>
    </row>
    <row r="1326" spans="1:16" ht="30" customHeight="1" x14ac:dyDescent="0.15">
      <c r="A1326" s="284" t="s">
        <v>8735</v>
      </c>
      <c r="B1326" s="157"/>
      <c r="C1326" s="157"/>
      <c r="D1326" s="157"/>
      <c r="E1326" s="6"/>
      <c r="F1326" s="6"/>
      <c r="G1326" s="2"/>
      <c r="H1326" s="157"/>
      <c r="I1326" s="157"/>
      <c r="J1326" s="2"/>
      <c r="K1326" s="157"/>
      <c r="L1326" s="3"/>
      <c r="M1326" s="3"/>
      <c r="N1326" s="3"/>
      <c r="O1326" s="2"/>
      <c r="P1326" s="277"/>
    </row>
    <row r="1327" spans="1:16" ht="30" customHeight="1" x14ac:dyDescent="0.15">
      <c r="A1327" s="284" t="s">
        <v>8736</v>
      </c>
      <c r="B1327" s="157"/>
      <c r="C1327" s="157"/>
      <c r="D1327" s="157"/>
      <c r="E1327" s="6"/>
      <c r="F1327" s="6"/>
      <c r="G1327" s="2"/>
      <c r="H1327" s="157"/>
      <c r="I1327" s="157"/>
      <c r="J1327" s="2"/>
      <c r="K1327" s="157"/>
      <c r="L1327" s="3"/>
      <c r="M1327" s="3"/>
      <c r="N1327" s="3"/>
      <c r="O1327" s="2"/>
      <c r="P1327" s="277"/>
    </row>
    <row r="1328" spans="1:16" ht="30" customHeight="1" x14ac:dyDescent="0.15">
      <c r="A1328" s="284" t="s">
        <v>8737</v>
      </c>
      <c r="B1328" s="157"/>
      <c r="C1328" s="157"/>
      <c r="D1328" s="157"/>
      <c r="E1328" s="6"/>
      <c r="F1328" s="6"/>
      <c r="G1328" s="2"/>
      <c r="H1328" s="157"/>
      <c r="I1328" s="157"/>
      <c r="J1328" s="2"/>
      <c r="K1328" s="157"/>
      <c r="L1328" s="3"/>
      <c r="M1328" s="3"/>
      <c r="N1328" s="3"/>
      <c r="O1328" s="2"/>
      <c r="P1328" s="277"/>
    </row>
    <row r="1329" spans="1:16" ht="30" customHeight="1" x14ac:dyDescent="0.15">
      <c r="A1329" s="284" t="s">
        <v>8738</v>
      </c>
      <c r="B1329" s="157"/>
      <c r="C1329" s="157"/>
      <c r="D1329" s="157"/>
      <c r="E1329" s="6"/>
      <c r="F1329" s="6"/>
      <c r="G1329" s="2"/>
      <c r="H1329" s="157"/>
      <c r="I1329" s="157"/>
      <c r="J1329" s="2"/>
      <c r="K1329" s="157"/>
      <c r="L1329" s="3"/>
      <c r="M1329" s="3"/>
      <c r="N1329" s="3"/>
      <c r="O1329" s="2"/>
      <c r="P1329" s="277"/>
    </row>
    <row r="1330" spans="1:16" ht="30" customHeight="1" x14ac:dyDescent="0.15">
      <c r="A1330" s="284" t="s">
        <v>8739</v>
      </c>
      <c r="B1330" s="157"/>
      <c r="C1330" s="157"/>
      <c r="D1330" s="157"/>
      <c r="E1330" s="6"/>
      <c r="F1330" s="6"/>
      <c r="G1330" s="2"/>
      <c r="H1330" s="157"/>
      <c r="I1330" s="157"/>
      <c r="J1330" s="2"/>
      <c r="K1330" s="157"/>
      <c r="L1330" s="3"/>
      <c r="M1330" s="3"/>
      <c r="N1330" s="3"/>
      <c r="O1330" s="2"/>
      <c r="P1330" s="277"/>
    </row>
    <row r="1331" spans="1:16" ht="30" customHeight="1" x14ac:dyDescent="0.15">
      <c r="A1331" s="284" t="s">
        <v>8740</v>
      </c>
      <c r="B1331" s="157"/>
      <c r="C1331" s="157"/>
      <c r="D1331" s="157"/>
      <c r="E1331" s="6"/>
      <c r="F1331" s="6"/>
      <c r="G1331" s="2"/>
      <c r="H1331" s="157"/>
      <c r="I1331" s="157"/>
      <c r="J1331" s="2"/>
      <c r="K1331" s="157"/>
      <c r="L1331" s="3"/>
      <c r="M1331" s="3"/>
      <c r="N1331" s="3"/>
      <c r="O1331" s="2"/>
      <c r="P1331" s="277"/>
    </row>
    <row r="1332" spans="1:16" ht="30" customHeight="1" x14ac:dyDescent="0.15">
      <c r="A1332" s="284" t="s">
        <v>8741</v>
      </c>
      <c r="B1332" s="157"/>
      <c r="C1332" s="157"/>
      <c r="D1332" s="157"/>
      <c r="E1332" s="6"/>
      <c r="F1332" s="6"/>
      <c r="G1332" s="2"/>
      <c r="H1332" s="157"/>
      <c r="I1332" s="157"/>
      <c r="J1332" s="2"/>
      <c r="K1332" s="157"/>
      <c r="L1332" s="3"/>
      <c r="M1332" s="3"/>
      <c r="N1332" s="3"/>
      <c r="O1332" s="2"/>
      <c r="P1332" s="277"/>
    </row>
    <row r="1333" spans="1:16" ht="30" customHeight="1" x14ac:dyDescent="0.15">
      <c r="A1333" s="284" t="s">
        <v>8742</v>
      </c>
      <c r="B1333" s="157"/>
      <c r="C1333" s="157"/>
      <c r="D1333" s="157"/>
      <c r="E1333" s="6"/>
      <c r="F1333" s="6"/>
      <c r="G1333" s="2"/>
      <c r="H1333" s="157"/>
      <c r="I1333" s="157"/>
      <c r="J1333" s="2"/>
      <c r="K1333" s="157"/>
      <c r="L1333" s="3"/>
      <c r="M1333" s="3"/>
      <c r="N1333" s="3"/>
      <c r="O1333" s="2"/>
      <c r="P1333" s="277"/>
    </row>
    <row r="1334" spans="1:16" ht="30" customHeight="1" x14ac:dyDescent="0.15">
      <c r="A1334" s="284" t="s">
        <v>8743</v>
      </c>
      <c r="B1334" s="157"/>
      <c r="C1334" s="157"/>
      <c r="D1334" s="157"/>
      <c r="E1334" s="6"/>
      <c r="F1334" s="6"/>
      <c r="G1334" s="2"/>
      <c r="H1334" s="157"/>
      <c r="I1334" s="157"/>
      <c r="J1334" s="2"/>
      <c r="K1334" s="157"/>
      <c r="L1334" s="3"/>
      <c r="M1334" s="3"/>
      <c r="N1334" s="3"/>
      <c r="O1334" s="2"/>
      <c r="P1334" s="277"/>
    </row>
    <row r="1335" spans="1:16" ht="30" customHeight="1" x14ac:dyDescent="0.15">
      <c r="A1335" s="284" t="s">
        <v>8744</v>
      </c>
      <c r="B1335" s="157"/>
      <c r="C1335" s="157"/>
      <c r="D1335" s="157"/>
      <c r="E1335" s="6"/>
      <c r="F1335" s="6"/>
      <c r="G1335" s="2"/>
      <c r="H1335" s="157"/>
      <c r="I1335" s="157"/>
      <c r="J1335" s="2"/>
      <c r="K1335" s="157"/>
      <c r="L1335" s="3"/>
      <c r="M1335" s="3"/>
      <c r="N1335" s="3"/>
      <c r="O1335" s="2"/>
      <c r="P1335" s="277"/>
    </row>
    <row r="1336" spans="1:16" ht="30" customHeight="1" x14ac:dyDescent="0.15">
      <c r="A1336" s="284" t="s">
        <v>8745</v>
      </c>
      <c r="B1336" s="157"/>
      <c r="C1336" s="157"/>
      <c r="D1336" s="157"/>
      <c r="E1336" s="6"/>
      <c r="F1336" s="6"/>
      <c r="G1336" s="2"/>
      <c r="H1336" s="157"/>
      <c r="I1336" s="157"/>
      <c r="J1336" s="2"/>
      <c r="K1336" s="157"/>
      <c r="L1336" s="3"/>
      <c r="M1336" s="3"/>
      <c r="N1336" s="3"/>
      <c r="O1336" s="2"/>
      <c r="P1336" s="277"/>
    </row>
    <row r="1337" spans="1:16" ht="30" customHeight="1" x14ac:dyDescent="0.15">
      <c r="A1337" s="284" t="s">
        <v>8746</v>
      </c>
      <c r="B1337" s="157"/>
      <c r="C1337" s="157"/>
      <c r="D1337" s="157"/>
      <c r="E1337" s="6"/>
      <c r="F1337" s="6"/>
      <c r="G1337" s="2"/>
      <c r="H1337" s="157"/>
      <c r="I1337" s="157"/>
      <c r="J1337" s="2"/>
      <c r="K1337" s="157"/>
      <c r="L1337" s="3"/>
      <c r="M1337" s="3"/>
      <c r="N1337" s="3"/>
      <c r="O1337" s="2"/>
      <c r="P1337" s="277"/>
    </row>
    <row r="1338" spans="1:16" ht="30" customHeight="1" x14ac:dyDescent="0.15">
      <c r="A1338" s="284" t="s">
        <v>8747</v>
      </c>
      <c r="B1338" s="157"/>
      <c r="C1338" s="157"/>
      <c r="D1338" s="157"/>
      <c r="E1338" s="6"/>
      <c r="F1338" s="6"/>
      <c r="G1338" s="2"/>
      <c r="H1338" s="157"/>
      <c r="I1338" s="157"/>
      <c r="J1338" s="2"/>
      <c r="K1338" s="157"/>
      <c r="L1338" s="3"/>
      <c r="M1338" s="3"/>
      <c r="N1338" s="3"/>
      <c r="O1338" s="2"/>
      <c r="P1338" s="277"/>
    </row>
    <row r="1339" spans="1:16" ht="30" customHeight="1" x14ac:dyDescent="0.15">
      <c r="A1339" s="284" t="s">
        <v>8748</v>
      </c>
      <c r="B1339" s="157"/>
      <c r="C1339" s="157"/>
      <c r="D1339" s="157"/>
      <c r="E1339" s="6"/>
      <c r="F1339" s="6"/>
      <c r="G1339" s="2"/>
      <c r="H1339" s="157"/>
      <c r="I1339" s="157"/>
      <c r="J1339" s="2"/>
      <c r="K1339" s="157"/>
      <c r="L1339" s="3"/>
      <c r="M1339" s="3"/>
      <c r="N1339" s="3"/>
      <c r="O1339" s="2"/>
      <c r="P1339" s="277"/>
    </row>
    <row r="1340" spans="1:16" ht="30" customHeight="1" x14ac:dyDescent="0.15">
      <c r="A1340" s="284" t="s">
        <v>8749</v>
      </c>
      <c r="B1340" s="157"/>
      <c r="C1340" s="157"/>
      <c r="D1340" s="157"/>
      <c r="E1340" s="6"/>
      <c r="F1340" s="6"/>
      <c r="G1340" s="2"/>
      <c r="H1340" s="157"/>
      <c r="I1340" s="157"/>
      <c r="J1340" s="2"/>
      <c r="K1340" s="157"/>
      <c r="L1340" s="3"/>
      <c r="M1340" s="3"/>
      <c r="N1340" s="3"/>
      <c r="O1340" s="2"/>
      <c r="P1340" s="277"/>
    </row>
    <row r="1341" spans="1:16" ht="30" customHeight="1" x14ac:dyDescent="0.15">
      <c r="A1341" s="284" t="s">
        <v>8750</v>
      </c>
      <c r="B1341" s="157"/>
      <c r="C1341" s="157"/>
      <c r="D1341" s="157"/>
      <c r="E1341" s="6"/>
      <c r="F1341" s="6"/>
      <c r="G1341" s="2"/>
      <c r="H1341" s="157"/>
      <c r="I1341" s="157"/>
      <c r="J1341" s="2"/>
      <c r="K1341" s="157"/>
      <c r="L1341" s="3"/>
      <c r="M1341" s="3"/>
      <c r="N1341" s="3"/>
      <c r="O1341" s="2"/>
      <c r="P1341" s="277"/>
    </row>
    <row r="1342" spans="1:16" ht="30" customHeight="1" x14ac:dyDescent="0.15">
      <c r="A1342" s="284" t="s">
        <v>8751</v>
      </c>
      <c r="B1342" s="157"/>
      <c r="C1342" s="157"/>
      <c r="D1342" s="157"/>
      <c r="E1342" s="6"/>
      <c r="F1342" s="6"/>
      <c r="G1342" s="2"/>
      <c r="H1342" s="157"/>
      <c r="I1342" s="157"/>
      <c r="J1342" s="2"/>
      <c r="K1342" s="157"/>
      <c r="L1342" s="3"/>
      <c r="M1342" s="3"/>
      <c r="N1342" s="3"/>
      <c r="O1342" s="2"/>
      <c r="P1342" s="277"/>
    </row>
    <row r="1343" spans="1:16" ht="30" customHeight="1" x14ac:dyDescent="0.15">
      <c r="A1343" s="284" t="s">
        <v>8752</v>
      </c>
      <c r="B1343" s="157"/>
      <c r="C1343" s="157"/>
      <c r="D1343" s="157"/>
      <c r="E1343" s="6"/>
      <c r="F1343" s="6"/>
      <c r="G1343" s="2"/>
      <c r="H1343" s="157"/>
      <c r="I1343" s="157"/>
      <c r="J1343" s="2"/>
      <c r="K1343" s="157"/>
      <c r="L1343" s="3"/>
      <c r="M1343" s="3"/>
      <c r="N1343" s="3"/>
      <c r="O1343" s="2"/>
      <c r="P1343" s="277"/>
    </row>
    <row r="1344" spans="1:16" ht="30" customHeight="1" x14ac:dyDescent="0.15">
      <c r="A1344" s="284" t="s">
        <v>8753</v>
      </c>
      <c r="B1344" s="157"/>
      <c r="C1344" s="157"/>
      <c r="D1344" s="157"/>
      <c r="E1344" s="6"/>
      <c r="F1344" s="6"/>
      <c r="G1344" s="2"/>
      <c r="H1344" s="157"/>
      <c r="I1344" s="157"/>
      <c r="J1344" s="2"/>
      <c r="K1344" s="157"/>
      <c r="L1344" s="3"/>
      <c r="M1344" s="3"/>
      <c r="N1344" s="3"/>
      <c r="O1344" s="2"/>
      <c r="P1344" s="277"/>
    </row>
    <row r="1345" spans="1:16" ht="30" customHeight="1" x14ac:dyDescent="0.15">
      <c r="A1345" s="284" t="s">
        <v>8754</v>
      </c>
      <c r="B1345" s="157"/>
      <c r="C1345" s="157"/>
      <c r="D1345" s="157"/>
      <c r="E1345" s="6"/>
      <c r="F1345" s="6"/>
      <c r="G1345" s="2"/>
      <c r="H1345" s="157"/>
      <c r="I1345" s="157"/>
      <c r="J1345" s="2"/>
      <c r="K1345" s="157"/>
      <c r="L1345" s="3"/>
      <c r="M1345" s="3"/>
      <c r="N1345" s="3"/>
      <c r="O1345" s="2"/>
      <c r="P1345" s="277"/>
    </row>
    <row r="1346" spans="1:16" ht="30" customHeight="1" x14ac:dyDescent="0.15">
      <c r="A1346" s="284" t="s">
        <v>8755</v>
      </c>
      <c r="B1346" s="157"/>
      <c r="C1346" s="157"/>
      <c r="D1346" s="157"/>
      <c r="E1346" s="6"/>
      <c r="F1346" s="6"/>
      <c r="G1346" s="2"/>
      <c r="H1346" s="157"/>
      <c r="I1346" s="157"/>
      <c r="J1346" s="2"/>
      <c r="K1346" s="157"/>
      <c r="L1346" s="3"/>
      <c r="M1346" s="3"/>
      <c r="N1346" s="3"/>
      <c r="O1346" s="2"/>
      <c r="P1346" s="277"/>
    </row>
    <row r="1347" spans="1:16" ht="30" customHeight="1" x14ac:dyDescent="0.15">
      <c r="A1347" s="284" t="s">
        <v>8756</v>
      </c>
      <c r="B1347" s="157"/>
      <c r="C1347" s="157"/>
      <c r="D1347" s="157"/>
      <c r="E1347" s="6"/>
      <c r="F1347" s="6"/>
      <c r="G1347" s="2"/>
      <c r="H1347" s="157"/>
      <c r="I1347" s="157"/>
      <c r="J1347" s="2"/>
      <c r="K1347" s="157"/>
      <c r="L1347" s="3"/>
      <c r="M1347" s="3"/>
      <c r="N1347" s="3"/>
      <c r="O1347" s="2"/>
      <c r="P1347" s="277"/>
    </row>
    <row r="1348" spans="1:16" ht="30" customHeight="1" x14ac:dyDescent="0.15">
      <c r="A1348" s="284" t="s">
        <v>8757</v>
      </c>
      <c r="B1348" s="157"/>
      <c r="C1348" s="157"/>
      <c r="D1348" s="157"/>
      <c r="E1348" s="6"/>
      <c r="F1348" s="6"/>
      <c r="G1348" s="2"/>
      <c r="H1348" s="157"/>
      <c r="I1348" s="157"/>
      <c r="J1348" s="2"/>
      <c r="K1348" s="157"/>
      <c r="L1348" s="3"/>
      <c r="M1348" s="3"/>
      <c r="N1348" s="3"/>
      <c r="O1348" s="2"/>
      <c r="P1348" s="277"/>
    </row>
    <row r="1349" spans="1:16" ht="30" customHeight="1" x14ac:dyDescent="0.15">
      <c r="A1349" s="284" t="s">
        <v>8758</v>
      </c>
      <c r="B1349" s="157"/>
      <c r="C1349" s="157"/>
      <c r="D1349" s="157"/>
      <c r="E1349" s="6"/>
      <c r="F1349" s="6"/>
      <c r="G1349" s="2"/>
      <c r="H1349" s="157"/>
      <c r="I1349" s="157"/>
      <c r="J1349" s="2"/>
      <c r="K1349" s="157"/>
      <c r="L1349" s="3"/>
      <c r="M1349" s="3"/>
      <c r="N1349" s="3"/>
      <c r="O1349" s="2"/>
      <c r="P1349" s="277"/>
    </row>
    <row r="1350" spans="1:16" ht="30" customHeight="1" x14ac:dyDescent="0.15">
      <c r="A1350" s="284" t="s">
        <v>8759</v>
      </c>
      <c r="B1350" s="157"/>
      <c r="C1350" s="157"/>
      <c r="D1350" s="157"/>
      <c r="E1350" s="6"/>
      <c r="F1350" s="6"/>
      <c r="G1350" s="2"/>
      <c r="H1350" s="157"/>
      <c r="I1350" s="157"/>
      <c r="J1350" s="2"/>
      <c r="K1350" s="157"/>
      <c r="L1350" s="3"/>
      <c r="M1350" s="3"/>
      <c r="N1350" s="3"/>
      <c r="O1350" s="2"/>
      <c r="P1350" s="277"/>
    </row>
    <row r="1351" spans="1:16" ht="30" customHeight="1" x14ac:dyDescent="0.15">
      <c r="A1351" s="284" t="s">
        <v>8760</v>
      </c>
      <c r="B1351" s="157"/>
      <c r="C1351" s="157"/>
      <c r="D1351" s="157"/>
      <c r="E1351" s="6"/>
      <c r="F1351" s="6"/>
      <c r="G1351" s="2"/>
      <c r="H1351" s="157"/>
      <c r="I1351" s="157"/>
      <c r="J1351" s="2"/>
      <c r="K1351" s="157"/>
      <c r="L1351" s="3"/>
      <c r="M1351" s="3"/>
      <c r="N1351" s="3"/>
      <c r="O1351" s="2"/>
      <c r="P1351" s="277"/>
    </row>
    <row r="1352" spans="1:16" ht="30" customHeight="1" x14ac:dyDescent="0.15">
      <c r="A1352" s="284" t="s">
        <v>8761</v>
      </c>
      <c r="B1352" s="157"/>
      <c r="C1352" s="157"/>
      <c r="D1352" s="157"/>
      <c r="E1352" s="6"/>
      <c r="F1352" s="6"/>
      <c r="G1352" s="2"/>
      <c r="H1352" s="157"/>
      <c r="I1352" s="157"/>
      <c r="J1352" s="2"/>
      <c r="K1352" s="157"/>
      <c r="L1352" s="3"/>
      <c r="M1352" s="3"/>
      <c r="N1352" s="3"/>
      <c r="O1352" s="2"/>
      <c r="P1352" s="277"/>
    </row>
    <row r="1353" spans="1:16" ht="30" customHeight="1" x14ac:dyDescent="0.15">
      <c r="A1353" s="284" t="s">
        <v>8762</v>
      </c>
      <c r="B1353" s="157"/>
      <c r="C1353" s="157"/>
      <c r="D1353" s="157"/>
      <c r="E1353" s="6"/>
      <c r="F1353" s="6"/>
      <c r="G1353" s="2"/>
      <c r="H1353" s="157"/>
      <c r="I1353" s="157"/>
      <c r="J1353" s="2"/>
      <c r="K1353" s="157"/>
      <c r="L1353" s="3"/>
      <c r="M1353" s="3"/>
      <c r="N1353" s="3"/>
      <c r="O1353" s="2"/>
      <c r="P1353" s="277"/>
    </row>
    <row r="1354" spans="1:16" ht="30" customHeight="1" x14ac:dyDescent="0.15">
      <c r="A1354" s="284" t="s">
        <v>8763</v>
      </c>
      <c r="B1354" s="157"/>
      <c r="C1354" s="157"/>
      <c r="D1354" s="157"/>
      <c r="E1354" s="6"/>
      <c r="F1354" s="6"/>
      <c r="G1354" s="2"/>
      <c r="H1354" s="157"/>
      <c r="I1354" s="157"/>
      <c r="J1354" s="2"/>
      <c r="K1354" s="157"/>
      <c r="L1354" s="3"/>
      <c r="M1354" s="3"/>
      <c r="N1354" s="3"/>
      <c r="O1354" s="2"/>
      <c r="P1354" s="277"/>
    </row>
    <row r="1355" spans="1:16" ht="30" customHeight="1" x14ac:dyDescent="0.15">
      <c r="A1355" s="284" t="s">
        <v>8764</v>
      </c>
      <c r="B1355" s="157"/>
      <c r="C1355" s="157"/>
      <c r="D1355" s="157"/>
      <c r="E1355" s="6"/>
      <c r="F1355" s="6"/>
      <c r="G1355" s="2"/>
      <c r="H1355" s="157"/>
      <c r="I1355" s="157"/>
      <c r="J1355" s="2"/>
      <c r="K1355" s="157"/>
      <c r="L1355" s="3"/>
      <c r="M1355" s="3"/>
      <c r="N1355" s="3"/>
      <c r="O1355" s="2"/>
      <c r="P1355" s="277"/>
    </row>
    <row r="1356" spans="1:16" ht="30" customHeight="1" x14ac:dyDescent="0.15">
      <c r="A1356" s="284" t="s">
        <v>8765</v>
      </c>
      <c r="B1356" s="157"/>
      <c r="C1356" s="157"/>
      <c r="D1356" s="157"/>
      <c r="E1356" s="6"/>
      <c r="F1356" s="6"/>
      <c r="G1356" s="2"/>
      <c r="H1356" s="157"/>
      <c r="I1356" s="157"/>
      <c r="J1356" s="2"/>
      <c r="K1356" s="157"/>
      <c r="L1356" s="3"/>
      <c r="M1356" s="3"/>
      <c r="N1356" s="3"/>
      <c r="O1356" s="2"/>
      <c r="P1356" s="277"/>
    </row>
    <row r="1357" spans="1:16" ht="30" customHeight="1" x14ac:dyDescent="0.15">
      <c r="A1357" s="284" t="s">
        <v>8766</v>
      </c>
      <c r="B1357" s="157"/>
      <c r="C1357" s="157"/>
      <c r="D1357" s="157"/>
      <c r="E1357" s="6"/>
      <c r="F1357" s="6"/>
      <c r="G1357" s="2"/>
      <c r="H1357" s="157"/>
      <c r="I1357" s="157"/>
      <c r="J1357" s="2"/>
      <c r="K1357" s="157"/>
      <c r="L1357" s="3"/>
      <c r="M1357" s="3"/>
      <c r="N1357" s="3"/>
      <c r="O1357" s="2"/>
      <c r="P1357" s="277"/>
    </row>
    <row r="1358" spans="1:16" ht="30" customHeight="1" x14ac:dyDescent="0.15">
      <c r="A1358" s="284" t="s">
        <v>8767</v>
      </c>
      <c r="B1358" s="157"/>
      <c r="C1358" s="157"/>
      <c r="D1358" s="157"/>
      <c r="E1358" s="6"/>
      <c r="F1358" s="6"/>
      <c r="G1358" s="2"/>
      <c r="H1358" s="157"/>
      <c r="I1358" s="157"/>
      <c r="J1358" s="2"/>
      <c r="K1358" s="157"/>
      <c r="L1358" s="3"/>
      <c r="M1358" s="3"/>
      <c r="N1358" s="3"/>
      <c r="O1358" s="2"/>
      <c r="P1358" s="277"/>
    </row>
    <row r="1359" spans="1:16" ht="30" customHeight="1" x14ac:dyDescent="0.15">
      <c r="A1359" s="284" t="s">
        <v>8768</v>
      </c>
      <c r="B1359" s="157"/>
      <c r="C1359" s="157"/>
      <c r="D1359" s="157"/>
      <c r="E1359" s="6"/>
      <c r="F1359" s="6"/>
      <c r="G1359" s="2"/>
      <c r="H1359" s="157"/>
      <c r="I1359" s="157"/>
      <c r="J1359" s="2"/>
      <c r="K1359" s="157"/>
      <c r="L1359" s="3"/>
      <c r="M1359" s="3"/>
      <c r="N1359" s="3"/>
      <c r="O1359" s="2"/>
      <c r="P1359" s="277"/>
    </row>
    <row r="1360" spans="1:16" ht="30" customHeight="1" x14ac:dyDescent="0.15">
      <c r="A1360" s="284" t="s">
        <v>8769</v>
      </c>
      <c r="B1360" s="157"/>
      <c r="C1360" s="157"/>
      <c r="D1360" s="157"/>
      <c r="E1360" s="6"/>
      <c r="F1360" s="6"/>
      <c r="G1360" s="2"/>
      <c r="H1360" s="157"/>
      <c r="I1360" s="157"/>
      <c r="J1360" s="2"/>
      <c r="K1360" s="157"/>
      <c r="L1360" s="3"/>
      <c r="M1360" s="3"/>
      <c r="N1360" s="3"/>
      <c r="O1360" s="2"/>
      <c r="P1360" s="277"/>
    </row>
    <row r="1361" spans="1:16" ht="30" customHeight="1" x14ac:dyDescent="0.15">
      <c r="A1361" s="284" t="s">
        <v>8770</v>
      </c>
      <c r="B1361" s="157"/>
      <c r="C1361" s="157"/>
      <c r="D1361" s="157"/>
      <c r="E1361" s="6"/>
      <c r="F1361" s="6"/>
      <c r="G1361" s="2"/>
      <c r="H1361" s="157"/>
      <c r="I1361" s="157"/>
      <c r="J1361" s="2"/>
      <c r="K1361" s="157"/>
      <c r="L1361" s="3"/>
      <c r="M1361" s="3"/>
      <c r="N1361" s="3"/>
      <c r="O1361" s="2"/>
      <c r="P1361" s="277"/>
    </row>
    <row r="1362" spans="1:16" ht="30" customHeight="1" x14ac:dyDescent="0.15">
      <c r="A1362" s="284" t="s">
        <v>8771</v>
      </c>
      <c r="B1362" s="157"/>
      <c r="C1362" s="157"/>
      <c r="D1362" s="157"/>
      <c r="E1362" s="6"/>
      <c r="F1362" s="6"/>
      <c r="G1362" s="2"/>
      <c r="H1362" s="157"/>
      <c r="I1362" s="157"/>
      <c r="J1362" s="2"/>
      <c r="K1362" s="157"/>
      <c r="L1362" s="3"/>
      <c r="M1362" s="3"/>
      <c r="N1362" s="3"/>
      <c r="O1362" s="2"/>
      <c r="P1362" s="277"/>
    </row>
    <row r="1363" spans="1:16" ht="30" customHeight="1" x14ac:dyDescent="0.15">
      <c r="A1363" s="284" t="s">
        <v>8772</v>
      </c>
      <c r="B1363" s="157"/>
      <c r="C1363" s="157"/>
      <c r="D1363" s="157"/>
      <c r="E1363" s="6"/>
      <c r="F1363" s="6"/>
      <c r="G1363" s="2"/>
      <c r="H1363" s="157"/>
      <c r="I1363" s="157"/>
      <c r="J1363" s="2"/>
      <c r="K1363" s="157"/>
      <c r="L1363" s="3"/>
      <c r="M1363" s="3"/>
      <c r="N1363" s="3"/>
      <c r="O1363" s="2"/>
      <c r="P1363" s="277"/>
    </row>
    <row r="1364" spans="1:16" ht="30" customHeight="1" x14ac:dyDescent="0.15">
      <c r="A1364" s="284" t="s">
        <v>8773</v>
      </c>
      <c r="B1364" s="157"/>
      <c r="C1364" s="157"/>
      <c r="D1364" s="157"/>
      <c r="E1364" s="6"/>
      <c r="F1364" s="6"/>
      <c r="G1364" s="2"/>
      <c r="H1364" s="157"/>
      <c r="I1364" s="157"/>
      <c r="J1364" s="2"/>
      <c r="K1364" s="157"/>
      <c r="L1364" s="3"/>
      <c r="M1364" s="3"/>
      <c r="N1364" s="3"/>
      <c r="O1364" s="2"/>
      <c r="P1364" s="277"/>
    </row>
    <row r="1365" spans="1:16" ht="30" customHeight="1" x14ac:dyDescent="0.15">
      <c r="A1365" s="284" t="s">
        <v>8774</v>
      </c>
      <c r="B1365" s="157"/>
      <c r="C1365" s="157"/>
      <c r="D1365" s="157"/>
      <c r="E1365" s="6"/>
      <c r="F1365" s="6"/>
      <c r="G1365" s="2"/>
      <c r="H1365" s="157"/>
      <c r="I1365" s="157"/>
      <c r="J1365" s="2"/>
      <c r="K1365" s="157"/>
      <c r="L1365" s="3"/>
      <c r="M1365" s="3"/>
      <c r="N1365" s="3"/>
      <c r="O1365" s="2"/>
      <c r="P1365" s="277"/>
    </row>
    <row r="1366" spans="1:16" ht="30" customHeight="1" x14ac:dyDescent="0.15">
      <c r="A1366" s="284" t="s">
        <v>8775</v>
      </c>
      <c r="B1366" s="157"/>
      <c r="C1366" s="157"/>
      <c r="D1366" s="157"/>
      <c r="E1366" s="6"/>
      <c r="F1366" s="6"/>
      <c r="G1366" s="2"/>
      <c r="H1366" s="157"/>
      <c r="I1366" s="157"/>
      <c r="J1366" s="2"/>
      <c r="K1366" s="157"/>
      <c r="L1366" s="3"/>
      <c r="M1366" s="3"/>
      <c r="N1366" s="3"/>
      <c r="O1366" s="2"/>
      <c r="P1366" s="277"/>
    </row>
    <row r="1367" spans="1:16" ht="30" customHeight="1" x14ac:dyDescent="0.15">
      <c r="A1367" s="284" t="s">
        <v>8776</v>
      </c>
      <c r="B1367" s="157"/>
      <c r="C1367" s="157"/>
      <c r="D1367" s="157"/>
      <c r="E1367" s="6"/>
      <c r="F1367" s="6"/>
      <c r="G1367" s="2"/>
      <c r="H1367" s="157"/>
      <c r="I1367" s="157"/>
      <c r="J1367" s="2"/>
      <c r="K1367" s="157"/>
      <c r="L1367" s="3"/>
      <c r="M1367" s="3"/>
      <c r="N1367" s="3"/>
      <c r="O1367" s="2"/>
      <c r="P1367" s="277"/>
    </row>
    <row r="1368" spans="1:16" ht="30" customHeight="1" x14ac:dyDescent="0.15">
      <c r="A1368" s="284" t="s">
        <v>8777</v>
      </c>
      <c r="B1368" s="157"/>
      <c r="C1368" s="157"/>
      <c r="D1368" s="157"/>
      <c r="E1368" s="6"/>
      <c r="F1368" s="6"/>
      <c r="G1368" s="2"/>
      <c r="H1368" s="157"/>
      <c r="I1368" s="157"/>
      <c r="J1368" s="2"/>
      <c r="K1368" s="157"/>
      <c r="L1368" s="3"/>
      <c r="M1368" s="3"/>
      <c r="N1368" s="3"/>
      <c r="O1368" s="2"/>
      <c r="P1368" s="277"/>
    </row>
    <row r="1369" spans="1:16" ht="30" customHeight="1" x14ac:dyDescent="0.15">
      <c r="A1369" s="284" t="s">
        <v>8778</v>
      </c>
      <c r="B1369" s="157"/>
      <c r="C1369" s="157"/>
      <c r="D1369" s="157"/>
      <c r="E1369" s="6"/>
      <c r="F1369" s="6"/>
      <c r="G1369" s="2"/>
      <c r="H1369" s="157"/>
      <c r="I1369" s="157"/>
      <c r="J1369" s="2"/>
      <c r="K1369" s="157"/>
      <c r="L1369" s="3"/>
      <c r="M1369" s="3"/>
      <c r="N1369" s="3"/>
      <c r="O1369" s="2"/>
      <c r="P1369" s="277"/>
    </row>
    <row r="1370" spans="1:16" ht="30" customHeight="1" x14ac:dyDescent="0.15">
      <c r="A1370" s="284" t="s">
        <v>8779</v>
      </c>
      <c r="B1370" s="157"/>
      <c r="C1370" s="157"/>
      <c r="D1370" s="157"/>
      <c r="E1370" s="6"/>
      <c r="F1370" s="6"/>
      <c r="G1370" s="2"/>
      <c r="H1370" s="157"/>
      <c r="I1370" s="157"/>
      <c r="J1370" s="2"/>
      <c r="K1370" s="157"/>
      <c r="L1370" s="3"/>
      <c r="M1370" s="3"/>
      <c r="N1370" s="3"/>
      <c r="O1370" s="2"/>
      <c r="P1370" s="277"/>
    </row>
    <row r="1371" spans="1:16" ht="30" customHeight="1" x14ac:dyDescent="0.15">
      <c r="A1371" s="284" t="s">
        <v>8780</v>
      </c>
      <c r="B1371" s="157"/>
      <c r="C1371" s="157"/>
      <c r="D1371" s="157"/>
      <c r="E1371" s="6"/>
      <c r="F1371" s="6"/>
      <c r="G1371" s="2"/>
      <c r="H1371" s="157"/>
      <c r="I1371" s="157"/>
      <c r="J1371" s="2"/>
      <c r="K1371" s="157"/>
      <c r="L1371" s="3"/>
      <c r="M1371" s="3"/>
      <c r="N1371" s="3"/>
      <c r="O1371" s="2"/>
      <c r="P1371" s="277"/>
    </row>
    <row r="1372" spans="1:16" ht="30" customHeight="1" x14ac:dyDescent="0.15">
      <c r="A1372" s="284" t="s">
        <v>8781</v>
      </c>
      <c r="B1372" s="157"/>
      <c r="C1372" s="157"/>
      <c r="D1372" s="157"/>
      <c r="E1372" s="6"/>
      <c r="F1372" s="6"/>
      <c r="G1372" s="2"/>
      <c r="H1372" s="157"/>
      <c r="I1372" s="157"/>
      <c r="J1372" s="2"/>
      <c r="K1372" s="157"/>
      <c r="L1372" s="3"/>
      <c r="M1372" s="3"/>
      <c r="N1372" s="3"/>
      <c r="O1372" s="2"/>
      <c r="P1372" s="277"/>
    </row>
    <row r="1373" spans="1:16" ht="30" customHeight="1" x14ac:dyDescent="0.15">
      <c r="A1373" s="284" t="s">
        <v>8782</v>
      </c>
      <c r="B1373" s="157"/>
      <c r="C1373" s="157"/>
      <c r="D1373" s="157"/>
      <c r="E1373" s="6"/>
      <c r="F1373" s="6"/>
      <c r="G1373" s="2"/>
      <c r="H1373" s="157"/>
      <c r="I1373" s="157"/>
      <c r="J1373" s="2"/>
      <c r="K1373" s="157"/>
      <c r="L1373" s="3"/>
      <c r="M1373" s="3"/>
      <c r="N1373" s="3"/>
      <c r="O1373" s="2"/>
      <c r="P1373" s="277"/>
    </row>
    <row r="1374" spans="1:16" ht="30" customHeight="1" x14ac:dyDescent="0.15">
      <c r="A1374" s="284" t="s">
        <v>8783</v>
      </c>
      <c r="B1374" s="157"/>
      <c r="C1374" s="157"/>
      <c r="D1374" s="157"/>
      <c r="E1374" s="6"/>
      <c r="F1374" s="6"/>
      <c r="G1374" s="2"/>
      <c r="H1374" s="157"/>
      <c r="I1374" s="157"/>
      <c r="J1374" s="2"/>
      <c r="K1374" s="157"/>
      <c r="L1374" s="3"/>
      <c r="M1374" s="3"/>
      <c r="N1374" s="3"/>
      <c r="O1374" s="2"/>
      <c r="P1374" s="277"/>
    </row>
    <row r="1375" spans="1:16" ht="30" customHeight="1" x14ac:dyDescent="0.15">
      <c r="A1375" s="284" t="s">
        <v>8784</v>
      </c>
      <c r="B1375" s="157"/>
      <c r="C1375" s="157"/>
      <c r="D1375" s="157"/>
      <c r="E1375" s="6"/>
      <c r="F1375" s="6"/>
      <c r="G1375" s="2"/>
      <c r="H1375" s="157"/>
      <c r="I1375" s="157"/>
      <c r="J1375" s="2"/>
      <c r="K1375" s="157"/>
      <c r="L1375" s="3"/>
      <c r="M1375" s="3"/>
      <c r="N1375" s="3"/>
      <c r="O1375" s="2"/>
      <c r="P1375" s="277"/>
    </row>
    <row r="1376" spans="1:16" ht="30" customHeight="1" x14ac:dyDescent="0.15">
      <c r="A1376" s="284" t="s">
        <v>8785</v>
      </c>
      <c r="B1376" s="157"/>
      <c r="C1376" s="157"/>
      <c r="D1376" s="157"/>
      <c r="E1376" s="6"/>
      <c r="F1376" s="6"/>
      <c r="G1376" s="2"/>
      <c r="H1376" s="157"/>
      <c r="I1376" s="157"/>
      <c r="J1376" s="2"/>
      <c r="K1376" s="157"/>
      <c r="L1376" s="3"/>
      <c r="M1376" s="3"/>
      <c r="N1376" s="3"/>
      <c r="O1376" s="2"/>
      <c r="P1376" s="277"/>
    </row>
    <row r="1377" spans="1:16" ht="30" customHeight="1" x14ac:dyDescent="0.15">
      <c r="A1377" s="284" t="s">
        <v>8786</v>
      </c>
      <c r="B1377" s="157"/>
      <c r="C1377" s="157"/>
      <c r="D1377" s="157"/>
      <c r="E1377" s="6"/>
      <c r="F1377" s="6"/>
      <c r="G1377" s="2"/>
      <c r="H1377" s="157"/>
      <c r="I1377" s="157"/>
      <c r="J1377" s="2"/>
      <c r="K1377" s="157"/>
      <c r="L1377" s="3"/>
      <c r="M1377" s="3"/>
      <c r="N1377" s="3"/>
      <c r="O1377" s="2"/>
      <c r="P1377" s="277"/>
    </row>
    <row r="1378" spans="1:16" ht="30" customHeight="1" x14ac:dyDescent="0.15">
      <c r="A1378" s="284" t="s">
        <v>8787</v>
      </c>
      <c r="B1378" s="157"/>
      <c r="C1378" s="157"/>
      <c r="D1378" s="157"/>
      <c r="E1378" s="6"/>
      <c r="F1378" s="6"/>
      <c r="G1378" s="2"/>
      <c r="H1378" s="157"/>
      <c r="I1378" s="157"/>
      <c r="J1378" s="2"/>
      <c r="K1378" s="157"/>
      <c r="L1378" s="3"/>
      <c r="M1378" s="3"/>
      <c r="N1378" s="3"/>
      <c r="O1378" s="2"/>
      <c r="P1378" s="277"/>
    </row>
    <row r="1379" spans="1:16" ht="30" customHeight="1" x14ac:dyDescent="0.15">
      <c r="A1379" s="284" t="s">
        <v>8788</v>
      </c>
      <c r="B1379" s="157"/>
      <c r="C1379" s="157"/>
      <c r="D1379" s="157"/>
      <c r="E1379" s="6"/>
      <c r="F1379" s="6"/>
      <c r="G1379" s="2"/>
      <c r="H1379" s="157"/>
      <c r="I1379" s="157"/>
      <c r="J1379" s="2"/>
      <c r="K1379" s="157"/>
      <c r="L1379" s="3"/>
      <c r="M1379" s="3"/>
      <c r="N1379" s="3"/>
      <c r="O1379" s="2"/>
      <c r="P1379" s="277"/>
    </row>
    <row r="1380" spans="1:16" ht="30" customHeight="1" x14ac:dyDescent="0.15">
      <c r="A1380" s="284" t="s">
        <v>8789</v>
      </c>
      <c r="B1380" s="157"/>
      <c r="C1380" s="157"/>
      <c r="D1380" s="157"/>
      <c r="E1380" s="6"/>
      <c r="F1380" s="6"/>
      <c r="G1380" s="2"/>
      <c r="H1380" s="157"/>
      <c r="I1380" s="157"/>
      <c r="J1380" s="2"/>
      <c r="K1380" s="157"/>
      <c r="L1380" s="3"/>
      <c r="M1380" s="3"/>
      <c r="N1380" s="3"/>
      <c r="O1380" s="2"/>
      <c r="P1380" s="277"/>
    </row>
    <row r="1381" spans="1:16" ht="30" customHeight="1" x14ac:dyDescent="0.15">
      <c r="A1381" s="284" t="s">
        <v>8790</v>
      </c>
      <c r="B1381" s="157"/>
      <c r="C1381" s="157"/>
      <c r="D1381" s="157"/>
      <c r="E1381" s="6"/>
      <c r="F1381" s="6"/>
      <c r="G1381" s="2"/>
      <c r="H1381" s="157"/>
      <c r="I1381" s="157"/>
      <c r="J1381" s="2"/>
      <c r="K1381" s="157"/>
      <c r="L1381" s="3"/>
      <c r="M1381" s="3"/>
      <c r="N1381" s="3"/>
      <c r="O1381" s="2"/>
      <c r="P1381" s="277"/>
    </row>
    <row r="1382" spans="1:16" ht="30" customHeight="1" x14ac:dyDescent="0.15">
      <c r="A1382" s="284" t="s">
        <v>8791</v>
      </c>
      <c r="B1382" s="157"/>
      <c r="C1382" s="157"/>
      <c r="D1382" s="157"/>
      <c r="E1382" s="6"/>
      <c r="F1382" s="6"/>
      <c r="G1382" s="2"/>
      <c r="H1382" s="157"/>
      <c r="I1382" s="157"/>
      <c r="J1382" s="2"/>
      <c r="K1382" s="157"/>
      <c r="L1382" s="3"/>
      <c r="M1382" s="3"/>
      <c r="N1382" s="3"/>
      <c r="O1382" s="2"/>
      <c r="P1382" s="277"/>
    </row>
    <row r="1383" spans="1:16" ht="30" customHeight="1" x14ac:dyDescent="0.15">
      <c r="A1383" s="284" t="s">
        <v>8792</v>
      </c>
      <c r="B1383" s="157"/>
      <c r="C1383" s="157"/>
      <c r="D1383" s="157"/>
      <c r="E1383" s="6"/>
      <c r="F1383" s="6"/>
      <c r="G1383" s="2"/>
      <c r="H1383" s="157"/>
      <c r="I1383" s="157"/>
      <c r="J1383" s="2"/>
      <c r="K1383" s="157"/>
      <c r="L1383" s="3"/>
      <c r="M1383" s="3"/>
      <c r="N1383" s="3"/>
      <c r="O1383" s="2"/>
      <c r="P1383" s="277"/>
    </row>
    <row r="1384" spans="1:16" ht="30" customHeight="1" x14ac:dyDescent="0.15">
      <c r="A1384" s="284" t="s">
        <v>8793</v>
      </c>
      <c r="B1384" s="157"/>
      <c r="C1384" s="157"/>
      <c r="D1384" s="157"/>
      <c r="E1384" s="6"/>
      <c r="F1384" s="6"/>
      <c r="G1384" s="2"/>
      <c r="H1384" s="157"/>
      <c r="I1384" s="157"/>
      <c r="J1384" s="2"/>
      <c r="K1384" s="157"/>
      <c r="L1384" s="3"/>
      <c r="M1384" s="3"/>
      <c r="N1384" s="3"/>
      <c r="O1384" s="2"/>
      <c r="P1384" s="277"/>
    </row>
    <row r="1385" spans="1:16" ht="30" customHeight="1" x14ac:dyDescent="0.15">
      <c r="A1385" s="284" t="s">
        <v>8794</v>
      </c>
      <c r="B1385" s="157"/>
      <c r="C1385" s="157"/>
      <c r="D1385" s="157"/>
      <c r="E1385" s="6"/>
      <c r="F1385" s="6"/>
      <c r="G1385" s="2"/>
      <c r="H1385" s="157"/>
      <c r="I1385" s="157"/>
      <c r="J1385" s="2"/>
      <c r="K1385" s="157"/>
      <c r="L1385" s="3"/>
      <c r="M1385" s="3"/>
      <c r="N1385" s="3"/>
      <c r="O1385" s="2"/>
      <c r="P1385" s="277"/>
    </row>
    <row r="1386" spans="1:16" ht="30" customHeight="1" x14ac:dyDescent="0.15">
      <c r="A1386" s="284" t="s">
        <v>8795</v>
      </c>
      <c r="B1386" s="157"/>
      <c r="C1386" s="157"/>
      <c r="D1386" s="157"/>
      <c r="E1386" s="6"/>
      <c r="F1386" s="6"/>
      <c r="G1386" s="2"/>
      <c r="H1386" s="157"/>
      <c r="I1386" s="157"/>
      <c r="J1386" s="2"/>
      <c r="K1386" s="157"/>
      <c r="L1386" s="3"/>
      <c r="M1386" s="3"/>
      <c r="N1386" s="3"/>
      <c r="O1386" s="2"/>
      <c r="P1386" s="277"/>
    </row>
    <row r="1387" spans="1:16" ht="30" customHeight="1" x14ac:dyDescent="0.15">
      <c r="A1387" s="284" t="s">
        <v>8796</v>
      </c>
      <c r="B1387" s="157"/>
      <c r="C1387" s="157"/>
      <c r="D1387" s="157"/>
      <c r="E1387" s="6"/>
      <c r="F1387" s="6"/>
      <c r="G1387" s="2"/>
      <c r="H1387" s="157"/>
      <c r="I1387" s="157"/>
      <c r="J1387" s="2"/>
      <c r="K1387" s="157"/>
      <c r="L1387" s="3"/>
      <c r="M1387" s="3"/>
      <c r="N1387" s="3"/>
      <c r="O1387" s="2"/>
      <c r="P1387" s="277"/>
    </row>
    <row r="1388" spans="1:16" ht="30" customHeight="1" x14ac:dyDescent="0.15">
      <c r="A1388" s="284" t="s">
        <v>8797</v>
      </c>
      <c r="B1388" s="157"/>
      <c r="C1388" s="157"/>
      <c r="D1388" s="157"/>
      <c r="E1388" s="6"/>
      <c r="F1388" s="6"/>
      <c r="G1388" s="2"/>
      <c r="H1388" s="157"/>
      <c r="I1388" s="157"/>
      <c r="J1388" s="2"/>
      <c r="K1388" s="157"/>
      <c r="L1388" s="3"/>
      <c r="M1388" s="3"/>
      <c r="N1388" s="3"/>
      <c r="O1388" s="2"/>
      <c r="P1388" s="277"/>
    </row>
    <row r="1389" spans="1:16" ht="30" customHeight="1" x14ac:dyDescent="0.15">
      <c r="A1389" s="284" t="s">
        <v>8798</v>
      </c>
      <c r="B1389" s="157"/>
      <c r="C1389" s="157"/>
      <c r="D1389" s="157"/>
      <c r="E1389" s="6"/>
      <c r="F1389" s="6"/>
      <c r="G1389" s="2"/>
      <c r="H1389" s="157"/>
      <c r="I1389" s="157"/>
      <c r="J1389" s="2"/>
      <c r="K1389" s="157"/>
      <c r="L1389" s="3"/>
      <c r="M1389" s="3"/>
      <c r="N1389" s="3"/>
      <c r="O1389" s="2"/>
      <c r="P1389" s="277"/>
    </row>
    <row r="1390" spans="1:16" ht="30" customHeight="1" x14ac:dyDescent="0.15">
      <c r="A1390" s="284" t="s">
        <v>8799</v>
      </c>
      <c r="B1390" s="157"/>
      <c r="C1390" s="157"/>
      <c r="D1390" s="157"/>
      <c r="E1390" s="6"/>
      <c r="F1390" s="6"/>
      <c r="G1390" s="2"/>
      <c r="H1390" s="157"/>
      <c r="I1390" s="157"/>
      <c r="J1390" s="2"/>
      <c r="K1390" s="157"/>
      <c r="L1390" s="3"/>
      <c r="M1390" s="3"/>
      <c r="N1390" s="3"/>
      <c r="O1390" s="2"/>
      <c r="P1390" s="277"/>
    </row>
    <row r="1391" spans="1:16" ht="30" customHeight="1" x14ac:dyDescent="0.15">
      <c r="A1391" s="284" t="s">
        <v>8800</v>
      </c>
      <c r="B1391" s="157"/>
      <c r="C1391" s="157"/>
      <c r="D1391" s="157"/>
      <c r="E1391" s="6"/>
      <c r="F1391" s="6"/>
      <c r="G1391" s="2"/>
      <c r="H1391" s="157"/>
      <c r="I1391" s="157"/>
      <c r="J1391" s="2"/>
      <c r="K1391" s="157"/>
      <c r="L1391" s="3"/>
      <c r="M1391" s="3"/>
      <c r="N1391" s="3"/>
      <c r="O1391" s="2"/>
      <c r="P1391" s="277"/>
    </row>
    <row r="1392" spans="1:16" ht="30" customHeight="1" x14ac:dyDescent="0.15">
      <c r="A1392" s="284" t="s">
        <v>8801</v>
      </c>
      <c r="B1392" s="157"/>
      <c r="C1392" s="157"/>
      <c r="D1392" s="157"/>
      <c r="E1392" s="6"/>
      <c r="F1392" s="6"/>
      <c r="G1392" s="2"/>
      <c r="H1392" s="157"/>
      <c r="I1392" s="157"/>
      <c r="J1392" s="2"/>
      <c r="K1392" s="157"/>
      <c r="L1392" s="3"/>
      <c r="M1392" s="3"/>
      <c r="N1392" s="3"/>
      <c r="O1392" s="2"/>
      <c r="P1392" s="277"/>
    </row>
    <row r="1393" spans="1:16" ht="30" customHeight="1" x14ac:dyDescent="0.15">
      <c r="A1393" s="284" t="s">
        <v>8802</v>
      </c>
      <c r="B1393" s="157"/>
      <c r="C1393" s="157"/>
      <c r="D1393" s="157"/>
      <c r="E1393" s="6"/>
      <c r="F1393" s="6"/>
      <c r="G1393" s="2"/>
      <c r="H1393" s="157"/>
      <c r="I1393" s="157"/>
      <c r="J1393" s="2"/>
      <c r="K1393" s="157"/>
      <c r="L1393" s="3"/>
      <c r="M1393" s="3"/>
      <c r="N1393" s="3"/>
      <c r="O1393" s="2"/>
      <c r="P1393" s="277"/>
    </row>
    <row r="1394" spans="1:16" ht="30" customHeight="1" x14ac:dyDescent="0.15">
      <c r="A1394" s="284" t="s">
        <v>8803</v>
      </c>
      <c r="B1394" s="157"/>
      <c r="C1394" s="157"/>
      <c r="D1394" s="157"/>
      <c r="E1394" s="6"/>
      <c r="F1394" s="6"/>
      <c r="G1394" s="2"/>
      <c r="H1394" s="157"/>
      <c r="I1394" s="157"/>
      <c r="J1394" s="2"/>
      <c r="K1394" s="157"/>
      <c r="L1394" s="3"/>
      <c r="M1394" s="3"/>
      <c r="N1394" s="3"/>
      <c r="O1394" s="2"/>
      <c r="P1394" s="277"/>
    </row>
    <row r="1395" spans="1:16" ht="30" customHeight="1" x14ac:dyDescent="0.15">
      <c r="A1395" s="284" t="s">
        <v>8804</v>
      </c>
      <c r="B1395" s="157"/>
      <c r="C1395" s="157"/>
      <c r="D1395" s="157"/>
      <c r="E1395" s="6"/>
      <c r="F1395" s="6"/>
      <c r="G1395" s="2"/>
      <c r="H1395" s="157"/>
      <c r="I1395" s="157"/>
      <c r="J1395" s="2"/>
      <c r="K1395" s="157"/>
      <c r="L1395" s="3"/>
      <c r="M1395" s="3"/>
      <c r="N1395" s="3"/>
      <c r="O1395" s="2"/>
      <c r="P1395" s="277"/>
    </row>
    <row r="1396" spans="1:16" ht="30" customHeight="1" x14ac:dyDescent="0.15">
      <c r="A1396" s="284" t="s">
        <v>8805</v>
      </c>
      <c r="B1396" s="157"/>
      <c r="C1396" s="157"/>
      <c r="D1396" s="157"/>
      <c r="E1396" s="6"/>
      <c r="F1396" s="6"/>
      <c r="G1396" s="2"/>
      <c r="H1396" s="157"/>
      <c r="I1396" s="157"/>
      <c r="J1396" s="2"/>
      <c r="K1396" s="157"/>
      <c r="L1396" s="3"/>
      <c r="M1396" s="3"/>
      <c r="N1396" s="3"/>
      <c r="O1396" s="2"/>
      <c r="P1396" s="277"/>
    </row>
    <row r="1397" spans="1:16" ht="30" customHeight="1" x14ac:dyDescent="0.15">
      <c r="A1397" s="284" t="s">
        <v>8806</v>
      </c>
      <c r="B1397" s="157"/>
      <c r="C1397" s="157"/>
      <c r="D1397" s="157"/>
      <c r="E1397" s="6"/>
      <c r="F1397" s="6"/>
      <c r="G1397" s="2"/>
      <c r="H1397" s="157"/>
      <c r="I1397" s="157"/>
      <c r="J1397" s="2"/>
      <c r="K1397" s="157"/>
      <c r="L1397" s="3"/>
      <c r="M1397" s="3"/>
      <c r="N1397" s="3"/>
      <c r="O1397" s="2"/>
      <c r="P1397" s="277"/>
    </row>
    <row r="1398" spans="1:16" ht="30" customHeight="1" x14ac:dyDescent="0.15">
      <c r="A1398" s="284" t="s">
        <v>8807</v>
      </c>
      <c r="B1398" s="157"/>
      <c r="C1398" s="157"/>
      <c r="D1398" s="157"/>
      <c r="E1398" s="6"/>
      <c r="F1398" s="6"/>
      <c r="G1398" s="2"/>
      <c r="H1398" s="157"/>
      <c r="I1398" s="157"/>
      <c r="J1398" s="2"/>
      <c r="K1398" s="157"/>
      <c r="L1398" s="3"/>
      <c r="M1398" s="3"/>
      <c r="N1398" s="3"/>
      <c r="O1398" s="2"/>
      <c r="P1398" s="277"/>
    </row>
    <row r="1399" spans="1:16" ht="30" customHeight="1" x14ac:dyDescent="0.15">
      <c r="A1399" s="284" t="s">
        <v>8808</v>
      </c>
      <c r="B1399" s="157"/>
      <c r="C1399" s="157"/>
      <c r="D1399" s="157"/>
      <c r="E1399" s="6"/>
      <c r="F1399" s="6"/>
      <c r="G1399" s="2"/>
      <c r="H1399" s="157"/>
      <c r="I1399" s="157"/>
      <c r="J1399" s="2"/>
      <c r="K1399" s="157"/>
      <c r="L1399" s="3"/>
      <c r="M1399" s="3"/>
      <c r="N1399" s="3"/>
      <c r="O1399" s="2"/>
      <c r="P1399" s="277"/>
    </row>
    <row r="1400" spans="1:16" ht="30" customHeight="1" x14ac:dyDescent="0.15">
      <c r="A1400" s="284" t="s">
        <v>8809</v>
      </c>
      <c r="B1400" s="157"/>
      <c r="C1400" s="157"/>
      <c r="D1400" s="157"/>
      <c r="E1400" s="6"/>
      <c r="F1400" s="6"/>
      <c r="G1400" s="2"/>
      <c r="H1400" s="157"/>
      <c r="I1400" s="157"/>
      <c r="J1400" s="2"/>
      <c r="K1400" s="157"/>
      <c r="L1400" s="3"/>
      <c r="M1400" s="3"/>
      <c r="N1400" s="3"/>
      <c r="O1400" s="2"/>
      <c r="P1400" s="277"/>
    </row>
    <row r="1401" spans="1:16" ht="30" customHeight="1" x14ac:dyDescent="0.15">
      <c r="A1401" s="284" t="s">
        <v>8810</v>
      </c>
      <c r="B1401" s="157"/>
      <c r="C1401" s="157"/>
      <c r="D1401" s="157"/>
      <c r="E1401" s="6"/>
      <c r="F1401" s="6"/>
      <c r="G1401" s="2"/>
      <c r="H1401" s="157"/>
      <c r="I1401" s="157"/>
      <c r="J1401" s="2"/>
      <c r="K1401" s="157"/>
      <c r="L1401" s="3"/>
      <c r="M1401" s="3"/>
      <c r="N1401" s="3"/>
      <c r="O1401" s="2"/>
      <c r="P1401" s="277"/>
    </row>
    <row r="1402" spans="1:16" ht="30" customHeight="1" x14ac:dyDescent="0.15">
      <c r="A1402" s="284" t="s">
        <v>8811</v>
      </c>
      <c r="B1402" s="157"/>
      <c r="C1402" s="157"/>
      <c r="D1402" s="157"/>
      <c r="E1402" s="6"/>
      <c r="F1402" s="6"/>
      <c r="G1402" s="2"/>
      <c r="H1402" s="157"/>
      <c r="I1402" s="157"/>
      <c r="J1402" s="2"/>
      <c r="K1402" s="157"/>
      <c r="L1402" s="3"/>
      <c r="M1402" s="3"/>
      <c r="N1402" s="3"/>
      <c r="O1402" s="2"/>
      <c r="P1402" s="277"/>
    </row>
    <row r="1403" spans="1:16" ht="30" customHeight="1" x14ac:dyDescent="0.15">
      <c r="A1403" s="284" t="s">
        <v>8812</v>
      </c>
      <c r="B1403" s="157"/>
      <c r="C1403" s="157"/>
      <c r="D1403" s="157"/>
      <c r="E1403" s="6"/>
      <c r="F1403" s="6"/>
      <c r="G1403" s="2"/>
      <c r="H1403" s="157"/>
      <c r="I1403" s="157"/>
      <c r="J1403" s="2"/>
      <c r="K1403" s="157"/>
      <c r="L1403" s="3"/>
      <c r="M1403" s="3"/>
      <c r="N1403" s="3"/>
      <c r="O1403" s="2"/>
      <c r="P1403" s="277"/>
    </row>
    <row r="1404" spans="1:16" ht="30" customHeight="1" x14ac:dyDescent="0.15">
      <c r="A1404" s="284" t="s">
        <v>8813</v>
      </c>
      <c r="B1404" s="157"/>
      <c r="C1404" s="157"/>
      <c r="D1404" s="157"/>
      <c r="E1404" s="6"/>
      <c r="F1404" s="6"/>
      <c r="G1404" s="2"/>
      <c r="H1404" s="157"/>
      <c r="I1404" s="157"/>
      <c r="J1404" s="2"/>
      <c r="K1404" s="157"/>
      <c r="L1404" s="3"/>
      <c r="M1404" s="3"/>
      <c r="N1404" s="3"/>
      <c r="O1404" s="2"/>
      <c r="P1404" s="277"/>
    </row>
    <row r="1405" spans="1:16" ht="30" customHeight="1" x14ac:dyDescent="0.15">
      <c r="A1405" s="284" t="s">
        <v>8814</v>
      </c>
      <c r="B1405" s="157"/>
      <c r="C1405" s="157"/>
      <c r="D1405" s="157"/>
      <c r="E1405" s="6"/>
      <c r="F1405" s="6"/>
      <c r="G1405" s="2"/>
      <c r="H1405" s="157"/>
      <c r="I1405" s="157"/>
      <c r="J1405" s="2"/>
      <c r="K1405" s="157"/>
      <c r="L1405" s="3"/>
      <c r="M1405" s="3"/>
      <c r="N1405" s="3"/>
      <c r="O1405" s="2"/>
      <c r="P1405" s="277"/>
    </row>
    <row r="1406" spans="1:16" ht="30" customHeight="1" x14ac:dyDescent="0.15">
      <c r="A1406" s="284" t="s">
        <v>8815</v>
      </c>
      <c r="B1406" s="157"/>
      <c r="C1406" s="157"/>
      <c r="D1406" s="157"/>
      <c r="E1406" s="6"/>
      <c r="F1406" s="6"/>
      <c r="G1406" s="2"/>
      <c r="H1406" s="157"/>
      <c r="I1406" s="157"/>
      <c r="J1406" s="2"/>
      <c r="K1406" s="157"/>
      <c r="L1406" s="3"/>
      <c r="M1406" s="3"/>
      <c r="N1406" s="3"/>
      <c r="O1406" s="2"/>
      <c r="P1406" s="277"/>
    </row>
    <row r="1407" spans="1:16" ht="30" customHeight="1" x14ac:dyDescent="0.15">
      <c r="A1407" s="284" t="s">
        <v>8816</v>
      </c>
      <c r="B1407" s="157"/>
      <c r="C1407" s="157"/>
      <c r="D1407" s="157"/>
      <c r="E1407" s="6"/>
      <c r="F1407" s="6"/>
      <c r="G1407" s="2"/>
      <c r="H1407" s="157"/>
      <c r="I1407" s="157"/>
      <c r="J1407" s="2"/>
      <c r="K1407" s="157"/>
      <c r="L1407" s="3"/>
      <c r="M1407" s="3"/>
      <c r="N1407" s="3"/>
      <c r="O1407" s="2"/>
      <c r="P1407" s="277"/>
    </row>
    <row r="1408" spans="1:16" ht="30" customHeight="1" x14ac:dyDescent="0.15">
      <c r="A1408" s="284" t="s">
        <v>8817</v>
      </c>
      <c r="B1408" s="157"/>
      <c r="C1408" s="157"/>
      <c r="D1408" s="157"/>
      <c r="E1408" s="6"/>
      <c r="F1408" s="6"/>
      <c r="G1408" s="2"/>
      <c r="H1408" s="157"/>
      <c r="I1408" s="157"/>
      <c r="J1408" s="2"/>
      <c r="K1408" s="157"/>
      <c r="L1408" s="3"/>
      <c r="M1408" s="3"/>
      <c r="N1408" s="3"/>
      <c r="O1408" s="2"/>
      <c r="P1408" s="277"/>
    </row>
    <row r="1409" spans="1:16" ht="30" customHeight="1" x14ac:dyDescent="0.15">
      <c r="A1409" s="284" t="s">
        <v>8818</v>
      </c>
      <c r="B1409" s="157"/>
      <c r="C1409" s="157"/>
      <c r="D1409" s="157"/>
      <c r="E1409" s="6"/>
      <c r="F1409" s="6"/>
      <c r="G1409" s="2"/>
      <c r="H1409" s="157"/>
      <c r="I1409" s="157"/>
      <c r="J1409" s="2"/>
      <c r="K1409" s="157"/>
      <c r="L1409" s="3"/>
      <c r="M1409" s="3"/>
      <c r="N1409" s="3"/>
      <c r="O1409" s="2"/>
      <c r="P1409" s="277"/>
    </row>
    <row r="1410" spans="1:16" ht="30" customHeight="1" x14ac:dyDescent="0.15">
      <c r="A1410" s="284" t="s">
        <v>8819</v>
      </c>
      <c r="B1410" s="157"/>
      <c r="C1410" s="157"/>
      <c r="D1410" s="157"/>
      <c r="E1410" s="6"/>
      <c r="F1410" s="6"/>
      <c r="G1410" s="2"/>
      <c r="H1410" s="157"/>
      <c r="I1410" s="157"/>
      <c r="J1410" s="2"/>
      <c r="K1410" s="157"/>
      <c r="L1410" s="3"/>
      <c r="M1410" s="3"/>
      <c r="N1410" s="3"/>
      <c r="O1410" s="2"/>
      <c r="P1410" s="277"/>
    </row>
    <row r="1411" spans="1:16" ht="30" customHeight="1" x14ac:dyDescent="0.15">
      <c r="A1411" s="284" t="s">
        <v>8820</v>
      </c>
      <c r="B1411" s="157"/>
      <c r="C1411" s="157"/>
      <c r="D1411" s="157"/>
      <c r="E1411" s="6"/>
      <c r="F1411" s="6"/>
      <c r="G1411" s="2"/>
      <c r="H1411" s="157"/>
      <c r="I1411" s="157"/>
      <c r="J1411" s="2"/>
      <c r="K1411" s="157"/>
      <c r="L1411" s="3"/>
      <c r="M1411" s="3"/>
      <c r="N1411" s="3"/>
      <c r="O1411" s="2"/>
      <c r="P1411" s="277"/>
    </row>
    <row r="1412" spans="1:16" ht="30" customHeight="1" x14ac:dyDescent="0.15">
      <c r="A1412" s="284" t="s">
        <v>8821</v>
      </c>
      <c r="B1412" s="157"/>
      <c r="C1412" s="157"/>
      <c r="D1412" s="157"/>
      <c r="E1412" s="6"/>
      <c r="F1412" s="6"/>
      <c r="G1412" s="2"/>
      <c r="H1412" s="157"/>
      <c r="I1412" s="157"/>
      <c r="J1412" s="2"/>
      <c r="K1412" s="157"/>
      <c r="L1412" s="3"/>
      <c r="M1412" s="3"/>
      <c r="N1412" s="3"/>
      <c r="O1412" s="2"/>
      <c r="P1412" s="277"/>
    </row>
    <row r="1413" spans="1:16" ht="30" customHeight="1" x14ac:dyDescent="0.15">
      <c r="A1413" s="284" t="s">
        <v>8822</v>
      </c>
      <c r="B1413" s="157"/>
      <c r="C1413" s="157"/>
      <c r="D1413" s="157"/>
      <c r="E1413" s="6"/>
      <c r="F1413" s="6"/>
      <c r="G1413" s="2"/>
      <c r="H1413" s="157"/>
      <c r="I1413" s="157"/>
      <c r="J1413" s="2"/>
      <c r="K1413" s="157"/>
      <c r="L1413" s="3"/>
      <c r="M1413" s="3"/>
      <c r="N1413" s="3"/>
      <c r="O1413" s="2"/>
      <c r="P1413" s="277"/>
    </row>
    <row r="1414" spans="1:16" ht="30" customHeight="1" x14ac:dyDescent="0.15">
      <c r="A1414" s="284" t="s">
        <v>8823</v>
      </c>
      <c r="B1414" s="157"/>
      <c r="C1414" s="157"/>
      <c r="D1414" s="157"/>
      <c r="E1414" s="6"/>
      <c r="F1414" s="6"/>
      <c r="G1414" s="2"/>
      <c r="H1414" s="157"/>
      <c r="I1414" s="157"/>
      <c r="J1414" s="2"/>
      <c r="K1414" s="157"/>
      <c r="L1414" s="3"/>
      <c r="M1414" s="3"/>
      <c r="N1414" s="3"/>
      <c r="O1414" s="2"/>
      <c r="P1414" s="277"/>
    </row>
    <row r="1415" spans="1:16" ht="30" customHeight="1" x14ac:dyDescent="0.15">
      <c r="A1415" s="284" t="s">
        <v>8824</v>
      </c>
      <c r="B1415" s="157"/>
      <c r="C1415" s="157"/>
      <c r="D1415" s="157"/>
      <c r="E1415" s="6"/>
      <c r="F1415" s="6"/>
      <c r="G1415" s="2"/>
      <c r="H1415" s="157"/>
      <c r="I1415" s="157"/>
      <c r="J1415" s="2"/>
      <c r="K1415" s="157"/>
      <c r="L1415" s="3"/>
      <c r="M1415" s="3"/>
      <c r="N1415" s="3"/>
      <c r="O1415" s="2"/>
      <c r="P1415" s="277"/>
    </row>
    <row r="1416" spans="1:16" ht="30" customHeight="1" x14ac:dyDescent="0.15">
      <c r="A1416" s="284" t="s">
        <v>8825</v>
      </c>
      <c r="B1416" s="157"/>
      <c r="C1416" s="157"/>
      <c r="D1416" s="157"/>
      <c r="E1416" s="6"/>
      <c r="F1416" s="6"/>
      <c r="G1416" s="2"/>
      <c r="H1416" s="157"/>
      <c r="I1416" s="157"/>
      <c r="J1416" s="2"/>
      <c r="K1416" s="157"/>
      <c r="L1416" s="3"/>
      <c r="M1416" s="3"/>
      <c r="N1416" s="3"/>
      <c r="O1416" s="2"/>
      <c r="P1416" s="277"/>
    </row>
    <row r="1417" spans="1:16" ht="30" customHeight="1" x14ac:dyDescent="0.15">
      <c r="A1417" s="284" t="s">
        <v>8826</v>
      </c>
      <c r="B1417" s="157"/>
      <c r="C1417" s="157"/>
      <c r="D1417" s="157"/>
      <c r="E1417" s="6"/>
      <c r="F1417" s="6"/>
      <c r="G1417" s="2"/>
      <c r="H1417" s="157"/>
      <c r="I1417" s="157"/>
      <c r="J1417" s="2"/>
      <c r="K1417" s="157"/>
      <c r="L1417" s="3"/>
      <c r="M1417" s="3"/>
      <c r="N1417" s="3"/>
      <c r="O1417" s="2"/>
      <c r="P1417" s="277"/>
    </row>
    <row r="1418" spans="1:16" ht="30" customHeight="1" x14ac:dyDescent="0.15">
      <c r="A1418" s="284" t="s">
        <v>8827</v>
      </c>
      <c r="B1418" s="157"/>
      <c r="C1418" s="157"/>
      <c r="D1418" s="157"/>
      <c r="E1418" s="6"/>
      <c r="F1418" s="6"/>
      <c r="G1418" s="2"/>
      <c r="H1418" s="157"/>
      <c r="I1418" s="157"/>
      <c r="J1418" s="2"/>
      <c r="K1418" s="157"/>
      <c r="L1418" s="3"/>
      <c r="M1418" s="3"/>
      <c r="N1418" s="3"/>
      <c r="O1418" s="2"/>
      <c r="P1418" s="277"/>
    </row>
    <row r="1419" spans="1:16" ht="30" customHeight="1" x14ac:dyDescent="0.15">
      <c r="A1419" s="284" t="s">
        <v>8828</v>
      </c>
      <c r="B1419" s="157"/>
      <c r="C1419" s="157"/>
      <c r="D1419" s="157"/>
      <c r="E1419" s="6"/>
      <c r="F1419" s="6"/>
      <c r="G1419" s="2"/>
      <c r="H1419" s="157"/>
      <c r="I1419" s="157"/>
      <c r="J1419" s="2"/>
      <c r="K1419" s="157"/>
      <c r="L1419" s="3"/>
      <c r="M1419" s="3"/>
      <c r="N1419" s="3"/>
      <c r="O1419" s="2"/>
      <c r="P1419" s="277"/>
    </row>
    <row r="1420" spans="1:16" ht="30" customHeight="1" x14ac:dyDescent="0.15">
      <c r="A1420" s="284" t="s">
        <v>8829</v>
      </c>
      <c r="B1420" s="157"/>
      <c r="C1420" s="157"/>
      <c r="D1420" s="157"/>
      <c r="E1420" s="6"/>
      <c r="F1420" s="6"/>
      <c r="G1420" s="2"/>
      <c r="H1420" s="157"/>
      <c r="I1420" s="157"/>
      <c r="J1420" s="2"/>
      <c r="K1420" s="157"/>
      <c r="L1420" s="3"/>
      <c r="M1420" s="3"/>
      <c r="N1420" s="3"/>
      <c r="O1420" s="2"/>
      <c r="P1420" s="277"/>
    </row>
    <row r="1421" spans="1:16" ht="30" customHeight="1" x14ac:dyDescent="0.15">
      <c r="A1421" s="284" t="s">
        <v>8830</v>
      </c>
      <c r="B1421" s="157"/>
      <c r="C1421" s="157"/>
      <c r="D1421" s="157"/>
      <c r="E1421" s="6"/>
      <c r="F1421" s="6"/>
      <c r="G1421" s="2"/>
      <c r="H1421" s="157"/>
      <c r="I1421" s="157"/>
      <c r="J1421" s="2"/>
      <c r="K1421" s="157"/>
      <c r="L1421" s="3"/>
      <c r="M1421" s="3"/>
      <c r="N1421" s="3"/>
      <c r="O1421" s="2"/>
      <c r="P1421" s="277"/>
    </row>
    <row r="1422" spans="1:16" ht="30" customHeight="1" x14ac:dyDescent="0.15">
      <c r="A1422" s="284" t="s">
        <v>8831</v>
      </c>
      <c r="B1422" s="157"/>
      <c r="C1422" s="157"/>
      <c r="D1422" s="157"/>
      <c r="E1422" s="6"/>
      <c r="F1422" s="6"/>
      <c r="G1422" s="2"/>
      <c r="H1422" s="157"/>
      <c r="I1422" s="157"/>
      <c r="J1422" s="2"/>
      <c r="K1422" s="157"/>
      <c r="L1422" s="3"/>
      <c r="M1422" s="3"/>
      <c r="N1422" s="3"/>
      <c r="O1422" s="2"/>
      <c r="P1422" s="277"/>
    </row>
    <row r="1423" spans="1:16" ht="30" customHeight="1" x14ac:dyDescent="0.15">
      <c r="A1423" s="284" t="s">
        <v>8832</v>
      </c>
      <c r="B1423" s="157"/>
      <c r="C1423" s="157"/>
      <c r="D1423" s="157"/>
      <c r="E1423" s="6"/>
      <c r="F1423" s="6"/>
      <c r="G1423" s="2"/>
      <c r="H1423" s="157"/>
      <c r="I1423" s="157"/>
      <c r="J1423" s="2"/>
      <c r="K1423" s="157"/>
      <c r="L1423" s="3"/>
      <c r="M1423" s="3"/>
      <c r="N1423" s="3"/>
      <c r="O1423" s="2"/>
      <c r="P1423" s="277"/>
    </row>
    <row r="1424" spans="1:16" ht="30" customHeight="1" x14ac:dyDescent="0.15">
      <c r="A1424" s="284" t="s">
        <v>8833</v>
      </c>
      <c r="B1424" s="157"/>
      <c r="C1424" s="157"/>
      <c r="D1424" s="157"/>
      <c r="E1424" s="6"/>
      <c r="F1424" s="6"/>
      <c r="G1424" s="2"/>
      <c r="H1424" s="157"/>
      <c r="I1424" s="157"/>
      <c r="J1424" s="2"/>
      <c r="K1424" s="157"/>
      <c r="L1424" s="3"/>
      <c r="M1424" s="3"/>
      <c r="N1424" s="3"/>
      <c r="O1424" s="2"/>
      <c r="P1424" s="277"/>
    </row>
    <row r="1425" spans="1:16" ht="30" customHeight="1" x14ac:dyDescent="0.15">
      <c r="A1425" s="284" t="s">
        <v>8834</v>
      </c>
      <c r="B1425" s="157"/>
      <c r="C1425" s="157"/>
      <c r="D1425" s="157"/>
      <c r="E1425" s="6"/>
      <c r="F1425" s="6"/>
      <c r="G1425" s="2"/>
      <c r="H1425" s="157"/>
      <c r="I1425" s="157"/>
      <c r="J1425" s="2"/>
      <c r="K1425" s="157"/>
      <c r="L1425" s="3"/>
      <c r="M1425" s="3"/>
      <c r="N1425" s="3"/>
      <c r="O1425" s="2"/>
      <c r="P1425" s="277"/>
    </row>
    <row r="1426" spans="1:16" ht="30" customHeight="1" x14ac:dyDescent="0.15">
      <c r="A1426" s="284" t="s">
        <v>8835</v>
      </c>
      <c r="B1426" s="157"/>
      <c r="C1426" s="157"/>
      <c r="D1426" s="157"/>
      <c r="E1426" s="6"/>
      <c r="F1426" s="6"/>
      <c r="G1426" s="2"/>
      <c r="H1426" s="157"/>
      <c r="I1426" s="157"/>
      <c r="J1426" s="2"/>
      <c r="K1426" s="157"/>
      <c r="L1426" s="3"/>
      <c r="M1426" s="3"/>
      <c r="N1426" s="3"/>
      <c r="O1426" s="2"/>
      <c r="P1426" s="277"/>
    </row>
    <row r="1427" spans="1:16" ht="30" customHeight="1" x14ac:dyDescent="0.15">
      <c r="A1427" s="284" t="s">
        <v>8836</v>
      </c>
      <c r="B1427" s="157"/>
      <c r="C1427" s="157"/>
      <c r="D1427" s="157"/>
      <c r="E1427" s="6"/>
      <c r="F1427" s="6"/>
      <c r="G1427" s="2"/>
      <c r="H1427" s="157"/>
      <c r="I1427" s="157"/>
      <c r="J1427" s="2"/>
      <c r="K1427" s="157"/>
      <c r="L1427" s="3"/>
      <c r="M1427" s="3"/>
      <c r="N1427" s="3"/>
      <c r="O1427" s="2"/>
      <c r="P1427" s="277"/>
    </row>
    <row r="1428" spans="1:16" ht="30" customHeight="1" x14ac:dyDescent="0.15">
      <c r="A1428" s="284" t="s">
        <v>8837</v>
      </c>
      <c r="B1428" s="157"/>
      <c r="C1428" s="157"/>
      <c r="D1428" s="157"/>
      <c r="E1428" s="6"/>
      <c r="F1428" s="6"/>
      <c r="G1428" s="2"/>
      <c r="H1428" s="157"/>
      <c r="I1428" s="157"/>
      <c r="J1428" s="2"/>
      <c r="K1428" s="157"/>
      <c r="L1428" s="3"/>
      <c r="M1428" s="3"/>
      <c r="N1428" s="3"/>
      <c r="O1428" s="2"/>
      <c r="P1428" s="277"/>
    </row>
    <row r="1429" spans="1:16" ht="30" customHeight="1" x14ac:dyDescent="0.15">
      <c r="A1429" s="284" t="s">
        <v>8838</v>
      </c>
      <c r="B1429" s="157"/>
      <c r="C1429" s="157"/>
      <c r="D1429" s="157"/>
      <c r="E1429" s="6"/>
      <c r="F1429" s="6"/>
      <c r="G1429" s="2"/>
      <c r="H1429" s="157"/>
      <c r="I1429" s="157"/>
      <c r="J1429" s="2"/>
      <c r="K1429" s="157"/>
      <c r="L1429" s="3"/>
      <c r="M1429" s="3"/>
      <c r="N1429" s="3"/>
      <c r="O1429" s="2"/>
      <c r="P1429" s="277"/>
    </row>
    <row r="1430" spans="1:16" ht="30" customHeight="1" x14ac:dyDescent="0.15">
      <c r="A1430" s="284" t="s">
        <v>8839</v>
      </c>
      <c r="B1430" s="157"/>
      <c r="C1430" s="157"/>
      <c r="D1430" s="157"/>
      <c r="E1430" s="6"/>
      <c r="F1430" s="6"/>
      <c r="G1430" s="2"/>
      <c r="H1430" s="157"/>
      <c r="I1430" s="157"/>
      <c r="J1430" s="2"/>
      <c r="K1430" s="157"/>
      <c r="L1430" s="3"/>
      <c r="M1430" s="3"/>
      <c r="N1430" s="3"/>
      <c r="O1430" s="2"/>
      <c r="P1430" s="277"/>
    </row>
    <row r="1431" spans="1:16" ht="30" customHeight="1" x14ac:dyDescent="0.15">
      <c r="A1431" s="284" t="s">
        <v>8840</v>
      </c>
      <c r="B1431" s="157"/>
      <c r="C1431" s="157"/>
      <c r="D1431" s="157"/>
      <c r="E1431" s="6"/>
      <c r="F1431" s="6"/>
      <c r="G1431" s="2"/>
      <c r="H1431" s="157"/>
      <c r="I1431" s="157"/>
      <c r="J1431" s="2"/>
      <c r="K1431" s="157"/>
      <c r="L1431" s="3"/>
      <c r="M1431" s="3"/>
      <c r="N1431" s="3"/>
      <c r="O1431" s="2"/>
      <c r="P1431" s="277"/>
    </row>
    <row r="1432" spans="1:16" ht="30" customHeight="1" x14ac:dyDescent="0.15">
      <c r="A1432" s="284" t="s">
        <v>8841</v>
      </c>
      <c r="B1432" s="157"/>
      <c r="C1432" s="157"/>
      <c r="D1432" s="157"/>
      <c r="E1432" s="6"/>
      <c r="F1432" s="6"/>
      <c r="G1432" s="2"/>
      <c r="H1432" s="157"/>
      <c r="I1432" s="157"/>
      <c r="J1432" s="2"/>
      <c r="K1432" s="157"/>
      <c r="L1432" s="3"/>
      <c r="M1432" s="3"/>
      <c r="N1432" s="3"/>
      <c r="O1432" s="2"/>
      <c r="P1432" s="277"/>
    </row>
    <row r="1433" spans="1:16" ht="30" customHeight="1" x14ac:dyDescent="0.15">
      <c r="A1433" s="284" t="s">
        <v>8842</v>
      </c>
      <c r="B1433" s="157"/>
      <c r="C1433" s="157"/>
      <c r="D1433" s="157"/>
      <c r="E1433" s="6"/>
      <c r="F1433" s="6"/>
      <c r="G1433" s="2"/>
      <c r="H1433" s="157"/>
      <c r="I1433" s="157"/>
      <c r="J1433" s="2"/>
      <c r="K1433" s="157"/>
      <c r="L1433" s="3"/>
      <c r="M1433" s="3"/>
      <c r="N1433" s="3"/>
      <c r="O1433" s="2"/>
      <c r="P1433" s="277"/>
    </row>
    <row r="1434" spans="1:16" ht="30" customHeight="1" x14ac:dyDescent="0.15">
      <c r="A1434" s="284" t="s">
        <v>8843</v>
      </c>
      <c r="B1434" s="157"/>
      <c r="C1434" s="157"/>
      <c r="D1434" s="157"/>
      <c r="E1434" s="6"/>
      <c r="F1434" s="6"/>
      <c r="G1434" s="2"/>
      <c r="H1434" s="157"/>
      <c r="I1434" s="157"/>
      <c r="J1434" s="2"/>
      <c r="K1434" s="157"/>
      <c r="L1434" s="3"/>
      <c r="M1434" s="3"/>
      <c r="N1434" s="3"/>
      <c r="O1434" s="2"/>
      <c r="P1434" s="277"/>
    </row>
    <row r="1435" spans="1:16" ht="30" customHeight="1" x14ac:dyDescent="0.15">
      <c r="A1435" s="284" t="s">
        <v>8844</v>
      </c>
      <c r="B1435" s="157"/>
      <c r="C1435" s="157"/>
      <c r="D1435" s="157"/>
      <c r="E1435" s="6"/>
      <c r="F1435" s="6"/>
      <c r="G1435" s="2"/>
      <c r="H1435" s="157"/>
      <c r="I1435" s="157"/>
      <c r="J1435" s="2"/>
      <c r="K1435" s="157"/>
      <c r="L1435" s="3"/>
      <c r="M1435" s="3"/>
      <c r="N1435" s="3"/>
      <c r="O1435" s="2"/>
      <c r="P1435" s="277"/>
    </row>
    <row r="1436" spans="1:16" ht="30" customHeight="1" x14ac:dyDescent="0.15">
      <c r="A1436" s="284" t="s">
        <v>8845</v>
      </c>
      <c r="B1436" s="157"/>
      <c r="C1436" s="157"/>
      <c r="D1436" s="157"/>
      <c r="E1436" s="6"/>
      <c r="F1436" s="6"/>
      <c r="G1436" s="2"/>
      <c r="H1436" s="157"/>
      <c r="I1436" s="157"/>
      <c r="J1436" s="2"/>
      <c r="K1436" s="157"/>
      <c r="L1436" s="3"/>
      <c r="M1436" s="3"/>
      <c r="N1436" s="3"/>
      <c r="O1436" s="2"/>
      <c r="P1436" s="277"/>
    </row>
    <row r="1437" spans="1:16" ht="30" customHeight="1" x14ac:dyDescent="0.15">
      <c r="A1437" s="284" t="s">
        <v>8846</v>
      </c>
      <c r="B1437" s="157"/>
      <c r="C1437" s="157"/>
      <c r="D1437" s="157"/>
      <c r="E1437" s="6"/>
      <c r="F1437" s="6"/>
      <c r="G1437" s="2"/>
      <c r="H1437" s="157"/>
      <c r="I1437" s="157"/>
      <c r="J1437" s="2"/>
      <c r="K1437" s="157"/>
      <c r="L1437" s="3"/>
      <c r="M1437" s="3"/>
      <c r="N1437" s="3"/>
      <c r="O1437" s="2"/>
      <c r="P1437" s="277"/>
    </row>
    <row r="1438" spans="1:16" ht="30" customHeight="1" x14ac:dyDescent="0.15">
      <c r="A1438" s="284" t="s">
        <v>8847</v>
      </c>
      <c r="B1438" s="157"/>
      <c r="C1438" s="157"/>
      <c r="D1438" s="157"/>
      <c r="E1438" s="6"/>
      <c r="F1438" s="6"/>
      <c r="G1438" s="2"/>
      <c r="H1438" s="157"/>
      <c r="I1438" s="157"/>
      <c r="J1438" s="2"/>
      <c r="K1438" s="157"/>
      <c r="L1438" s="3"/>
      <c r="M1438" s="3"/>
      <c r="N1438" s="3"/>
      <c r="O1438" s="2"/>
      <c r="P1438" s="277"/>
    </row>
    <row r="1439" spans="1:16" ht="30" customHeight="1" x14ac:dyDescent="0.15">
      <c r="A1439" s="284" t="s">
        <v>8848</v>
      </c>
      <c r="B1439" s="157"/>
      <c r="C1439" s="157"/>
      <c r="D1439" s="157"/>
      <c r="E1439" s="6"/>
      <c r="F1439" s="6"/>
      <c r="G1439" s="2"/>
      <c r="H1439" s="157"/>
      <c r="I1439" s="157"/>
      <c r="J1439" s="2"/>
      <c r="K1439" s="157"/>
      <c r="L1439" s="3"/>
      <c r="M1439" s="3"/>
      <c r="N1439" s="3"/>
      <c r="O1439" s="2"/>
      <c r="P1439" s="277"/>
    </row>
    <row r="1440" spans="1:16" ht="30" customHeight="1" x14ac:dyDescent="0.15">
      <c r="A1440" s="284" t="s">
        <v>8849</v>
      </c>
      <c r="B1440" s="157"/>
      <c r="C1440" s="157"/>
      <c r="D1440" s="157"/>
      <c r="E1440" s="6"/>
      <c r="F1440" s="6"/>
      <c r="G1440" s="2"/>
      <c r="H1440" s="157"/>
      <c r="I1440" s="157"/>
      <c r="J1440" s="2"/>
      <c r="K1440" s="157"/>
      <c r="L1440" s="3"/>
      <c r="M1440" s="3"/>
      <c r="N1440" s="3"/>
      <c r="O1440" s="2"/>
      <c r="P1440" s="277"/>
    </row>
    <row r="1441" spans="1:16" ht="30" customHeight="1" x14ac:dyDescent="0.15">
      <c r="A1441" s="284" t="s">
        <v>8850</v>
      </c>
      <c r="B1441" s="157"/>
      <c r="C1441" s="157"/>
      <c r="D1441" s="157"/>
      <c r="E1441" s="6"/>
      <c r="F1441" s="6"/>
      <c r="G1441" s="2"/>
      <c r="H1441" s="157"/>
      <c r="I1441" s="157"/>
      <c r="J1441" s="2"/>
      <c r="K1441" s="157"/>
      <c r="L1441" s="3"/>
      <c r="M1441" s="3"/>
      <c r="N1441" s="3"/>
      <c r="O1441" s="2"/>
      <c r="P1441" s="277"/>
    </row>
    <row r="1442" spans="1:16" ht="30" customHeight="1" x14ac:dyDescent="0.15">
      <c r="A1442" s="284" t="s">
        <v>8851</v>
      </c>
      <c r="B1442" s="157"/>
      <c r="C1442" s="157"/>
      <c r="D1442" s="157"/>
      <c r="E1442" s="6"/>
      <c r="F1442" s="6"/>
      <c r="G1442" s="2"/>
      <c r="H1442" s="157"/>
      <c r="I1442" s="157"/>
      <c r="J1442" s="2"/>
      <c r="K1442" s="157"/>
      <c r="L1442" s="3"/>
      <c r="M1442" s="3"/>
      <c r="N1442" s="3"/>
      <c r="O1442" s="2"/>
      <c r="P1442" s="277"/>
    </row>
    <row r="1443" spans="1:16" ht="30" customHeight="1" x14ac:dyDescent="0.15">
      <c r="A1443" s="284" t="s">
        <v>8852</v>
      </c>
      <c r="B1443" s="157"/>
      <c r="C1443" s="157"/>
      <c r="D1443" s="157"/>
      <c r="E1443" s="6"/>
      <c r="F1443" s="6"/>
      <c r="G1443" s="2"/>
      <c r="H1443" s="157"/>
      <c r="I1443" s="157"/>
      <c r="J1443" s="2"/>
      <c r="K1443" s="157"/>
      <c r="L1443" s="3"/>
      <c r="M1443" s="3"/>
      <c r="N1443" s="3"/>
      <c r="O1443" s="2"/>
      <c r="P1443" s="277"/>
    </row>
    <row r="1444" spans="1:16" ht="30" customHeight="1" x14ac:dyDescent="0.15">
      <c r="A1444" s="284" t="s">
        <v>8853</v>
      </c>
      <c r="B1444" s="157"/>
      <c r="C1444" s="157"/>
      <c r="D1444" s="157"/>
      <c r="E1444" s="6"/>
      <c r="F1444" s="6"/>
      <c r="G1444" s="2"/>
      <c r="H1444" s="157"/>
      <c r="I1444" s="157"/>
      <c r="J1444" s="2"/>
      <c r="K1444" s="157"/>
      <c r="L1444" s="3"/>
      <c r="M1444" s="3"/>
      <c r="N1444" s="3"/>
      <c r="O1444" s="2"/>
      <c r="P1444" s="277"/>
    </row>
    <row r="1445" spans="1:16" ht="30" customHeight="1" x14ac:dyDescent="0.15">
      <c r="A1445" s="284" t="s">
        <v>8854</v>
      </c>
      <c r="B1445" s="157"/>
      <c r="C1445" s="157"/>
      <c r="D1445" s="157"/>
      <c r="E1445" s="6"/>
      <c r="F1445" s="6"/>
      <c r="G1445" s="2"/>
      <c r="H1445" s="157"/>
      <c r="I1445" s="157"/>
      <c r="J1445" s="2"/>
      <c r="K1445" s="157"/>
      <c r="L1445" s="3"/>
      <c r="M1445" s="3"/>
      <c r="N1445" s="3"/>
      <c r="O1445" s="2"/>
      <c r="P1445" s="277"/>
    </row>
    <row r="1446" spans="1:16" ht="30" customHeight="1" x14ac:dyDescent="0.15">
      <c r="A1446" s="284" t="s">
        <v>8855</v>
      </c>
      <c r="B1446" s="157"/>
      <c r="C1446" s="157"/>
      <c r="D1446" s="157"/>
      <c r="E1446" s="6"/>
      <c r="F1446" s="6"/>
      <c r="G1446" s="2"/>
      <c r="H1446" s="157"/>
      <c r="I1446" s="157"/>
      <c r="J1446" s="2"/>
      <c r="K1446" s="157"/>
      <c r="L1446" s="3"/>
      <c r="M1446" s="3"/>
      <c r="N1446" s="3"/>
      <c r="O1446" s="2"/>
      <c r="P1446" s="277"/>
    </row>
    <row r="1447" spans="1:16" ht="30" customHeight="1" x14ac:dyDescent="0.15">
      <c r="A1447" s="284" t="s">
        <v>8856</v>
      </c>
      <c r="B1447" s="157"/>
      <c r="C1447" s="157"/>
      <c r="D1447" s="157"/>
      <c r="E1447" s="6"/>
      <c r="F1447" s="6"/>
      <c r="G1447" s="2"/>
      <c r="H1447" s="157"/>
      <c r="I1447" s="157"/>
      <c r="J1447" s="2"/>
      <c r="K1447" s="157"/>
      <c r="L1447" s="3"/>
      <c r="M1447" s="3"/>
      <c r="N1447" s="3"/>
      <c r="O1447" s="2"/>
      <c r="P1447" s="277"/>
    </row>
    <row r="1448" spans="1:16" ht="30" customHeight="1" x14ac:dyDescent="0.15">
      <c r="A1448" s="284" t="s">
        <v>8857</v>
      </c>
      <c r="B1448" s="157"/>
      <c r="C1448" s="157"/>
      <c r="D1448" s="157"/>
      <c r="E1448" s="6"/>
      <c r="F1448" s="6"/>
      <c r="G1448" s="2"/>
      <c r="H1448" s="157"/>
      <c r="I1448" s="157"/>
      <c r="J1448" s="2"/>
      <c r="K1448" s="157"/>
      <c r="L1448" s="3"/>
      <c r="M1448" s="3"/>
      <c r="N1448" s="3"/>
      <c r="O1448" s="2"/>
      <c r="P1448" s="277"/>
    </row>
    <row r="1449" spans="1:16" ht="30" customHeight="1" x14ac:dyDescent="0.15">
      <c r="A1449" s="284" t="s">
        <v>8858</v>
      </c>
      <c r="B1449" s="157"/>
      <c r="C1449" s="157"/>
      <c r="D1449" s="157"/>
      <c r="E1449" s="6"/>
      <c r="F1449" s="6"/>
      <c r="G1449" s="2"/>
      <c r="H1449" s="157"/>
      <c r="I1449" s="157"/>
      <c r="J1449" s="2"/>
      <c r="K1449" s="157"/>
      <c r="L1449" s="3"/>
      <c r="M1449" s="3"/>
      <c r="N1449" s="3"/>
      <c r="O1449" s="2"/>
      <c r="P1449" s="277"/>
    </row>
    <row r="1450" spans="1:16" ht="30" customHeight="1" x14ac:dyDescent="0.15">
      <c r="A1450" s="284" t="s">
        <v>8859</v>
      </c>
      <c r="B1450" s="157"/>
      <c r="C1450" s="157"/>
      <c r="D1450" s="157"/>
      <c r="E1450" s="6"/>
      <c r="F1450" s="6"/>
      <c r="G1450" s="2"/>
      <c r="H1450" s="157"/>
      <c r="I1450" s="157"/>
      <c r="J1450" s="2"/>
      <c r="K1450" s="157"/>
      <c r="L1450" s="3"/>
      <c r="M1450" s="3"/>
      <c r="N1450" s="3"/>
      <c r="O1450" s="2"/>
      <c r="P1450" s="277"/>
    </row>
    <row r="1451" spans="1:16" ht="30" customHeight="1" x14ac:dyDescent="0.15">
      <c r="A1451" s="284" t="s">
        <v>8860</v>
      </c>
      <c r="B1451" s="157"/>
      <c r="C1451" s="157"/>
      <c r="D1451" s="157"/>
      <c r="E1451" s="6"/>
      <c r="F1451" s="6"/>
      <c r="G1451" s="2"/>
      <c r="H1451" s="157"/>
      <c r="I1451" s="157"/>
      <c r="J1451" s="2"/>
      <c r="K1451" s="157"/>
      <c r="L1451" s="3"/>
      <c r="M1451" s="3"/>
      <c r="N1451" s="3"/>
      <c r="O1451" s="2"/>
      <c r="P1451" s="277"/>
    </row>
    <row r="1452" spans="1:16" ht="30" customHeight="1" x14ac:dyDescent="0.15">
      <c r="A1452" s="284" t="s">
        <v>8861</v>
      </c>
      <c r="B1452" s="157"/>
      <c r="C1452" s="157"/>
      <c r="D1452" s="157"/>
      <c r="E1452" s="6"/>
      <c r="F1452" s="6"/>
      <c r="G1452" s="2"/>
      <c r="H1452" s="157"/>
      <c r="I1452" s="157"/>
      <c r="J1452" s="2"/>
      <c r="K1452" s="157"/>
      <c r="L1452" s="3"/>
      <c r="M1452" s="3"/>
      <c r="N1452" s="3"/>
      <c r="O1452" s="2"/>
      <c r="P1452" s="277"/>
    </row>
    <row r="1453" spans="1:16" ht="30" customHeight="1" x14ac:dyDescent="0.15">
      <c r="A1453" s="284" t="s">
        <v>8862</v>
      </c>
      <c r="B1453" s="157"/>
      <c r="C1453" s="157"/>
      <c r="D1453" s="157"/>
      <c r="E1453" s="6"/>
      <c r="F1453" s="6"/>
      <c r="G1453" s="2"/>
      <c r="H1453" s="157"/>
      <c r="I1453" s="157"/>
      <c r="J1453" s="2"/>
      <c r="K1453" s="157"/>
      <c r="L1453" s="3"/>
      <c r="M1453" s="3"/>
      <c r="N1453" s="3"/>
      <c r="O1453" s="2"/>
      <c r="P1453" s="277"/>
    </row>
    <row r="1454" spans="1:16" ht="30" customHeight="1" x14ac:dyDescent="0.15">
      <c r="A1454" s="284" t="s">
        <v>8863</v>
      </c>
      <c r="B1454" s="157"/>
      <c r="C1454" s="157"/>
      <c r="D1454" s="157"/>
      <c r="E1454" s="6"/>
      <c r="F1454" s="6"/>
      <c r="G1454" s="2"/>
      <c r="H1454" s="157"/>
      <c r="I1454" s="157"/>
      <c r="J1454" s="2"/>
      <c r="K1454" s="157"/>
      <c r="L1454" s="3"/>
      <c r="M1454" s="3"/>
      <c r="N1454" s="3"/>
      <c r="O1454" s="2"/>
      <c r="P1454" s="277"/>
    </row>
    <row r="1455" spans="1:16" ht="30" customHeight="1" x14ac:dyDescent="0.15">
      <c r="A1455" s="284" t="s">
        <v>8864</v>
      </c>
      <c r="B1455" s="157"/>
      <c r="C1455" s="157"/>
      <c r="D1455" s="157"/>
      <c r="E1455" s="6"/>
      <c r="F1455" s="6"/>
      <c r="G1455" s="2"/>
      <c r="H1455" s="157"/>
      <c r="I1455" s="157"/>
      <c r="J1455" s="2"/>
      <c r="K1455" s="157"/>
      <c r="L1455" s="3"/>
      <c r="M1455" s="3"/>
      <c r="N1455" s="3"/>
      <c r="O1455" s="2"/>
      <c r="P1455" s="277"/>
    </row>
    <row r="1456" spans="1:16" ht="30" customHeight="1" x14ac:dyDescent="0.15">
      <c r="A1456" s="284" t="s">
        <v>8865</v>
      </c>
      <c r="B1456" s="157"/>
      <c r="C1456" s="157"/>
      <c r="D1456" s="157"/>
      <c r="E1456" s="6"/>
      <c r="F1456" s="6"/>
      <c r="G1456" s="2"/>
      <c r="H1456" s="157"/>
      <c r="I1456" s="157"/>
      <c r="J1456" s="2"/>
      <c r="K1456" s="157"/>
      <c r="L1456" s="3"/>
      <c r="M1456" s="3"/>
      <c r="N1456" s="3"/>
      <c r="O1456" s="2"/>
      <c r="P1456" s="277"/>
    </row>
    <row r="1457" spans="1:16" ht="30" customHeight="1" x14ac:dyDescent="0.15">
      <c r="A1457" s="284" t="s">
        <v>8866</v>
      </c>
      <c r="B1457" s="157"/>
      <c r="C1457" s="157"/>
      <c r="D1457" s="157"/>
      <c r="E1457" s="6"/>
      <c r="F1457" s="6"/>
      <c r="G1457" s="2"/>
      <c r="H1457" s="157"/>
      <c r="I1457" s="157"/>
      <c r="J1457" s="2"/>
      <c r="K1457" s="157"/>
      <c r="L1457" s="3"/>
      <c r="M1457" s="3"/>
      <c r="N1457" s="3"/>
      <c r="O1457" s="2"/>
      <c r="P1457" s="277"/>
    </row>
    <row r="1458" spans="1:16" ht="30" customHeight="1" x14ac:dyDescent="0.15">
      <c r="A1458" s="284" t="s">
        <v>8867</v>
      </c>
      <c r="B1458" s="157"/>
      <c r="C1458" s="157"/>
      <c r="D1458" s="157"/>
      <c r="E1458" s="6"/>
      <c r="F1458" s="6"/>
      <c r="G1458" s="2"/>
      <c r="H1458" s="157"/>
      <c r="I1458" s="157"/>
      <c r="J1458" s="2"/>
      <c r="K1458" s="157"/>
      <c r="L1458" s="3"/>
      <c r="M1458" s="3"/>
      <c r="N1458" s="3"/>
      <c r="O1458" s="2"/>
      <c r="P1458" s="277"/>
    </row>
    <row r="1459" spans="1:16" ht="30" customHeight="1" x14ac:dyDescent="0.15">
      <c r="A1459" s="284" t="s">
        <v>8868</v>
      </c>
      <c r="B1459" s="157"/>
      <c r="C1459" s="157"/>
      <c r="D1459" s="157"/>
      <c r="E1459" s="6"/>
      <c r="F1459" s="6"/>
      <c r="G1459" s="2"/>
      <c r="H1459" s="157"/>
      <c r="I1459" s="157"/>
      <c r="J1459" s="2"/>
      <c r="K1459" s="157"/>
      <c r="L1459" s="3"/>
      <c r="M1459" s="3"/>
      <c r="N1459" s="3"/>
      <c r="O1459" s="2"/>
      <c r="P1459" s="277"/>
    </row>
    <row r="1460" spans="1:16" ht="30" customHeight="1" x14ac:dyDescent="0.15">
      <c r="A1460" s="284" t="s">
        <v>8869</v>
      </c>
      <c r="B1460" s="157"/>
      <c r="C1460" s="157"/>
      <c r="D1460" s="157"/>
      <c r="E1460" s="6"/>
      <c r="F1460" s="6"/>
      <c r="G1460" s="2"/>
      <c r="H1460" s="157"/>
      <c r="I1460" s="157"/>
      <c r="J1460" s="2"/>
      <c r="K1460" s="157"/>
      <c r="L1460" s="3"/>
      <c r="M1460" s="3"/>
      <c r="N1460" s="3"/>
      <c r="O1460" s="2"/>
      <c r="P1460" s="277"/>
    </row>
    <row r="1461" spans="1:16" ht="30" customHeight="1" x14ac:dyDescent="0.15">
      <c r="A1461" s="284" t="s">
        <v>8870</v>
      </c>
      <c r="B1461" s="157"/>
      <c r="C1461" s="157"/>
      <c r="D1461" s="157"/>
      <c r="E1461" s="6"/>
      <c r="F1461" s="6"/>
      <c r="G1461" s="2"/>
      <c r="H1461" s="157"/>
      <c r="I1461" s="157"/>
      <c r="J1461" s="2"/>
      <c r="K1461" s="157"/>
      <c r="L1461" s="3"/>
      <c r="M1461" s="3"/>
      <c r="N1461" s="3"/>
      <c r="O1461" s="2"/>
      <c r="P1461" s="277"/>
    </row>
    <row r="1462" spans="1:16" ht="30" customHeight="1" x14ac:dyDescent="0.15">
      <c r="A1462" s="284" t="s">
        <v>8871</v>
      </c>
      <c r="B1462" s="157"/>
      <c r="C1462" s="157"/>
      <c r="D1462" s="157"/>
      <c r="E1462" s="6"/>
      <c r="F1462" s="6"/>
      <c r="G1462" s="2"/>
      <c r="H1462" s="157"/>
      <c r="I1462" s="157"/>
      <c r="J1462" s="2"/>
      <c r="K1462" s="157"/>
      <c r="L1462" s="3"/>
      <c r="M1462" s="3"/>
      <c r="N1462" s="3"/>
      <c r="O1462" s="2"/>
      <c r="P1462" s="277"/>
    </row>
    <row r="1463" spans="1:16" ht="30" customHeight="1" x14ac:dyDescent="0.15">
      <c r="A1463" s="284" t="s">
        <v>8872</v>
      </c>
      <c r="B1463" s="157"/>
      <c r="C1463" s="157"/>
      <c r="D1463" s="157"/>
      <c r="E1463" s="6"/>
      <c r="F1463" s="6"/>
      <c r="G1463" s="2"/>
      <c r="H1463" s="157"/>
      <c r="I1463" s="157"/>
      <c r="J1463" s="2"/>
      <c r="K1463" s="157"/>
      <c r="L1463" s="3"/>
      <c r="M1463" s="3"/>
      <c r="N1463" s="3"/>
      <c r="O1463" s="2"/>
      <c r="P1463" s="277"/>
    </row>
    <row r="1464" spans="1:16" ht="30" customHeight="1" x14ac:dyDescent="0.15">
      <c r="A1464" s="284" t="s">
        <v>8873</v>
      </c>
      <c r="B1464" s="157"/>
      <c r="C1464" s="157"/>
      <c r="D1464" s="157"/>
      <c r="E1464" s="6"/>
      <c r="F1464" s="6"/>
      <c r="G1464" s="2"/>
      <c r="H1464" s="157"/>
      <c r="I1464" s="157"/>
      <c r="J1464" s="2"/>
      <c r="K1464" s="157"/>
      <c r="L1464" s="3"/>
      <c r="M1464" s="3"/>
      <c r="N1464" s="3"/>
      <c r="O1464" s="2"/>
      <c r="P1464" s="277"/>
    </row>
    <row r="1465" spans="1:16" ht="30" customHeight="1" x14ac:dyDescent="0.15">
      <c r="A1465" s="284" t="s">
        <v>8874</v>
      </c>
      <c r="B1465" s="157"/>
      <c r="C1465" s="157"/>
      <c r="D1465" s="157"/>
      <c r="E1465" s="6"/>
      <c r="F1465" s="6"/>
      <c r="G1465" s="2"/>
      <c r="H1465" s="157"/>
      <c r="I1465" s="157"/>
      <c r="J1465" s="2"/>
      <c r="K1465" s="157"/>
      <c r="L1465" s="3"/>
      <c r="M1465" s="3"/>
      <c r="N1465" s="3"/>
      <c r="O1465" s="2"/>
      <c r="P1465" s="277"/>
    </row>
    <row r="1466" spans="1:16" ht="30" customHeight="1" x14ac:dyDescent="0.15">
      <c r="A1466" s="284" t="s">
        <v>8875</v>
      </c>
      <c r="B1466" s="157"/>
      <c r="C1466" s="157"/>
      <c r="D1466" s="157"/>
      <c r="E1466" s="6"/>
      <c r="F1466" s="6"/>
      <c r="G1466" s="2"/>
      <c r="H1466" s="157"/>
      <c r="I1466" s="157"/>
      <c r="J1466" s="2"/>
      <c r="K1466" s="157"/>
      <c r="L1466" s="3"/>
      <c r="M1466" s="3"/>
      <c r="N1466" s="3"/>
      <c r="O1466" s="2"/>
      <c r="P1466" s="277"/>
    </row>
    <row r="1467" spans="1:16" ht="30" customHeight="1" x14ac:dyDescent="0.15">
      <c r="A1467" s="284" t="s">
        <v>8876</v>
      </c>
      <c r="B1467" s="157"/>
      <c r="C1467" s="157"/>
      <c r="D1467" s="157"/>
      <c r="E1467" s="6"/>
      <c r="F1467" s="6"/>
      <c r="G1467" s="2"/>
      <c r="H1467" s="157"/>
      <c r="I1467" s="157"/>
      <c r="J1467" s="2"/>
      <c r="K1467" s="157"/>
      <c r="L1467" s="3"/>
      <c r="M1467" s="3"/>
      <c r="N1467" s="3"/>
      <c r="O1467" s="2"/>
      <c r="P1467" s="277"/>
    </row>
    <row r="1468" spans="1:16" ht="30" customHeight="1" x14ac:dyDescent="0.15">
      <c r="A1468" s="284" t="s">
        <v>8877</v>
      </c>
      <c r="B1468" s="157"/>
      <c r="C1468" s="157"/>
      <c r="D1468" s="157"/>
      <c r="E1468" s="6"/>
      <c r="F1468" s="6"/>
      <c r="G1468" s="2"/>
      <c r="H1468" s="157"/>
      <c r="I1468" s="157"/>
      <c r="J1468" s="2"/>
      <c r="K1468" s="157"/>
      <c r="L1468" s="3"/>
      <c r="M1468" s="3"/>
      <c r="N1468" s="3"/>
      <c r="O1468" s="2"/>
      <c r="P1468" s="277"/>
    </row>
    <row r="1469" spans="1:16" ht="30" customHeight="1" x14ac:dyDescent="0.15">
      <c r="A1469" s="284" t="s">
        <v>8878</v>
      </c>
      <c r="B1469" s="157"/>
      <c r="C1469" s="157"/>
      <c r="D1469" s="157"/>
      <c r="E1469" s="6"/>
      <c r="F1469" s="6"/>
      <c r="G1469" s="2"/>
      <c r="H1469" s="157"/>
      <c r="I1469" s="157"/>
      <c r="J1469" s="2"/>
      <c r="K1469" s="157"/>
      <c r="L1469" s="3"/>
      <c r="M1469" s="3"/>
      <c r="N1469" s="3"/>
      <c r="O1469" s="2"/>
      <c r="P1469" s="277"/>
    </row>
    <row r="1470" spans="1:16" ht="30" customHeight="1" x14ac:dyDescent="0.15">
      <c r="A1470" s="284" t="s">
        <v>8879</v>
      </c>
      <c r="B1470" s="157"/>
      <c r="C1470" s="157"/>
      <c r="D1470" s="157"/>
      <c r="E1470" s="6"/>
      <c r="F1470" s="6"/>
      <c r="G1470" s="2"/>
      <c r="H1470" s="157"/>
      <c r="I1470" s="157"/>
      <c r="J1470" s="2"/>
      <c r="K1470" s="157"/>
      <c r="L1470" s="3"/>
      <c r="M1470" s="3"/>
      <c r="N1470" s="3"/>
      <c r="O1470" s="2"/>
      <c r="P1470" s="277"/>
    </row>
    <row r="1471" spans="1:16" ht="30" customHeight="1" x14ac:dyDescent="0.15">
      <c r="A1471" s="284" t="s">
        <v>8880</v>
      </c>
      <c r="B1471" s="157"/>
      <c r="C1471" s="157"/>
      <c r="D1471" s="157"/>
      <c r="E1471" s="6"/>
      <c r="F1471" s="6"/>
      <c r="G1471" s="2"/>
      <c r="H1471" s="157"/>
      <c r="I1471" s="157"/>
      <c r="J1471" s="2"/>
      <c r="K1471" s="157"/>
      <c r="L1471" s="3"/>
      <c r="M1471" s="3"/>
      <c r="N1471" s="3"/>
      <c r="O1471" s="2"/>
      <c r="P1471" s="277"/>
    </row>
    <row r="1472" spans="1:16" ht="30" customHeight="1" x14ac:dyDescent="0.15">
      <c r="A1472" s="284" t="s">
        <v>8881</v>
      </c>
      <c r="B1472" s="157"/>
      <c r="C1472" s="157"/>
      <c r="D1472" s="157"/>
      <c r="E1472" s="6"/>
      <c r="F1472" s="6"/>
      <c r="G1472" s="2"/>
      <c r="H1472" s="157"/>
      <c r="I1472" s="157"/>
      <c r="J1472" s="2"/>
      <c r="K1472" s="157"/>
      <c r="L1472" s="3"/>
      <c r="M1472" s="3"/>
      <c r="N1472" s="3"/>
      <c r="O1472" s="2"/>
      <c r="P1472" s="277"/>
    </row>
    <row r="1473" spans="1:16" ht="30" customHeight="1" x14ac:dyDescent="0.15">
      <c r="A1473" s="284" t="s">
        <v>8882</v>
      </c>
      <c r="B1473" s="157"/>
      <c r="C1473" s="157"/>
      <c r="D1473" s="157"/>
      <c r="E1473" s="6"/>
      <c r="F1473" s="6"/>
      <c r="G1473" s="2"/>
      <c r="H1473" s="157"/>
      <c r="I1473" s="157"/>
      <c r="J1473" s="2"/>
      <c r="K1473" s="157"/>
      <c r="L1473" s="3"/>
      <c r="M1473" s="3"/>
      <c r="N1473" s="3"/>
      <c r="O1473" s="2"/>
      <c r="P1473" s="277"/>
    </row>
    <row r="1474" spans="1:16" ht="30" customHeight="1" x14ac:dyDescent="0.15">
      <c r="A1474" s="284" t="s">
        <v>8883</v>
      </c>
      <c r="B1474" s="157"/>
      <c r="C1474" s="157"/>
      <c r="D1474" s="157"/>
      <c r="E1474" s="6"/>
      <c r="F1474" s="6"/>
      <c r="G1474" s="2"/>
      <c r="H1474" s="157"/>
      <c r="I1474" s="157"/>
      <c r="J1474" s="2"/>
      <c r="K1474" s="157"/>
      <c r="L1474" s="3"/>
      <c r="M1474" s="3"/>
      <c r="N1474" s="3"/>
      <c r="O1474" s="2"/>
      <c r="P1474" s="277"/>
    </row>
    <row r="1475" spans="1:16" ht="30" customHeight="1" x14ac:dyDescent="0.15">
      <c r="A1475" s="284" t="s">
        <v>8884</v>
      </c>
      <c r="B1475" s="157"/>
      <c r="C1475" s="157"/>
      <c r="D1475" s="157"/>
      <c r="E1475" s="6"/>
      <c r="F1475" s="6"/>
      <c r="G1475" s="2"/>
      <c r="H1475" s="157"/>
      <c r="I1475" s="157"/>
      <c r="J1475" s="2"/>
      <c r="K1475" s="157"/>
      <c r="L1475" s="3"/>
      <c r="M1475" s="3"/>
      <c r="N1475" s="3"/>
      <c r="O1475" s="2"/>
      <c r="P1475" s="277"/>
    </row>
    <row r="1476" spans="1:16" ht="30" customHeight="1" x14ac:dyDescent="0.15">
      <c r="A1476" s="284" t="s">
        <v>8885</v>
      </c>
      <c r="B1476" s="157"/>
      <c r="C1476" s="157"/>
      <c r="D1476" s="157"/>
      <c r="E1476" s="6"/>
      <c r="F1476" s="6"/>
      <c r="G1476" s="2"/>
      <c r="H1476" s="157"/>
      <c r="I1476" s="157"/>
      <c r="J1476" s="2"/>
      <c r="K1476" s="157"/>
      <c r="L1476" s="3"/>
      <c r="M1476" s="3"/>
      <c r="N1476" s="3"/>
      <c r="O1476" s="2"/>
      <c r="P1476" s="277"/>
    </row>
    <row r="1477" spans="1:16" ht="30" customHeight="1" x14ac:dyDescent="0.15">
      <c r="A1477" s="284" t="s">
        <v>8886</v>
      </c>
      <c r="B1477" s="157"/>
      <c r="C1477" s="157"/>
      <c r="D1477" s="157"/>
      <c r="E1477" s="6"/>
      <c r="F1477" s="6"/>
      <c r="G1477" s="2"/>
      <c r="H1477" s="157"/>
      <c r="I1477" s="157"/>
      <c r="J1477" s="2"/>
      <c r="K1477" s="157"/>
      <c r="L1477" s="3"/>
      <c r="M1477" s="3"/>
      <c r="N1477" s="3"/>
      <c r="O1477" s="2"/>
      <c r="P1477" s="277"/>
    </row>
    <row r="1478" spans="1:16" ht="30" customHeight="1" x14ac:dyDescent="0.15">
      <c r="A1478" s="284" t="s">
        <v>8887</v>
      </c>
      <c r="B1478" s="157"/>
      <c r="C1478" s="157"/>
      <c r="D1478" s="157"/>
      <c r="E1478" s="6"/>
      <c r="F1478" s="6"/>
      <c r="G1478" s="2"/>
      <c r="H1478" s="157"/>
      <c r="I1478" s="157"/>
      <c r="J1478" s="2"/>
      <c r="K1478" s="157"/>
      <c r="L1478" s="3"/>
      <c r="M1478" s="3"/>
      <c r="N1478" s="3"/>
      <c r="O1478" s="2"/>
      <c r="P1478" s="277"/>
    </row>
    <row r="1479" spans="1:16" ht="30" customHeight="1" x14ac:dyDescent="0.15">
      <c r="A1479" s="284" t="s">
        <v>8888</v>
      </c>
      <c r="B1479" s="157"/>
      <c r="C1479" s="157"/>
      <c r="D1479" s="157"/>
      <c r="E1479" s="6"/>
      <c r="F1479" s="6"/>
      <c r="G1479" s="2"/>
      <c r="H1479" s="157"/>
      <c r="I1479" s="157"/>
      <c r="J1479" s="2"/>
      <c r="K1479" s="157"/>
      <c r="L1479" s="3"/>
      <c r="M1479" s="3"/>
      <c r="N1479" s="3"/>
      <c r="O1479" s="2"/>
      <c r="P1479" s="277"/>
    </row>
    <row r="1480" spans="1:16" ht="30" customHeight="1" x14ac:dyDescent="0.15">
      <c r="A1480" s="284" t="s">
        <v>8889</v>
      </c>
      <c r="B1480" s="157"/>
      <c r="C1480" s="157"/>
      <c r="D1480" s="157"/>
      <c r="E1480" s="6"/>
      <c r="F1480" s="6"/>
      <c r="G1480" s="2"/>
      <c r="H1480" s="157"/>
      <c r="I1480" s="157"/>
      <c r="J1480" s="2"/>
      <c r="K1480" s="157"/>
      <c r="L1480" s="3"/>
      <c r="M1480" s="3"/>
      <c r="N1480" s="3"/>
      <c r="O1480" s="2"/>
      <c r="P1480" s="277"/>
    </row>
    <row r="1481" spans="1:16" ht="30" customHeight="1" x14ac:dyDescent="0.15">
      <c r="A1481" s="284" t="s">
        <v>8890</v>
      </c>
      <c r="B1481" s="157"/>
      <c r="C1481" s="157"/>
      <c r="D1481" s="157"/>
      <c r="E1481" s="6"/>
      <c r="F1481" s="6"/>
      <c r="G1481" s="2"/>
      <c r="H1481" s="157"/>
      <c r="I1481" s="157"/>
      <c r="J1481" s="2"/>
      <c r="K1481" s="157"/>
      <c r="L1481" s="3"/>
      <c r="M1481" s="3"/>
      <c r="N1481" s="3"/>
      <c r="O1481" s="2"/>
      <c r="P1481" s="277"/>
    </row>
    <row r="1482" spans="1:16" ht="30" customHeight="1" x14ac:dyDescent="0.15">
      <c r="A1482" s="284" t="s">
        <v>8891</v>
      </c>
      <c r="B1482" s="157"/>
      <c r="C1482" s="157"/>
      <c r="D1482" s="157"/>
      <c r="E1482" s="6"/>
      <c r="F1482" s="6"/>
      <c r="G1482" s="2"/>
      <c r="H1482" s="157"/>
      <c r="I1482" s="157"/>
      <c r="J1482" s="2"/>
      <c r="K1482" s="157"/>
      <c r="L1482" s="3"/>
      <c r="M1482" s="3"/>
      <c r="N1482" s="3"/>
      <c r="O1482" s="2"/>
      <c r="P1482" s="277"/>
    </row>
    <row r="1483" spans="1:16" ht="30" customHeight="1" x14ac:dyDescent="0.15">
      <c r="A1483" s="284" t="s">
        <v>8892</v>
      </c>
      <c r="B1483" s="157"/>
      <c r="C1483" s="157"/>
      <c r="D1483" s="157"/>
      <c r="E1483" s="6"/>
      <c r="F1483" s="6"/>
      <c r="G1483" s="2"/>
      <c r="H1483" s="157"/>
      <c r="I1483" s="157"/>
      <c r="J1483" s="2"/>
      <c r="K1483" s="157"/>
      <c r="L1483" s="3"/>
      <c r="M1483" s="3"/>
      <c r="N1483" s="3"/>
      <c r="O1483" s="2"/>
      <c r="P1483" s="277"/>
    </row>
    <row r="1484" spans="1:16" ht="30" customHeight="1" x14ac:dyDescent="0.15">
      <c r="A1484" s="284" t="s">
        <v>8893</v>
      </c>
      <c r="B1484" s="157"/>
      <c r="C1484" s="157"/>
      <c r="D1484" s="157"/>
      <c r="E1484" s="6"/>
      <c r="F1484" s="6"/>
      <c r="G1484" s="2"/>
      <c r="H1484" s="157"/>
      <c r="I1484" s="157"/>
      <c r="J1484" s="2"/>
      <c r="K1484" s="157"/>
      <c r="L1484" s="3"/>
      <c r="M1484" s="3"/>
      <c r="N1484" s="3"/>
      <c r="O1484" s="2"/>
      <c r="P1484" s="277"/>
    </row>
    <row r="1485" spans="1:16" ht="30" customHeight="1" x14ac:dyDescent="0.15">
      <c r="A1485" s="284" t="s">
        <v>8894</v>
      </c>
      <c r="B1485" s="157"/>
      <c r="C1485" s="157"/>
      <c r="D1485" s="157"/>
      <c r="E1485" s="6"/>
      <c r="F1485" s="6"/>
      <c r="G1485" s="2"/>
      <c r="H1485" s="157"/>
      <c r="I1485" s="157"/>
      <c r="J1485" s="2"/>
      <c r="K1485" s="157"/>
      <c r="L1485" s="3"/>
      <c r="M1485" s="3"/>
      <c r="N1485" s="3"/>
      <c r="O1485" s="2"/>
      <c r="P1485" s="277"/>
    </row>
    <row r="1486" spans="1:16" ht="30" customHeight="1" x14ac:dyDescent="0.15">
      <c r="A1486" s="284" t="s">
        <v>8895</v>
      </c>
      <c r="B1486" s="157"/>
      <c r="C1486" s="157"/>
      <c r="D1486" s="157"/>
      <c r="E1486" s="6"/>
      <c r="F1486" s="6"/>
      <c r="G1486" s="2"/>
      <c r="H1486" s="157"/>
      <c r="I1486" s="157"/>
      <c r="J1486" s="2"/>
      <c r="K1486" s="157"/>
      <c r="L1486" s="3"/>
      <c r="M1486" s="3"/>
      <c r="N1486" s="3"/>
      <c r="O1486" s="2"/>
      <c r="P1486" s="277"/>
    </row>
    <row r="1487" spans="1:16" ht="30" customHeight="1" x14ac:dyDescent="0.15">
      <c r="A1487" s="284" t="s">
        <v>8896</v>
      </c>
      <c r="B1487" s="157"/>
      <c r="C1487" s="157"/>
      <c r="D1487" s="157"/>
      <c r="E1487" s="6"/>
      <c r="F1487" s="6"/>
      <c r="G1487" s="2"/>
      <c r="H1487" s="157"/>
      <c r="I1487" s="157"/>
      <c r="J1487" s="2"/>
      <c r="K1487" s="157"/>
      <c r="L1487" s="3"/>
      <c r="M1487" s="3"/>
      <c r="N1487" s="3"/>
      <c r="O1487" s="2"/>
      <c r="P1487" s="277"/>
    </row>
    <row r="1488" spans="1:16" ht="30" customHeight="1" x14ac:dyDescent="0.15">
      <c r="A1488" s="284" t="s">
        <v>8897</v>
      </c>
      <c r="B1488" s="157"/>
      <c r="C1488" s="157"/>
      <c r="D1488" s="157"/>
      <c r="E1488" s="6"/>
      <c r="F1488" s="6"/>
      <c r="G1488" s="2"/>
      <c r="H1488" s="157"/>
      <c r="I1488" s="157"/>
      <c r="J1488" s="2"/>
      <c r="K1488" s="157"/>
      <c r="L1488" s="3"/>
      <c r="M1488" s="3"/>
      <c r="N1488" s="3"/>
      <c r="O1488" s="2"/>
      <c r="P1488" s="277"/>
    </row>
    <row r="1489" spans="1:16" ht="30" customHeight="1" x14ac:dyDescent="0.15">
      <c r="A1489" s="284" t="s">
        <v>8898</v>
      </c>
      <c r="B1489" s="157"/>
      <c r="C1489" s="157"/>
      <c r="D1489" s="157"/>
      <c r="E1489" s="6"/>
      <c r="F1489" s="6"/>
      <c r="G1489" s="2"/>
      <c r="H1489" s="157"/>
      <c r="I1489" s="157"/>
      <c r="J1489" s="2"/>
      <c r="K1489" s="157"/>
      <c r="L1489" s="3"/>
      <c r="M1489" s="3"/>
      <c r="N1489" s="3"/>
      <c r="O1489" s="2"/>
      <c r="P1489" s="277"/>
    </row>
    <row r="1490" spans="1:16" ht="30" customHeight="1" x14ac:dyDescent="0.15">
      <c r="A1490" s="284" t="s">
        <v>8899</v>
      </c>
      <c r="B1490" s="157"/>
      <c r="C1490" s="157"/>
      <c r="D1490" s="157"/>
      <c r="E1490" s="6"/>
      <c r="F1490" s="6"/>
      <c r="G1490" s="2"/>
      <c r="H1490" s="157"/>
      <c r="I1490" s="157"/>
      <c r="J1490" s="2"/>
      <c r="K1490" s="157"/>
      <c r="L1490" s="3"/>
      <c r="M1490" s="3"/>
      <c r="N1490" s="3"/>
      <c r="O1490" s="2"/>
      <c r="P1490" s="277"/>
    </row>
    <row r="1491" spans="1:16" ht="30" customHeight="1" x14ac:dyDescent="0.15">
      <c r="A1491" s="284" t="s">
        <v>8900</v>
      </c>
      <c r="B1491" s="157"/>
      <c r="C1491" s="157"/>
      <c r="D1491" s="157"/>
      <c r="E1491" s="6"/>
      <c r="F1491" s="6"/>
      <c r="G1491" s="2"/>
      <c r="H1491" s="157"/>
      <c r="I1491" s="157"/>
      <c r="J1491" s="2"/>
      <c r="K1491" s="157"/>
      <c r="L1491" s="3"/>
      <c r="M1491" s="3"/>
      <c r="N1491" s="3"/>
      <c r="O1491" s="2"/>
      <c r="P1491" s="277"/>
    </row>
    <row r="1492" spans="1:16" ht="30" customHeight="1" x14ac:dyDescent="0.15">
      <c r="A1492" s="284" t="s">
        <v>8901</v>
      </c>
      <c r="B1492" s="157"/>
      <c r="C1492" s="157"/>
      <c r="D1492" s="157"/>
      <c r="E1492" s="6"/>
      <c r="F1492" s="6"/>
      <c r="G1492" s="2"/>
      <c r="H1492" s="157"/>
      <c r="I1492" s="157"/>
      <c r="J1492" s="2"/>
      <c r="K1492" s="157"/>
      <c r="L1492" s="3"/>
      <c r="M1492" s="3"/>
      <c r="N1492" s="3"/>
      <c r="O1492" s="2"/>
      <c r="P1492" s="277"/>
    </row>
    <row r="1493" spans="1:16" ht="30" customHeight="1" x14ac:dyDescent="0.15">
      <c r="A1493" s="284" t="s">
        <v>8902</v>
      </c>
      <c r="B1493" s="157"/>
      <c r="C1493" s="157"/>
      <c r="D1493" s="157"/>
      <c r="E1493" s="6"/>
      <c r="F1493" s="6"/>
      <c r="G1493" s="2"/>
      <c r="H1493" s="157"/>
      <c r="I1493" s="157"/>
      <c r="J1493" s="2"/>
      <c r="K1493" s="157"/>
      <c r="L1493" s="3"/>
      <c r="M1493" s="3"/>
      <c r="N1493" s="3"/>
      <c r="O1493" s="2"/>
      <c r="P1493" s="277"/>
    </row>
    <row r="1494" spans="1:16" ht="30" customHeight="1" x14ac:dyDescent="0.15">
      <c r="A1494" s="284" t="s">
        <v>8903</v>
      </c>
      <c r="B1494" s="157"/>
      <c r="C1494" s="157"/>
      <c r="D1494" s="157"/>
      <c r="E1494" s="6"/>
      <c r="F1494" s="6"/>
      <c r="G1494" s="2"/>
      <c r="H1494" s="157"/>
      <c r="I1494" s="157"/>
      <c r="J1494" s="2"/>
      <c r="K1494" s="157"/>
      <c r="L1494" s="3"/>
      <c r="M1494" s="3"/>
      <c r="N1494" s="3"/>
      <c r="O1494" s="2"/>
      <c r="P1494" s="277"/>
    </row>
    <row r="1495" spans="1:16" ht="30" customHeight="1" x14ac:dyDescent="0.15">
      <c r="A1495" s="284" t="s">
        <v>8904</v>
      </c>
      <c r="B1495" s="157"/>
      <c r="C1495" s="157"/>
      <c r="D1495" s="157"/>
      <c r="E1495" s="6"/>
      <c r="F1495" s="6"/>
      <c r="G1495" s="2"/>
      <c r="H1495" s="157"/>
      <c r="I1495" s="157"/>
      <c r="J1495" s="2"/>
      <c r="K1495" s="157"/>
      <c r="L1495" s="3"/>
      <c r="M1495" s="3"/>
      <c r="N1495" s="3"/>
      <c r="O1495" s="2"/>
      <c r="P1495" s="277"/>
    </row>
    <row r="1496" spans="1:16" ht="30" customHeight="1" x14ac:dyDescent="0.15">
      <c r="A1496" s="284" t="s">
        <v>8905</v>
      </c>
      <c r="B1496" s="157"/>
      <c r="C1496" s="157"/>
      <c r="D1496" s="157"/>
      <c r="E1496" s="6"/>
      <c r="F1496" s="6"/>
      <c r="G1496" s="2"/>
      <c r="H1496" s="157"/>
      <c r="I1496" s="157"/>
      <c r="J1496" s="2"/>
      <c r="K1496" s="157"/>
      <c r="L1496" s="3"/>
      <c r="M1496" s="3"/>
      <c r="N1496" s="3"/>
      <c r="O1496" s="2"/>
      <c r="P1496" s="277"/>
    </row>
    <row r="1497" spans="1:16" ht="30" customHeight="1" x14ac:dyDescent="0.15">
      <c r="A1497" s="284" t="s">
        <v>8906</v>
      </c>
      <c r="B1497" s="157"/>
      <c r="C1497" s="157"/>
      <c r="D1497" s="157"/>
      <c r="E1497" s="6"/>
      <c r="F1497" s="6"/>
      <c r="G1497" s="2"/>
      <c r="H1497" s="157"/>
      <c r="I1497" s="157"/>
      <c r="J1497" s="2"/>
      <c r="K1497" s="157"/>
      <c r="L1497" s="3"/>
      <c r="M1497" s="3"/>
      <c r="N1497" s="3"/>
      <c r="O1497" s="2"/>
      <c r="P1497" s="277"/>
    </row>
    <row r="1498" spans="1:16" ht="30" customHeight="1" x14ac:dyDescent="0.15">
      <c r="A1498" s="284" t="s">
        <v>8907</v>
      </c>
      <c r="B1498" s="157"/>
      <c r="C1498" s="157"/>
      <c r="D1498" s="157"/>
      <c r="E1498" s="6"/>
      <c r="F1498" s="6"/>
      <c r="G1498" s="2"/>
      <c r="H1498" s="157"/>
      <c r="I1498" s="157"/>
      <c r="J1498" s="2"/>
      <c r="K1498" s="157"/>
      <c r="L1498" s="3"/>
      <c r="M1498" s="3"/>
      <c r="N1498" s="3"/>
      <c r="O1498" s="2"/>
      <c r="P1498" s="277"/>
    </row>
    <row r="1499" spans="1:16" ht="30" customHeight="1" x14ac:dyDescent="0.15">
      <c r="A1499" s="284" t="s">
        <v>8908</v>
      </c>
      <c r="B1499" s="157"/>
      <c r="C1499" s="157"/>
      <c r="D1499" s="157"/>
      <c r="E1499" s="6"/>
      <c r="F1499" s="6"/>
      <c r="G1499" s="2"/>
      <c r="H1499" s="157"/>
      <c r="I1499" s="157"/>
      <c r="J1499" s="2"/>
      <c r="K1499" s="157"/>
      <c r="L1499" s="3"/>
      <c r="M1499" s="3"/>
      <c r="N1499" s="3"/>
      <c r="O1499" s="2"/>
      <c r="P1499" s="277"/>
    </row>
    <row r="1500" spans="1:16" ht="30" customHeight="1" x14ac:dyDescent="0.15">
      <c r="A1500" s="284" t="s">
        <v>8909</v>
      </c>
      <c r="B1500" s="157"/>
      <c r="C1500" s="157"/>
      <c r="D1500" s="157"/>
      <c r="E1500" s="6"/>
      <c r="F1500" s="6"/>
      <c r="G1500" s="2"/>
      <c r="H1500" s="157"/>
      <c r="I1500" s="157"/>
      <c r="J1500" s="2"/>
      <c r="K1500" s="157"/>
      <c r="L1500" s="3"/>
      <c r="M1500" s="3"/>
      <c r="N1500" s="3"/>
      <c r="O1500" s="2"/>
      <c r="P1500" s="277"/>
    </row>
    <row r="1501" spans="1:16" ht="30" customHeight="1" x14ac:dyDescent="0.15">
      <c r="A1501" s="284" t="s">
        <v>8910</v>
      </c>
      <c r="B1501" s="157"/>
      <c r="C1501" s="157"/>
      <c r="D1501" s="157"/>
      <c r="E1501" s="6"/>
      <c r="F1501" s="6"/>
      <c r="G1501" s="2"/>
      <c r="H1501" s="157"/>
      <c r="I1501" s="157"/>
      <c r="J1501" s="2"/>
      <c r="K1501" s="157"/>
      <c r="L1501" s="3"/>
      <c r="M1501" s="3"/>
      <c r="N1501" s="3"/>
      <c r="O1501" s="2"/>
      <c r="P1501" s="277"/>
    </row>
    <row r="1502" spans="1:16" ht="30" customHeight="1" x14ac:dyDescent="0.15">
      <c r="A1502" s="284" t="s">
        <v>8911</v>
      </c>
      <c r="B1502" s="157"/>
      <c r="C1502" s="157"/>
      <c r="D1502" s="157"/>
      <c r="E1502" s="6"/>
      <c r="F1502" s="6"/>
      <c r="G1502" s="2"/>
      <c r="H1502" s="157"/>
      <c r="I1502" s="157"/>
      <c r="J1502" s="2"/>
      <c r="K1502" s="157"/>
      <c r="L1502" s="3"/>
      <c r="M1502" s="3"/>
      <c r="N1502" s="3"/>
      <c r="O1502" s="2"/>
      <c r="P1502" s="277"/>
    </row>
    <row r="1503" spans="1:16" ht="30" customHeight="1" x14ac:dyDescent="0.15">
      <c r="A1503" s="284" t="s">
        <v>8912</v>
      </c>
      <c r="B1503" s="157"/>
      <c r="C1503" s="157"/>
      <c r="D1503" s="157"/>
      <c r="E1503" s="6"/>
      <c r="F1503" s="6"/>
      <c r="G1503" s="2"/>
      <c r="H1503" s="157"/>
      <c r="I1503" s="157"/>
      <c r="J1503" s="2"/>
      <c r="K1503" s="157"/>
      <c r="L1503" s="3"/>
      <c r="M1503" s="3"/>
      <c r="N1503" s="3"/>
      <c r="O1503" s="2"/>
      <c r="P1503" s="277"/>
    </row>
    <row r="1504" spans="1:16" ht="30" customHeight="1" x14ac:dyDescent="0.15">
      <c r="A1504" s="284" t="s">
        <v>8913</v>
      </c>
      <c r="B1504" s="157"/>
      <c r="C1504" s="157"/>
      <c r="D1504" s="157"/>
      <c r="E1504" s="6"/>
      <c r="F1504" s="6"/>
      <c r="G1504" s="2"/>
      <c r="H1504" s="157"/>
      <c r="I1504" s="157"/>
      <c r="J1504" s="2"/>
      <c r="K1504" s="157"/>
      <c r="L1504" s="3"/>
      <c r="M1504" s="3"/>
      <c r="N1504" s="3"/>
      <c r="O1504" s="2"/>
      <c r="P1504" s="277"/>
    </row>
    <row r="1505" spans="1:16" ht="30" customHeight="1" x14ac:dyDescent="0.15">
      <c r="A1505" s="284" t="s">
        <v>8914</v>
      </c>
      <c r="B1505" s="157"/>
      <c r="C1505" s="157"/>
      <c r="D1505" s="157"/>
      <c r="E1505" s="6"/>
      <c r="F1505" s="6"/>
      <c r="G1505" s="2"/>
      <c r="H1505" s="157"/>
      <c r="I1505" s="157"/>
      <c r="J1505" s="2"/>
      <c r="K1505" s="157"/>
      <c r="L1505" s="3"/>
      <c r="M1505" s="3"/>
      <c r="N1505" s="3"/>
      <c r="O1505" s="2"/>
      <c r="P1505" s="277"/>
    </row>
    <row r="1506" spans="1:16" ht="30" customHeight="1" x14ac:dyDescent="0.15">
      <c r="A1506" s="284" t="s">
        <v>8915</v>
      </c>
      <c r="B1506" s="157"/>
      <c r="C1506" s="157"/>
      <c r="D1506" s="157"/>
      <c r="E1506" s="6"/>
      <c r="F1506" s="6"/>
      <c r="G1506" s="2"/>
      <c r="H1506" s="157"/>
      <c r="I1506" s="157"/>
      <c r="J1506" s="2"/>
      <c r="K1506" s="157"/>
      <c r="L1506" s="3"/>
      <c r="M1506" s="3"/>
      <c r="N1506" s="3"/>
      <c r="O1506" s="2"/>
      <c r="P1506" s="277"/>
    </row>
    <row r="1507" spans="1:16" ht="30" customHeight="1" x14ac:dyDescent="0.15">
      <c r="A1507" s="284" t="s">
        <v>8916</v>
      </c>
      <c r="B1507" s="157"/>
      <c r="C1507" s="157"/>
      <c r="D1507" s="157"/>
      <c r="E1507" s="6"/>
      <c r="F1507" s="6"/>
      <c r="G1507" s="2"/>
      <c r="H1507" s="157"/>
      <c r="I1507" s="157"/>
      <c r="J1507" s="2"/>
      <c r="K1507" s="157"/>
      <c r="L1507" s="3"/>
      <c r="M1507" s="3"/>
      <c r="N1507" s="3"/>
      <c r="O1507" s="2"/>
      <c r="P1507" s="277"/>
    </row>
    <row r="1508" spans="1:16" ht="30" customHeight="1" x14ac:dyDescent="0.15">
      <c r="A1508" s="284" t="s">
        <v>8917</v>
      </c>
      <c r="B1508" s="157"/>
      <c r="C1508" s="157"/>
      <c r="D1508" s="157"/>
      <c r="E1508" s="6"/>
      <c r="F1508" s="6"/>
      <c r="G1508" s="2"/>
      <c r="H1508" s="157"/>
      <c r="I1508" s="157"/>
      <c r="J1508" s="2"/>
      <c r="K1508" s="157"/>
      <c r="L1508" s="3"/>
      <c r="M1508" s="3"/>
      <c r="N1508" s="3"/>
      <c r="O1508" s="2"/>
      <c r="P1508" s="277"/>
    </row>
    <row r="1509" spans="1:16" ht="30" customHeight="1" x14ac:dyDescent="0.15">
      <c r="A1509" s="284" t="s">
        <v>8918</v>
      </c>
      <c r="B1509" s="157"/>
      <c r="C1509" s="157"/>
      <c r="D1509" s="157"/>
      <c r="E1509" s="6"/>
      <c r="F1509" s="6"/>
      <c r="G1509" s="2"/>
      <c r="H1509" s="157"/>
      <c r="I1509" s="157"/>
      <c r="J1509" s="2"/>
      <c r="K1509" s="157"/>
      <c r="L1509" s="3"/>
      <c r="M1509" s="3"/>
      <c r="N1509" s="3"/>
      <c r="O1509" s="2"/>
      <c r="P1509" s="277"/>
    </row>
    <row r="1510" spans="1:16" ht="30" customHeight="1" x14ac:dyDescent="0.15">
      <c r="A1510" s="284" t="s">
        <v>8919</v>
      </c>
      <c r="B1510" s="157"/>
      <c r="C1510" s="157"/>
      <c r="D1510" s="157"/>
      <c r="E1510" s="6"/>
      <c r="F1510" s="6"/>
      <c r="G1510" s="2"/>
      <c r="H1510" s="157"/>
      <c r="I1510" s="157"/>
      <c r="J1510" s="2"/>
      <c r="K1510" s="157"/>
      <c r="L1510" s="3"/>
      <c r="M1510" s="3"/>
      <c r="N1510" s="3"/>
      <c r="O1510" s="2"/>
      <c r="P1510" s="277"/>
    </row>
    <row r="1511" spans="1:16" ht="30" customHeight="1" x14ac:dyDescent="0.15">
      <c r="A1511" s="284" t="s">
        <v>8920</v>
      </c>
      <c r="B1511" s="157"/>
      <c r="C1511" s="157"/>
      <c r="D1511" s="157"/>
      <c r="E1511" s="6"/>
      <c r="F1511" s="6"/>
      <c r="G1511" s="2"/>
      <c r="H1511" s="157"/>
      <c r="I1511" s="157"/>
      <c r="J1511" s="2"/>
      <c r="K1511" s="157"/>
      <c r="L1511" s="3"/>
      <c r="M1511" s="3"/>
      <c r="N1511" s="3"/>
      <c r="O1511" s="2"/>
      <c r="P1511" s="277"/>
    </row>
    <row r="1512" spans="1:16" ht="30" customHeight="1" x14ac:dyDescent="0.15">
      <c r="A1512" s="284" t="s">
        <v>8921</v>
      </c>
      <c r="B1512" s="157"/>
      <c r="C1512" s="157"/>
      <c r="D1512" s="157"/>
      <c r="E1512" s="6"/>
      <c r="F1512" s="6"/>
      <c r="G1512" s="2"/>
      <c r="H1512" s="157"/>
      <c r="I1512" s="157"/>
      <c r="J1512" s="2"/>
      <c r="K1512" s="157"/>
      <c r="L1512" s="3"/>
      <c r="M1512" s="3"/>
      <c r="N1512" s="3"/>
      <c r="O1512" s="2"/>
      <c r="P1512" s="277"/>
    </row>
    <row r="1513" spans="1:16" ht="30" customHeight="1" x14ac:dyDescent="0.15">
      <c r="A1513" s="284" t="s">
        <v>8922</v>
      </c>
      <c r="B1513" s="157"/>
      <c r="C1513" s="157"/>
      <c r="D1513" s="157"/>
      <c r="E1513" s="6"/>
      <c r="F1513" s="6"/>
      <c r="G1513" s="2"/>
      <c r="H1513" s="157"/>
      <c r="I1513" s="157"/>
      <c r="J1513" s="2"/>
      <c r="K1513" s="157"/>
      <c r="L1513" s="3"/>
      <c r="M1513" s="3"/>
      <c r="N1513" s="3"/>
      <c r="O1513" s="2"/>
      <c r="P1513" s="277"/>
    </row>
    <row r="1514" spans="1:16" ht="30" customHeight="1" x14ac:dyDescent="0.15">
      <c r="A1514" s="284" t="s">
        <v>8923</v>
      </c>
      <c r="B1514" s="157"/>
      <c r="C1514" s="157"/>
      <c r="D1514" s="157"/>
      <c r="E1514" s="6"/>
      <c r="F1514" s="6"/>
      <c r="G1514" s="2"/>
      <c r="H1514" s="157"/>
      <c r="I1514" s="157"/>
      <c r="J1514" s="2"/>
      <c r="K1514" s="157"/>
      <c r="L1514" s="3"/>
      <c r="M1514" s="3"/>
      <c r="N1514" s="3"/>
      <c r="O1514" s="2"/>
      <c r="P1514" s="277"/>
    </row>
    <row r="1515" spans="1:16" ht="30" customHeight="1" x14ac:dyDescent="0.15">
      <c r="A1515" s="284" t="s">
        <v>8924</v>
      </c>
      <c r="B1515" s="157"/>
      <c r="C1515" s="157"/>
      <c r="D1515" s="157"/>
      <c r="E1515" s="6"/>
      <c r="F1515" s="6"/>
      <c r="G1515" s="2"/>
      <c r="H1515" s="157"/>
      <c r="I1515" s="157"/>
      <c r="J1515" s="2"/>
      <c r="K1515" s="157"/>
      <c r="L1515" s="3"/>
      <c r="M1515" s="3"/>
      <c r="N1515" s="3"/>
      <c r="O1515" s="2"/>
      <c r="P1515" s="277"/>
    </row>
    <row r="1516" spans="1:16" ht="30" customHeight="1" x14ac:dyDescent="0.15">
      <c r="A1516" s="284" t="s">
        <v>8925</v>
      </c>
      <c r="B1516" s="157"/>
      <c r="C1516" s="157"/>
      <c r="D1516" s="157"/>
      <c r="E1516" s="6"/>
      <c r="F1516" s="6"/>
      <c r="G1516" s="2"/>
      <c r="H1516" s="157"/>
      <c r="I1516" s="157"/>
      <c r="J1516" s="2"/>
      <c r="K1516" s="157"/>
      <c r="L1516" s="3"/>
      <c r="M1516" s="3"/>
      <c r="N1516" s="3"/>
      <c r="O1516" s="2"/>
      <c r="P1516" s="277"/>
    </row>
    <row r="1517" spans="1:16" ht="14" x14ac:dyDescent="0.15">
      <c r="A1517" s="275"/>
      <c r="B1517" s="41"/>
      <c r="C1517" s="28"/>
      <c r="D1517" s="28"/>
      <c r="E1517" s="28"/>
      <c r="F1517" s="28"/>
      <c r="G1517" s="28"/>
      <c r="H1517" s="28"/>
      <c r="I1517" s="27"/>
      <c r="J1517" s="27"/>
      <c r="K1517" s="27"/>
      <c r="L1517" s="27"/>
      <c r="M1517" s="27"/>
      <c r="N1517" s="27"/>
      <c r="O1517" s="27"/>
      <c r="P1517" s="27"/>
    </row>
    <row r="1518" spans="1:16" x14ac:dyDescent="0.15">
      <c r="A1518" s="234"/>
      <c r="B1518" s="23"/>
      <c r="C1518" s="30"/>
      <c r="D1518" s="23"/>
      <c r="E1518" s="23"/>
      <c r="F1518" s="23"/>
      <c r="G1518" s="71"/>
      <c r="H1518" s="21"/>
      <c r="I1518" s="21"/>
      <c r="J1518" s="21"/>
      <c r="K1518" s="21"/>
      <c r="L1518" s="21"/>
      <c r="M1518" s="21"/>
      <c r="N1518" s="21"/>
      <c r="O1518" s="21"/>
      <c r="P1518" s="31"/>
    </row>
    <row r="1519" spans="1:16" x14ac:dyDescent="0.15">
      <c r="A1519" s="234"/>
      <c r="B1519" s="19"/>
      <c r="C1519" s="19"/>
      <c r="D1519" s="19"/>
      <c r="E1519" s="19"/>
      <c r="F1519" s="19"/>
      <c r="G1519" s="19"/>
      <c r="H1519" s="19"/>
      <c r="I1519" s="19"/>
      <c r="J1519" s="19"/>
      <c r="K1519" s="19"/>
      <c r="L1519" s="19"/>
      <c r="M1519" s="19"/>
      <c r="N1519" s="19"/>
      <c r="O1519" s="19"/>
      <c r="P1519" s="19"/>
    </row>
    <row r="1520" spans="1:16" x14ac:dyDescent="0.15">
      <c r="A1520" s="234"/>
    </row>
  </sheetData>
  <sheetProtection algorithmName="SHA-512" hashValue="cTuuNfxANdBQtEtdacxrUQllbqokDmtSqkBX8G8L8CGgtTffVeM8vqYdneSiWnPkRZELL/TfS2Q45FCnbIrM/g==" saltValue="FiusFa4jbx9ePD1hrX62vw==" spinCount="100000" sheet="1" objects="1" scenarios="1" formatColumns="0" formatRows="0"/>
  <mergeCells count="1">
    <mergeCell ref="A12:D12"/>
  </mergeCells>
  <dataValidations count="12">
    <dataValidation type="list" allowBlank="1" showInputMessage="1" showErrorMessage="1" errorTitle="Information non valide" error="Merci d'effacer votre saisie et de sélectionner une modalité dans la liste." sqref="H10:K11" xr:uid="{00000000-0002-0000-0400-000000000000}">
      <formula1>#REF!</formula1>
    </dataValidation>
    <dataValidation type="list" allowBlank="1" showInputMessage="1" showErrorMessage="1" errorTitle="Information non valide" error="Merci d'effacer votre saisie et de sélectionner une modalité dans la liste." sqref="L10:N11" xr:uid="{00000000-0002-0000-0400-000001000000}">
      <formula1>dis_bap</formula1>
    </dataValidation>
    <dataValidation allowBlank="1" showDropDown="1" showInputMessage="1" showErrorMessage="1" errorTitle="Information non valide" error="Merci d'effacer votre saisie et de sélectionner une modalité dans la liste." sqref="E10:E11" xr:uid="{00000000-0002-0000-0400-000002000000}"/>
    <dataValidation type="list" allowBlank="1" sqref="F10:F11" xr:uid="{00000000-0002-0000-0400-000003000000}">
      <formula1>etorg</formula1>
    </dataValidation>
    <dataValidation type="list" allowBlank="1" showInputMessage="1" showErrorMessage="1" errorTitle="Information non valide" error="Merci d'effacer votre saisie et de sélectionner une modalité dans la liste." sqref="D10:D11" xr:uid="{00000000-0002-0000-0400-000004000000}">
      <formula1>hf</formula1>
    </dataValidation>
    <dataValidation allowBlank="1" showInputMessage="1" showErrorMessage="1" errorTitle="Information non valide" error="Merci d'effacer votre saisie et de sélectionner une modalité dans la liste." sqref="H17:H1516" xr:uid="{00000000-0002-0000-0400-000005000000}"/>
    <dataValidation type="list" allowBlank="1" showInputMessage="1" sqref="J17:J1516" xr:uid="{00000000-0002-0000-0400-000007000000}">
      <formula1>Etablissements_accredites_ED</formula1>
    </dataValidation>
    <dataValidation type="date" allowBlank="1" showDropDown="1" showInputMessage="1" showErrorMessage="1" errorTitle="Information non valide" error="Merci d'annuler votre saisie et de saisir une date comprise entre le 01/01/2016 et le 31/12/2021, période du bilan._x000a_Le format a respecter est JJ/MM/AAAA" sqref="M17:M1516" xr:uid="{00000000-0002-0000-0400-000008000000}">
      <formula1>42370</formula1>
      <formula2>44561</formula2>
    </dataValidation>
    <dataValidation type="list" allowBlank="1" showInputMessage="1" sqref="G17:G1516" xr:uid="{00000000-0002-0000-0400-000009000000}">
      <formula1>Etablissements_dispensant_master</formula1>
    </dataValidation>
    <dataValidation type="list" allowBlank="1" showInputMessage="1" showErrorMessage="1" errorTitle="Liste des équipes" error="Merci d'annuler votre saisie puis de selectionner une équipe dans la liste attachée au menu déroulant." sqref="E17:E1516" xr:uid="{00000000-0002-0000-0400-00000A000000}">
      <formula1>équipes</formula1>
    </dataValidation>
    <dataValidation type="list" allowBlank="1" showInputMessage="1" showErrorMessage="1" errorTitle="Écoles doctorales" error="Veuillez annuler votre saisie et selectionner une école doctorale proposée dans le menu déroulant" sqref="F17:F1516" xr:uid="{00000000-0002-0000-0400-00000B000000}">
      <formula1>Écoles_Doctorales</formula1>
    </dataValidation>
    <dataValidation type="date" allowBlank="1" showInputMessage="1" showErrorMessage="1" errorTitle="Veuillez annuler votre saisie" error="Veuillez saisir une date comprise entre le 01/01/2006 et le 15/12/2021. Le format à respecter est JJ/MM/AAAA" sqref="L17:L31 L33:L1516" xr:uid="{00000000-0002-0000-0400-000006000000}">
      <formula1>38596</formula1>
      <formula2>44545</formula2>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errorTitle="Erreur de saisie" error="Veuillez annuler votre saisie et utiliser le menu déroulant" xr:uid="{00000000-0002-0000-0400-00000C000000}">
          <x14:formula1>
            <xm:f>Nomenclatures!$C$166:$C$179</xm:f>
          </x14:formula1>
          <xm:sqref>O17:O1516</xm:sqref>
        </x14:dataValidation>
        <x14:dataValidation type="list" allowBlank="1" showInputMessage="1" showErrorMessage="1" errorTitle="Erreur de saisie" error="Veuillez annuler votre saisie et utiliser le menu déroulant" xr:uid="{00000000-0002-0000-0400-00000D000000}">
          <x14:formula1>
            <xm:f>Nomenclatures!$C$181:$C$197</xm:f>
          </x14:formula1>
          <xm:sqref>P17:P1516</xm:sqref>
        </x14:dataValidation>
        <x14:dataValidation type="list" allowBlank="1" showInputMessage="1" showErrorMessage="1" errorTitle="Information non valide" error="Merci d'effacer votre saisie et de sélectionner une modalité dans la liste." xr:uid="{00000000-0002-0000-0400-00000E000000}">
          <x14:formula1>
            <xm:f>Nomenclatures!$B$444:$B$445</xm:f>
          </x14:formula1>
          <xm:sqref>D17:D1516</xm:sqref>
        </x14:dataValidation>
        <x14:dataValidation type="list" allowBlank="1" showInputMessage="1" showErrorMessage="1" errorTitle="Erreur de saisie" error="Veuillez annuler votre saisie et utiliser le menu déroulant uniquement si la thèse a été abandonnée, sinon ne rien saisir." xr:uid="{00000000-0002-0000-0400-00000F000000}">
          <x14:formula1>
            <xm:f>Nomenclatures!$B$447:$B$448</xm:f>
          </x14:formula1>
          <xm:sqref>N17:N1516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91"/>
  <dimension ref="A1:U78"/>
  <sheetViews>
    <sheetView topLeftCell="A24" zoomScaleNormal="100" workbookViewId="0">
      <selection activeCell="D48" sqref="D48:I51"/>
    </sheetView>
  </sheetViews>
  <sheetFormatPr baseColWidth="10" defaultColWidth="11.5" defaultRowHeight="14" outlineLevelRow="2" x14ac:dyDescent="0.15"/>
  <cols>
    <col min="1" max="1" width="4.6640625" style="36" customWidth="1"/>
    <col min="2" max="2" width="24.6640625" style="36" customWidth="1"/>
    <col min="3" max="3" width="61.6640625" style="36" customWidth="1"/>
    <col min="4" max="8" width="16.33203125" style="36" customWidth="1"/>
    <col min="9" max="9" width="16.5" style="36" customWidth="1"/>
    <col min="10" max="12" width="16.33203125" style="36" customWidth="1"/>
    <col min="13" max="14" width="11.5" style="36"/>
    <col min="15" max="15" width="13.5" style="36" customWidth="1"/>
    <col min="16" max="16384" width="11.5" style="36"/>
  </cols>
  <sheetData>
    <row r="1" spans="1:21" ht="13.5" customHeight="1" x14ac:dyDescent="0.15">
      <c r="A1" s="4"/>
      <c r="B1" s="4"/>
      <c r="C1" s="4"/>
      <c r="D1" s="4"/>
      <c r="E1" s="4"/>
      <c r="F1" s="4"/>
      <c r="G1" s="4"/>
      <c r="H1" s="5"/>
      <c r="I1" s="4"/>
    </row>
    <row r="2" spans="1:21" ht="13.5" customHeight="1" x14ac:dyDescent="0.15">
      <c r="A2" s="4"/>
      <c r="B2" s="4"/>
      <c r="C2" s="4"/>
      <c r="D2" s="4"/>
      <c r="E2" s="4"/>
      <c r="F2" s="4"/>
      <c r="G2" s="4"/>
      <c r="H2" s="5"/>
      <c r="I2" s="4"/>
    </row>
    <row r="3" spans="1:21" ht="13.5" customHeight="1" x14ac:dyDescent="0.15">
      <c r="A3" s="4"/>
      <c r="B3" s="4"/>
      <c r="C3" s="4"/>
      <c r="D3" s="4"/>
      <c r="E3" s="4"/>
      <c r="F3" s="4"/>
      <c r="G3" s="4"/>
      <c r="H3" s="5"/>
      <c r="I3" s="4"/>
    </row>
    <row r="4" spans="1:21" ht="13.5" customHeight="1" x14ac:dyDescent="0.15">
      <c r="A4" s="4"/>
      <c r="B4" s="4"/>
      <c r="C4" s="4"/>
      <c r="D4" s="4"/>
      <c r="E4" s="4"/>
      <c r="F4" s="4"/>
      <c r="G4" s="4"/>
      <c r="H4" s="5"/>
      <c r="I4" s="4"/>
    </row>
    <row r="5" spans="1:21" ht="13.5" customHeight="1" x14ac:dyDescent="0.15">
      <c r="A5" s="4"/>
      <c r="B5" s="4"/>
      <c r="C5" s="4"/>
      <c r="D5" s="4"/>
      <c r="E5" s="4"/>
      <c r="F5" s="4"/>
      <c r="G5" s="4"/>
      <c r="H5" s="5"/>
      <c r="I5" s="4"/>
    </row>
    <row r="6" spans="1:21" ht="13.5" customHeight="1" x14ac:dyDescent="0.15">
      <c r="A6" s="4"/>
      <c r="B6" s="4"/>
      <c r="C6" s="4"/>
      <c r="D6" s="4"/>
      <c r="E6" s="4"/>
      <c r="F6" s="4"/>
      <c r="G6" s="4"/>
      <c r="H6" s="5"/>
      <c r="I6" s="4"/>
    </row>
    <row r="7" spans="1:21" ht="13.5" customHeight="1" x14ac:dyDescent="0.15">
      <c r="A7" s="4"/>
      <c r="B7" s="4"/>
      <c r="C7" s="4"/>
      <c r="D7" s="4"/>
      <c r="E7" s="4"/>
      <c r="F7" s="4"/>
      <c r="G7" s="4"/>
      <c r="H7" s="5"/>
      <c r="I7" s="4"/>
    </row>
    <row r="8" spans="1:21" ht="13.5" customHeight="1" x14ac:dyDescent="0.15">
      <c r="A8" s="4"/>
      <c r="B8" s="4"/>
      <c r="C8" s="4"/>
      <c r="D8" s="4"/>
      <c r="E8" s="4"/>
      <c r="F8" s="4"/>
      <c r="G8" s="4"/>
      <c r="H8" s="5"/>
      <c r="I8" s="4"/>
    </row>
    <row r="9" spans="1:21" ht="13.5" customHeight="1" x14ac:dyDescent="0.15">
      <c r="A9" s="4"/>
      <c r="B9" s="4"/>
      <c r="C9" s="4"/>
      <c r="D9" s="4"/>
      <c r="E9" s="4"/>
      <c r="F9" s="4"/>
      <c r="G9" s="4"/>
      <c r="H9" s="5"/>
      <c r="I9" s="4"/>
    </row>
    <row r="10" spans="1:21" ht="35.25" customHeight="1" x14ac:dyDescent="0.15">
      <c r="A10" s="4"/>
      <c r="B10" s="4"/>
      <c r="C10" s="4"/>
      <c r="D10" s="4"/>
      <c r="E10" s="4"/>
      <c r="F10" s="4"/>
      <c r="G10" s="4"/>
      <c r="H10" s="5"/>
      <c r="I10" s="4"/>
    </row>
    <row r="11" spans="1:21" s="13" customFormat="1" ht="30" customHeight="1" x14ac:dyDescent="0.15">
      <c r="A11" s="12"/>
      <c r="B11" s="163" t="s">
        <v>66</v>
      </c>
      <c r="C11" s="163"/>
      <c r="D11" s="163"/>
      <c r="E11" s="163"/>
      <c r="F11" s="163"/>
      <c r="G11" s="163"/>
      <c r="H11" s="163"/>
      <c r="I11" s="244"/>
      <c r="J11" s="75"/>
      <c r="K11" s="36"/>
      <c r="L11" s="36"/>
      <c r="R11" s="37"/>
      <c r="S11" s="38"/>
      <c r="T11" s="38"/>
      <c r="U11" s="38"/>
    </row>
    <row r="12" spans="1:21" s="13" customFormat="1" ht="30" customHeight="1" x14ac:dyDescent="0.15">
      <c r="A12" s="12"/>
      <c r="B12" s="163"/>
      <c r="C12" s="163"/>
      <c r="D12" s="163"/>
      <c r="E12" s="163"/>
      <c r="F12" s="163"/>
      <c r="G12" s="163"/>
      <c r="H12" s="163"/>
      <c r="I12" s="244"/>
      <c r="J12" s="36"/>
      <c r="K12" s="36"/>
      <c r="L12" s="36"/>
      <c r="R12" s="37"/>
      <c r="S12" s="38"/>
      <c r="T12" s="38"/>
      <c r="U12" s="38"/>
    </row>
    <row r="13" spans="1:21" ht="30" customHeight="1" thickBot="1" x14ac:dyDescent="0.2">
      <c r="A13" s="4"/>
      <c r="B13" s="347" t="s">
        <v>67</v>
      </c>
      <c r="C13" s="347"/>
      <c r="D13" s="347"/>
      <c r="E13" s="347"/>
      <c r="F13" s="347"/>
      <c r="G13" s="347"/>
      <c r="H13" s="347"/>
      <c r="I13" s="347"/>
    </row>
    <row r="14" spans="1:21" ht="33" customHeight="1" thickTop="1" thickBot="1" x14ac:dyDescent="0.2">
      <c r="A14" s="259" t="s">
        <v>2745</v>
      </c>
      <c r="B14" s="350" t="s">
        <v>9</v>
      </c>
      <c r="C14" s="351"/>
      <c r="D14" s="67" t="s">
        <v>31</v>
      </c>
      <c r="E14" s="52" t="s">
        <v>32</v>
      </c>
      <c r="F14" s="52" t="s">
        <v>33</v>
      </c>
      <c r="G14" s="52" t="s">
        <v>34</v>
      </c>
      <c r="H14" s="52" t="s">
        <v>35</v>
      </c>
      <c r="I14" s="55" t="s">
        <v>36</v>
      </c>
    </row>
    <row r="15" spans="1:21" ht="21" customHeight="1" thickTop="1" x14ac:dyDescent="0.15">
      <c r="A15" s="260" t="s">
        <v>5862</v>
      </c>
      <c r="B15" s="344" t="s">
        <v>8</v>
      </c>
      <c r="C15" s="50" t="s">
        <v>6</v>
      </c>
      <c r="D15" s="51">
        <v>32558</v>
      </c>
      <c r="E15" s="51">
        <v>32558</v>
      </c>
      <c r="F15" s="51">
        <v>42308</v>
      </c>
      <c r="G15" s="51">
        <v>44660</v>
      </c>
      <c r="H15" s="51">
        <v>44660</v>
      </c>
      <c r="I15" s="56">
        <v>43908</v>
      </c>
    </row>
    <row r="16" spans="1:21" ht="21" customHeight="1" outlineLevel="1" x14ac:dyDescent="0.15">
      <c r="A16" s="260" t="s">
        <v>5863</v>
      </c>
      <c r="B16" s="345"/>
      <c r="C16" s="26" t="s">
        <v>7</v>
      </c>
      <c r="D16" s="7"/>
      <c r="E16" s="7"/>
      <c r="F16" s="7"/>
      <c r="G16" s="7"/>
      <c r="H16" s="7"/>
      <c r="I16" s="57"/>
    </row>
    <row r="17" spans="1:9" ht="21" customHeight="1" outlineLevel="1" x14ac:dyDescent="0.15">
      <c r="A17" s="260" t="s">
        <v>5864</v>
      </c>
      <c r="B17" s="345"/>
      <c r="C17" s="64" t="s">
        <v>16</v>
      </c>
      <c r="D17" s="247"/>
      <c r="E17" s="247"/>
      <c r="F17" s="247"/>
      <c r="G17" s="247"/>
      <c r="H17" s="247"/>
      <c r="I17" s="248"/>
    </row>
    <row r="18" spans="1:9" ht="21" customHeight="1" outlineLevel="1" x14ac:dyDescent="0.15">
      <c r="A18" s="260" t="s">
        <v>5865</v>
      </c>
      <c r="B18" s="345"/>
      <c r="C18" s="26" t="s">
        <v>11</v>
      </c>
      <c r="D18" s="7"/>
      <c r="E18" s="7"/>
      <c r="F18" s="7"/>
      <c r="G18" s="7"/>
      <c r="H18" s="7"/>
      <c r="I18" s="57"/>
    </row>
    <row r="19" spans="1:9" ht="21" customHeight="1" outlineLevel="1" thickBot="1" x14ac:dyDescent="0.2">
      <c r="A19" s="260" t="s">
        <v>2749</v>
      </c>
      <c r="B19" s="346"/>
      <c r="C19" s="47" t="s">
        <v>4</v>
      </c>
      <c r="D19" s="54">
        <f>SUM(D15:D18)</f>
        <v>32558</v>
      </c>
      <c r="E19" s="54">
        <f t="shared" ref="E19:I19" si="0">SUM(E15:E18)</f>
        <v>32558</v>
      </c>
      <c r="F19" s="54">
        <f t="shared" si="0"/>
        <v>42308</v>
      </c>
      <c r="G19" s="54">
        <f t="shared" si="0"/>
        <v>44660</v>
      </c>
      <c r="H19" s="54">
        <f t="shared" si="0"/>
        <v>44660</v>
      </c>
      <c r="I19" s="197">
        <f t="shared" si="0"/>
        <v>43908</v>
      </c>
    </row>
    <row r="20" spans="1:9" ht="21" customHeight="1" outlineLevel="1" thickTop="1" x14ac:dyDescent="0.15">
      <c r="A20" s="260" t="s">
        <v>5866</v>
      </c>
      <c r="B20" s="344" t="s">
        <v>8</v>
      </c>
      <c r="C20" s="50" t="s">
        <v>6</v>
      </c>
      <c r="D20" s="51"/>
      <c r="E20" s="51"/>
      <c r="F20" s="51"/>
      <c r="G20" s="51"/>
      <c r="H20" s="51"/>
      <c r="I20" s="56"/>
    </row>
    <row r="21" spans="1:9" ht="21" customHeight="1" x14ac:dyDescent="0.15">
      <c r="A21" s="260" t="s">
        <v>5867</v>
      </c>
      <c r="B21" s="345"/>
      <c r="C21" s="26" t="s">
        <v>7</v>
      </c>
      <c r="D21" s="7"/>
      <c r="E21" s="7"/>
      <c r="F21" s="7"/>
      <c r="G21" s="7"/>
      <c r="H21" s="7"/>
      <c r="I21" s="57"/>
    </row>
    <row r="22" spans="1:9" ht="21" customHeight="1" outlineLevel="1" x14ac:dyDescent="0.15">
      <c r="A22" s="260" t="s">
        <v>5868</v>
      </c>
      <c r="B22" s="345"/>
      <c r="C22" s="26" t="s">
        <v>12</v>
      </c>
      <c r="D22" s="247"/>
      <c r="E22" s="247"/>
      <c r="F22" s="247"/>
      <c r="G22" s="247"/>
      <c r="H22" s="247"/>
      <c r="I22" s="248"/>
    </row>
    <row r="23" spans="1:9" ht="21" customHeight="1" outlineLevel="1" x14ac:dyDescent="0.15">
      <c r="A23" s="260" t="s">
        <v>5869</v>
      </c>
      <c r="B23" s="345"/>
      <c r="C23" s="26" t="s">
        <v>11</v>
      </c>
      <c r="D23" s="7"/>
      <c r="E23" s="7"/>
      <c r="F23" s="7"/>
      <c r="G23" s="7"/>
      <c r="H23" s="7"/>
      <c r="I23" s="57"/>
    </row>
    <row r="24" spans="1:9" ht="21" customHeight="1" outlineLevel="1" thickBot="1" x14ac:dyDescent="0.2">
      <c r="A24" s="260" t="s">
        <v>2750</v>
      </c>
      <c r="B24" s="346"/>
      <c r="C24" s="47" t="s">
        <v>4</v>
      </c>
      <c r="D24" s="54">
        <f>SUM(D20:D23)</f>
        <v>0</v>
      </c>
      <c r="E24" s="54">
        <f t="shared" ref="E24:I24" si="1">SUM(E20:E23)</f>
        <v>0</v>
      </c>
      <c r="F24" s="54">
        <f t="shared" si="1"/>
        <v>0</v>
      </c>
      <c r="G24" s="54">
        <f t="shared" si="1"/>
        <v>0</v>
      </c>
      <c r="H24" s="54">
        <f t="shared" si="1"/>
        <v>0</v>
      </c>
      <c r="I24" s="197">
        <f t="shared" si="1"/>
        <v>0</v>
      </c>
    </row>
    <row r="25" spans="1:9" ht="21" customHeight="1" outlineLevel="1" thickTop="1" x14ac:dyDescent="0.15">
      <c r="A25" s="260" t="s">
        <v>5870</v>
      </c>
      <c r="B25" s="344" t="s">
        <v>8</v>
      </c>
      <c r="C25" s="45" t="s">
        <v>6</v>
      </c>
      <c r="D25" s="46"/>
      <c r="E25" s="46"/>
      <c r="F25" s="46"/>
      <c r="G25" s="46"/>
      <c r="H25" s="46"/>
      <c r="I25" s="59"/>
    </row>
    <row r="26" spans="1:9" ht="21" customHeight="1" outlineLevel="1" x14ac:dyDescent="0.15">
      <c r="A26" s="260" t="s">
        <v>5871</v>
      </c>
      <c r="B26" s="345"/>
      <c r="C26" s="26" t="s">
        <v>7</v>
      </c>
      <c r="D26" s="7"/>
      <c r="E26" s="7"/>
      <c r="F26" s="7"/>
      <c r="G26" s="7"/>
      <c r="H26" s="7"/>
      <c r="I26" s="57"/>
    </row>
    <row r="27" spans="1:9" ht="21" customHeight="1" outlineLevel="1" x14ac:dyDescent="0.15">
      <c r="A27" s="260" t="s">
        <v>5872</v>
      </c>
      <c r="B27" s="345"/>
      <c r="C27" s="26" t="s">
        <v>12</v>
      </c>
      <c r="D27" s="247"/>
      <c r="E27" s="247"/>
      <c r="F27" s="247"/>
      <c r="G27" s="247"/>
      <c r="H27" s="247"/>
      <c r="I27" s="248"/>
    </row>
    <row r="28" spans="1:9" ht="21" customHeight="1" outlineLevel="1" x14ac:dyDescent="0.15">
      <c r="A28" s="260" t="s">
        <v>5873</v>
      </c>
      <c r="B28" s="345"/>
      <c r="C28" s="26" t="s">
        <v>11</v>
      </c>
      <c r="D28" s="7"/>
      <c r="E28" s="7"/>
      <c r="F28" s="7"/>
      <c r="G28" s="7"/>
      <c r="H28" s="7"/>
      <c r="I28" s="57"/>
    </row>
    <row r="29" spans="1:9" ht="21" customHeight="1" outlineLevel="1" thickBot="1" x14ac:dyDescent="0.2">
      <c r="A29" s="260" t="s">
        <v>2751</v>
      </c>
      <c r="B29" s="346"/>
      <c r="C29" s="49" t="s">
        <v>4</v>
      </c>
      <c r="D29" s="249">
        <f>SUM(D25:D28)</f>
        <v>0</v>
      </c>
      <c r="E29" s="249">
        <f t="shared" ref="E29:I29" si="2">SUM(E25:E28)</f>
        <v>0</v>
      </c>
      <c r="F29" s="249">
        <f t="shared" si="2"/>
        <v>0</v>
      </c>
      <c r="G29" s="249">
        <f t="shared" si="2"/>
        <v>0</v>
      </c>
      <c r="H29" s="249">
        <f t="shared" si="2"/>
        <v>0</v>
      </c>
      <c r="I29" s="250">
        <f t="shared" si="2"/>
        <v>0</v>
      </c>
    </row>
    <row r="30" spans="1:9" ht="21" customHeight="1" outlineLevel="1" thickTop="1" x14ac:dyDescent="0.15">
      <c r="A30" s="260" t="s">
        <v>5874</v>
      </c>
      <c r="B30" s="344" t="s">
        <v>8</v>
      </c>
      <c r="C30" s="50" t="s">
        <v>6</v>
      </c>
      <c r="D30" s="51"/>
      <c r="E30" s="51"/>
      <c r="F30" s="51"/>
      <c r="G30" s="51"/>
      <c r="H30" s="51"/>
      <c r="I30" s="56"/>
    </row>
    <row r="31" spans="1:9" ht="21" customHeight="1" x14ac:dyDescent="0.15">
      <c r="A31" s="260" t="s">
        <v>5875</v>
      </c>
      <c r="B31" s="345"/>
      <c r="C31" s="26" t="s">
        <v>7</v>
      </c>
      <c r="D31" s="7"/>
      <c r="E31" s="7"/>
      <c r="F31" s="7"/>
      <c r="G31" s="7"/>
      <c r="H31" s="7"/>
      <c r="I31" s="57"/>
    </row>
    <row r="32" spans="1:9" ht="21" customHeight="1" outlineLevel="2" x14ac:dyDescent="0.15">
      <c r="A32" s="260" t="s">
        <v>5876</v>
      </c>
      <c r="B32" s="345"/>
      <c r="C32" s="26" t="s">
        <v>12</v>
      </c>
      <c r="D32" s="247"/>
      <c r="E32" s="247"/>
      <c r="F32" s="247"/>
      <c r="G32" s="247"/>
      <c r="H32" s="247"/>
      <c r="I32" s="248"/>
    </row>
    <row r="33" spans="1:9" ht="21" customHeight="1" outlineLevel="2" x14ac:dyDescent="0.15">
      <c r="A33" s="260" t="s">
        <v>5877</v>
      </c>
      <c r="B33" s="345"/>
      <c r="C33" s="26" t="s">
        <v>11</v>
      </c>
      <c r="D33" s="7"/>
      <c r="E33" s="7"/>
      <c r="F33" s="7"/>
      <c r="G33" s="7"/>
      <c r="H33" s="7"/>
      <c r="I33" s="57"/>
    </row>
    <row r="34" spans="1:9" ht="21" customHeight="1" outlineLevel="2" thickBot="1" x14ac:dyDescent="0.2">
      <c r="A34" s="260" t="s">
        <v>2752</v>
      </c>
      <c r="B34" s="346"/>
      <c r="C34" s="47" t="s">
        <v>4</v>
      </c>
      <c r="D34" s="54">
        <f>SUM(D30:D33)</f>
        <v>0</v>
      </c>
      <c r="E34" s="54">
        <f t="shared" ref="E34:I34" si="3">SUM(E30:E33)</f>
        <v>0</v>
      </c>
      <c r="F34" s="54">
        <f t="shared" si="3"/>
        <v>0</v>
      </c>
      <c r="G34" s="54">
        <f t="shared" si="3"/>
        <v>0</v>
      </c>
      <c r="H34" s="54">
        <f t="shared" si="3"/>
        <v>0</v>
      </c>
      <c r="I34" s="197">
        <f t="shared" si="3"/>
        <v>0</v>
      </c>
    </row>
    <row r="35" spans="1:9" ht="21" customHeight="1" outlineLevel="2" thickTop="1" x14ac:dyDescent="0.15">
      <c r="A35" s="260" t="s">
        <v>5878</v>
      </c>
      <c r="B35" s="344" t="s">
        <v>8</v>
      </c>
      <c r="C35" s="45" t="s">
        <v>6</v>
      </c>
      <c r="D35" s="46"/>
      <c r="E35" s="46"/>
      <c r="F35" s="46"/>
      <c r="G35" s="46"/>
      <c r="H35" s="46"/>
      <c r="I35" s="59"/>
    </row>
    <row r="36" spans="1:9" ht="21" customHeight="1" outlineLevel="2" x14ac:dyDescent="0.15">
      <c r="A36" s="260" t="s">
        <v>5879</v>
      </c>
      <c r="B36" s="345"/>
      <c r="C36" s="26" t="s">
        <v>7</v>
      </c>
      <c r="D36" s="7"/>
      <c r="E36" s="7"/>
      <c r="F36" s="7"/>
      <c r="G36" s="7"/>
      <c r="H36" s="7"/>
      <c r="I36" s="57"/>
    </row>
    <row r="37" spans="1:9" ht="21" customHeight="1" outlineLevel="2" x14ac:dyDescent="0.15">
      <c r="A37" s="260" t="s">
        <v>5880</v>
      </c>
      <c r="B37" s="345"/>
      <c r="C37" s="26" t="s">
        <v>12</v>
      </c>
      <c r="D37" s="247"/>
      <c r="E37" s="247"/>
      <c r="F37" s="247"/>
      <c r="G37" s="247"/>
      <c r="H37" s="247"/>
      <c r="I37" s="248"/>
    </row>
    <row r="38" spans="1:9" ht="21" customHeight="1" outlineLevel="2" x14ac:dyDescent="0.15">
      <c r="A38" s="260" t="s">
        <v>5881</v>
      </c>
      <c r="B38" s="345"/>
      <c r="C38" s="26" t="s">
        <v>11</v>
      </c>
      <c r="D38" s="7"/>
      <c r="E38" s="7"/>
      <c r="F38" s="7"/>
      <c r="G38" s="7"/>
      <c r="H38" s="7"/>
      <c r="I38" s="57"/>
    </row>
    <row r="39" spans="1:9" ht="21" customHeight="1" outlineLevel="2" thickBot="1" x14ac:dyDescent="0.2">
      <c r="A39" s="260" t="s">
        <v>2753</v>
      </c>
      <c r="B39" s="346"/>
      <c r="C39" s="47" t="s">
        <v>4</v>
      </c>
      <c r="D39" s="54">
        <f>SUM(D35:D38)</f>
        <v>0</v>
      </c>
      <c r="E39" s="54">
        <f t="shared" ref="E39:I39" si="4">SUM(E35:E38)</f>
        <v>0</v>
      </c>
      <c r="F39" s="54">
        <f t="shared" si="4"/>
        <v>0</v>
      </c>
      <c r="G39" s="54">
        <f t="shared" si="4"/>
        <v>0</v>
      </c>
      <c r="H39" s="54">
        <f t="shared" si="4"/>
        <v>0</v>
      </c>
      <c r="I39" s="197">
        <f t="shared" si="4"/>
        <v>0</v>
      </c>
    </row>
    <row r="40" spans="1:9" ht="21" customHeight="1" outlineLevel="2" thickTop="1" x14ac:dyDescent="0.15">
      <c r="A40" s="260" t="s">
        <v>5882</v>
      </c>
      <c r="B40" s="344" t="s">
        <v>8</v>
      </c>
      <c r="C40" s="45" t="s">
        <v>6</v>
      </c>
      <c r="D40" s="46"/>
      <c r="E40" s="46"/>
      <c r="F40" s="46"/>
      <c r="G40" s="46"/>
      <c r="H40" s="46"/>
      <c r="I40" s="59"/>
    </row>
    <row r="41" spans="1:9" ht="21" customHeight="1" x14ac:dyDescent="0.15">
      <c r="A41" s="260" t="s">
        <v>5883</v>
      </c>
      <c r="B41" s="345"/>
      <c r="C41" s="26" t="s">
        <v>7</v>
      </c>
      <c r="D41" s="7"/>
      <c r="E41" s="7"/>
      <c r="F41" s="7"/>
      <c r="G41" s="7"/>
      <c r="H41" s="7"/>
      <c r="I41" s="57"/>
    </row>
    <row r="42" spans="1:9" ht="21" customHeight="1" outlineLevel="2" x14ac:dyDescent="0.15">
      <c r="A42" s="260" t="s">
        <v>5884</v>
      </c>
      <c r="B42" s="345"/>
      <c r="C42" s="26" t="s">
        <v>12</v>
      </c>
      <c r="D42" s="247"/>
      <c r="E42" s="247"/>
      <c r="F42" s="247"/>
      <c r="G42" s="247"/>
      <c r="H42" s="247"/>
      <c r="I42" s="248"/>
    </row>
    <row r="43" spans="1:9" ht="21" customHeight="1" outlineLevel="2" x14ac:dyDescent="0.15">
      <c r="A43" s="260" t="s">
        <v>5885</v>
      </c>
      <c r="B43" s="345"/>
      <c r="C43" s="43" t="s">
        <v>11</v>
      </c>
      <c r="D43" s="44"/>
      <c r="E43" s="44"/>
      <c r="F43" s="44"/>
      <c r="G43" s="44"/>
      <c r="H43" s="44"/>
      <c r="I43" s="60"/>
    </row>
    <row r="44" spans="1:9" ht="21" customHeight="1" outlineLevel="2" thickBot="1" x14ac:dyDescent="0.2">
      <c r="A44" s="260" t="s">
        <v>2754</v>
      </c>
      <c r="B44" s="346"/>
      <c r="C44" s="65" t="s">
        <v>4</v>
      </c>
      <c r="D44" s="48">
        <f>SUM(D40:D43)</f>
        <v>0</v>
      </c>
      <c r="E44" s="48">
        <f t="shared" ref="E44:I44" si="5">SUM(E40:E43)</f>
        <v>0</v>
      </c>
      <c r="F44" s="48">
        <f t="shared" si="5"/>
        <v>0</v>
      </c>
      <c r="G44" s="48">
        <f t="shared" si="5"/>
        <v>0</v>
      </c>
      <c r="H44" s="48">
        <f t="shared" si="5"/>
        <v>0</v>
      </c>
      <c r="I44" s="58">
        <f t="shared" si="5"/>
        <v>0</v>
      </c>
    </row>
    <row r="45" spans="1:9" ht="30" customHeight="1" outlineLevel="2" thickTop="1" x14ac:dyDescent="0.15">
      <c r="A45" s="260"/>
      <c r="C45" s="158"/>
      <c r="D45" s="198"/>
      <c r="E45" s="198"/>
      <c r="F45" s="198"/>
      <c r="G45" s="198"/>
      <c r="H45" s="198"/>
      <c r="I45" s="198"/>
    </row>
    <row r="46" spans="1:9" ht="30" customHeight="1" outlineLevel="2" thickBot="1" x14ac:dyDescent="0.2">
      <c r="A46" s="260"/>
      <c r="B46" s="347" t="s">
        <v>2258</v>
      </c>
      <c r="C46" s="347"/>
      <c r="D46" s="347"/>
      <c r="E46" s="347"/>
      <c r="F46" s="347"/>
      <c r="G46" s="347"/>
      <c r="H46" s="347"/>
      <c r="I46" s="347"/>
    </row>
    <row r="47" spans="1:9" ht="30" customHeight="1" thickTop="1" thickBot="1" x14ac:dyDescent="0.2">
      <c r="A47" s="260"/>
      <c r="B47" s="4"/>
      <c r="C47" s="159"/>
      <c r="D47" s="74" t="s">
        <v>30</v>
      </c>
      <c r="E47" s="53" t="s">
        <v>37</v>
      </c>
      <c r="F47" s="53" t="s">
        <v>38</v>
      </c>
      <c r="G47" s="53" t="s">
        <v>39</v>
      </c>
      <c r="H47" s="53" t="s">
        <v>40</v>
      </c>
      <c r="I47" s="61" t="s">
        <v>41</v>
      </c>
    </row>
    <row r="48" spans="1:9" ht="54" customHeight="1" thickTop="1" x14ac:dyDescent="0.15">
      <c r="A48" s="260" t="s">
        <v>5886</v>
      </c>
      <c r="B48" s="348" t="s">
        <v>18</v>
      </c>
      <c r="C48" s="349"/>
      <c r="D48" s="251">
        <v>97161</v>
      </c>
      <c r="E48" s="251">
        <v>56358</v>
      </c>
      <c r="F48" s="251">
        <v>105620</v>
      </c>
      <c r="G48" s="251">
        <v>157896</v>
      </c>
      <c r="H48" s="251">
        <v>162229</v>
      </c>
      <c r="I48" s="252">
        <v>58380</v>
      </c>
    </row>
    <row r="49" spans="1:10" ht="50.25" customHeight="1" outlineLevel="1" x14ac:dyDescent="0.15">
      <c r="A49" s="260" t="s">
        <v>5887</v>
      </c>
      <c r="B49" s="342" t="s">
        <v>48</v>
      </c>
      <c r="C49" s="343"/>
      <c r="D49" s="7">
        <v>20000</v>
      </c>
      <c r="E49" s="7">
        <v>20000</v>
      </c>
      <c r="F49" s="7">
        <v>111369</v>
      </c>
      <c r="G49" s="7">
        <v>92313</v>
      </c>
      <c r="H49" s="7">
        <v>129397</v>
      </c>
      <c r="I49" s="57">
        <v>277560</v>
      </c>
    </row>
    <row r="50" spans="1:10" ht="50.25" customHeight="1" outlineLevel="1" x14ac:dyDescent="0.15">
      <c r="A50" s="260" t="s">
        <v>5888</v>
      </c>
      <c r="B50" s="342" t="s">
        <v>43</v>
      </c>
      <c r="C50" s="343"/>
      <c r="D50" s="7">
        <v>24674</v>
      </c>
      <c r="E50" s="7">
        <v>6326</v>
      </c>
      <c r="F50" s="7">
        <v>17964</v>
      </c>
      <c r="G50" s="7">
        <v>101591</v>
      </c>
      <c r="H50" s="7">
        <v>283053</v>
      </c>
      <c r="I50" s="57">
        <v>317079</v>
      </c>
    </row>
    <row r="51" spans="1:10" ht="54" customHeight="1" outlineLevel="1" x14ac:dyDescent="0.15">
      <c r="A51" s="260" t="s">
        <v>5889</v>
      </c>
      <c r="B51" s="342" t="s">
        <v>42</v>
      </c>
      <c r="C51" s="343"/>
      <c r="D51" s="7">
        <v>298731</v>
      </c>
      <c r="E51" s="7">
        <v>146130</v>
      </c>
      <c r="F51" s="7">
        <v>97197</v>
      </c>
      <c r="G51" s="7">
        <v>259258</v>
      </c>
      <c r="H51" s="7">
        <v>161656</v>
      </c>
      <c r="I51" s="57">
        <v>286430</v>
      </c>
    </row>
    <row r="52" spans="1:10" ht="33.75" customHeight="1" outlineLevel="1" thickBot="1" x14ac:dyDescent="0.2">
      <c r="A52" s="260" t="s">
        <v>2755</v>
      </c>
      <c r="B52" s="62" t="s">
        <v>4</v>
      </c>
      <c r="C52" s="245"/>
      <c r="D52" s="48">
        <f>SUM(D48:D51)</f>
        <v>440566</v>
      </c>
      <c r="E52" s="48">
        <f t="shared" ref="E52:I52" si="6">SUM(E48:E51)</f>
        <v>228814</v>
      </c>
      <c r="F52" s="48">
        <f t="shared" si="6"/>
        <v>332150</v>
      </c>
      <c r="G52" s="48">
        <f t="shared" si="6"/>
        <v>611058</v>
      </c>
      <c r="H52" s="48">
        <f t="shared" si="6"/>
        <v>736335</v>
      </c>
      <c r="I52" s="58">
        <f t="shared" si="6"/>
        <v>939449</v>
      </c>
    </row>
    <row r="53" spans="1:10" ht="30" customHeight="1" outlineLevel="1" thickTop="1" x14ac:dyDescent="0.15">
      <c r="A53" s="260"/>
      <c r="B53" s="160"/>
      <c r="C53" s="240"/>
      <c r="D53" s="246"/>
      <c r="E53" s="246"/>
      <c r="F53" s="246"/>
      <c r="G53" s="246"/>
      <c r="H53" s="246"/>
      <c r="I53" s="246"/>
    </row>
    <row r="54" spans="1:10" ht="30" customHeight="1" outlineLevel="1" thickBot="1" x14ac:dyDescent="0.2">
      <c r="A54" s="260"/>
      <c r="B54" s="347" t="s">
        <v>2756</v>
      </c>
      <c r="C54" s="347"/>
      <c r="D54" s="347"/>
      <c r="E54" s="347"/>
      <c r="F54" s="347"/>
      <c r="G54" s="347"/>
      <c r="H54" s="347"/>
      <c r="I54" s="347"/>
    </row>
    <row r="55" spans="1:10" ht="30" customHeight="1" thickTop="1" thickBot="1" x14ac:dyDescent="0.2">
      <c r="A55" s="260"/>
      <c r="B55" s="161"/>
      <c r="C55" s="162"/>
      <c r="D55" s="271">
        <v>2016</v>
      </c>
      <c r="E55" s="272">
        <v>2017</v>
      </c>
      <c r="F55" s="272">
        <v>2018</v>
      </c>
      <c r="G55" s="272">
        <v>2019</v>
      </c>
      <c r="H55" s="272">
        <v>2020</v>
      </c>
      <c r="I55" s="273">
        <v>2021</v>
      </c>
    </row>
    <row r="56" spans="1:10" ht="30.75" customHeight="1" thickTop="1" x14ac:dyDescent="0.15">
      <c r="A56" s="260" t="s">
        <v>5890</v>
      </c>
      <c r="B56" s="261" t="s">
        <v>13</v>
      </c>
      <c r="C56" s="262"/>
      <c r="D56" s="263">
        <f t="shared" ref="D56:I56" si="7">D19+D24+D29+D39+D34+D44</f>
        <v>32558</v>
      </c>
      <c r="E56" s="263">
        <f t="shared" si="7"/>
        <v>32558</v>
      </c>
      <c r="F56" s="263">
        <f t="shared" si="7"/>
        <v>42308</v>
      </c>
      <c r="G56" s="263">
        <f t="shared" si="7"/>
        <v>44660</v>
      </c>
      <c r="H56" s="263">
        <f t="shared" si="7"/>
        <v>44660</v>
      </c>
      <c r="I56" s="264">
        <f t="shared" si="7"/>
        <v>43908</v>
      </c>
    </row>
    <row r="57" spans="1:10" ht="30.75" customHeight="1" x14ac:dyDescent="0.15">
      <c r="A57" s="260" t="s">
        <v>5891</v>
      </c>
      <c r="B57" s="265" t="s">
        <v>14</v>
      </c>
      <c r="C57" s="266"/>
      <c r="D57" s="263">
        <f>D52</f>
        <v>440566</v>
      </c>
      <c r="E57" s="263">
        <f t="shared" ref="E57:I57" si="8">E52</f>
        <v>228814</v>
      </c>
      <c r="F57" s="263">
        <f t="shared" si="8"/>
        <v>332150</v>
      </c>
      <c r="G57" s="263">
        <f t="shared" si="8"/>
        <v>611058</v>
      </c>
      <c r="H57" s="263">
        <f t="shared" si="8"/>
        <v>736335</v>
      </c>
      <c r="I57" s="264">
        <f t="shared" si="8"/>
        <v>939449</v>
      </c>
    </row>
    <row r="58" spans="1:10" ht="30.75" customHeight="1" thickBot="1" x14ac:dyDescent="0.2">
      <c r="A58" s="260" t="s">
        <v>2757</v>
      </c>
      <c r="B58" s="267" t="s">
        <v>5</v>
      </c>
      <c r="C58" s="268"/>
      <c r="D58" s="269">
        <f>SUM(D56:D57)</f>
        <v>473124</v>
      </c>
      <c r="E58" s="269">
        <f t="shared" ref="E58:I58" si="9">SUM(E56:E57)</f>
        <v>261372</v>
      </c>
      <c r="F58" s="269">
        <f t="shared" si="9"/>
        <v>374458</v>
      </c>
      <c r="G58" s="269">
        <f t="shared" si="9"/>
        <v>655718</v>
      </c>
      <c r="H58" s="269">
        <f t="shared" si="9"/>
        <v>780995</v>
      </c>
      <c r="I58" s="270">
        <f t="shared" si="9"/>
        <v>983357</v>
      </c>
    </row>
    <row r="59" spans="1:10" ht="15" thickTop="1" x14ac:dyDescent="0.15">
      <c r="A59" s="260"/>
      <c r="B59" s="4"/>
      <c r="C59" s="4"/>
      <c r="D59" s="4"/>
      <c r="E59" s="4"/>
      <c r="F59" s="4"/>
      <c r="G59" s="4"/>
      <c r="H59" s="4"/>
      <c r="I59" s="4"/>
    </row>
    <row r="60" spans="1:10" x14ac:dyDescent="0.15">
      <c r="A60" s="260"/>
      <c r="B60" s="8"/>
      <c r="C60" s="4"/>
      <c r="D60" s="4"/>
      <c r="E60" s="4"/>
      <c r="F60" s="4"/>
      <c r="G60" s="4"/>
      <c r="H60" s="4"/>
      <c r="I60" s="4"/>
    </row>
    <row r="61" spans="1:10" x14ac:dyDescent="0.15">
      <c r="A61" s="260"/>
      <c r="B61" s="4"/>
      <c r="C61" s="4"/>
      <c r="D61" s="4"/>
      <c r="E61" s="4"/>
      <c r="F61" s="4"/>
      <c r="G61" s="4"/>
      <c r="H61" s="4"/>
      <c r="I61" s="4"/>
    </row>
    <row r="62" spans="1:10" x14ac:dyDescent="0.15">
      <c r="A62" s="260"/>
      <c r="B62" s="4"/>
      <c r="C62" s="4"/>
      <c r="D62" s="4"/>
      <c r="E62" s="4"/>
      <c r="F62" s="4"/>
      <c r="G62" s="4"/>
      <c r="H62" s="4"/>
      <c r="I62" s="4"/>
    </row>
    <row r="63" spans="1:10" ht="30" customHeight="1" outlineLevel="2" thickBot="1" x14ac:dyDescent="0.2">
      <c r="A63" s="260"/>
      <c r="B63" s="347" t="s">
        <v>2531</v>
      </c>
      <c r="C63" s="347"/>
      <c r="D63" s="347"/>
      <c r="E63" s="347"/>
      <c r="F63" s="347"/>
      <c r="G63" s="347"/>
      <c r="H63" s="347"/>
      <c r="I63" s="347"/>
      <c r="J63" s="4"/>
    </row>
    <row r="64" spans="1:10" ht="30" customHeight="1" thickTop="1" thickBot="1" x14ac:dyDescent="0.2">
      <c r="A64" s="260" t="s">
        <v>2758</v>
      </c>
      <c r="B64" s="311" t="s">
        <v>5906</v>
      </c>
      <c r="C64" s="159"/>
      <c r="D64" s="184" t="s">
        <v>30</v>
      </c>
      <c r="E64" s="185" t="s">
        <v>37</v>
      </c>
      <c r="F64" s="185" t="s">
        <v>38</v>
      </c>
      <c r="G64" s="185" t="s">
        <v>39</v>
      </c>
      <c r="H64" s="185" t="s">
        <v>40</v>
      </c>
      <c r="I64" s="186" t="s">
        <v>41</v>
      </c>
    </row>
    <row r="65" spans="1:9" ht="54" customHeight="1" thickTop="1" x14ac:dyDescent="0.15">
      <c r="A65" s="260" t="s">
        <v>5907</v>
      </c>
      <c r="B65" s="348" t="s">
        <v>18</v>
      </c>
      <c r="C65" s="349"/>
      <c r="D65" s="251"/>
      <c r="E65" s="251"/>
      <c r="F65" s="251"/>
      <c r="G65" s="251"/>
      <c r="H65" s="251"/>
      <c r="I65" s="252"/>
    </row>
    <row r="66" spans="1:9" ht="50.25" customHeight="1" outlineLevel="1" x14ac:dyDescent="0.15">
      <c r="A66" s="260" t="s">
        <v>5908</v>
      </c>
      <c r="B66" s="342" t="s">
        <v>48</v>
      </c>
      <c r="C66" s="343"/>
      <c r="D66" s="7"/>
      <c r="E66" s="7"/>
      <c r="F66" s="7"/>
      <c r="G66" s="7"/>
      <c r="H66" s="7"/>
      <c r="I66" s="57"/>
    </row>
    <row r="67" spans="1:9" ht="50.25" customHeight="1" outlineLevel="1" x14ac:dyDescent="0.15">
      <c r="A67" s="260" t="s">
        <v>5909</v>
      </c>
      <c r="B67" s="342" t="s">
        <v>43</v>
      </c>
      <c r="C67" s="343"/>
      <c r="D67" s="7"/>
      <c r="E67" s="7"/>
      <c r="F67" s="7"/>
      <c r="G67" s="7"/>
      <c r="H67" s="7"/>
      <c r="I67" s="57"/>
    </row>
    <row r="68" spans="1:9" ht="54" customHeight="1" outlineLevel="1" x14ac:dyDescent="0.15">
      <c r="A68" s="260" t="s">
        <v>5910</v>
      </c>
      <c r="B68" s="342" t="s">
        <v>42</v>
      </c>
      <c r="C68" s="343"/>
      <c r="D68" s="7"/>
      <c r="E68" s="7"/>
      <c r="F68" s="7"/>
      <c r="G68" s="7"/>
      <c r="H68" s="7"/>
      <c r="I68" s="57"/>
    </row>
    <row r="69" spans="1:9" ht="33.75" customHeight="1" outlineLevel="1" thickBot="1" x14ac:dyDescent="0.2">
      <c r="A69" s="260" t="s">
        <v>5911</v>
      </c>
      <c r="B69" s="62" t="s">
        <v>4</v>
      </c>
      <c r="C69" s="245"/>
      <c r="D69" s="48">
        <f>SUM(D65:D68)</f>
        <v>0</v>
      </c>
      <c r="E69" s="48">
        <f t="shared" ref="E69:I69" si="10">SUM(E65:E68)</f>
        <v>0</v>
      </c>
      <c r="F69" s="48">
        <f t="shared" si="10"/>
        <v>0</v>
      </c>
      <c r="G69" s="48">
        <f t="shared" si="10"/>
        <v>0</v>
      </c>
      <c r="H69" s="48">
        <f t="shared" si="10"/>
        <v>0</v>
      </c>
      <c r="I69" s="58">
        <f t="shared" si="10"/>
        <v>0</v>
      </c>
    </row>
    <row r="70" spans="1:9" ht="15" thickTop="1" x14ac:dyDescent="0.15">
      <c r="A70" s="260"/>
      <c r="B70" s="4"/>
      <c r="C70" s="4"/>
      <c r="D70" s="4"/>
      <c r="E70" s="4"/>
      <c r="F70" s="4"/>
      <c r="G70" s="4"/>
      <c r="H70" s="4"/>
      <c r="I70" s="4"/>
    </row>
    <row r="71" spans="1:9" s="253" customFormat="1" ht="50.25" customHeight="1" outlineLevel="1" x14ac:dyDescent="0.15">
      <c r="A71" s="5"/>
      <c r="B71" s="352"/>
      <c r="C71" s="352"/>
      <c r="D71" s="254"/>
      <c r="E71" s="254"/>
      <c r="F71" s="254"/>
      <c r="G71" s="254"/>
      <c r="H71" s="254"/>
      <c r="I71" s="254"/>
    </row>
    <row r="72" spans="1:9" s="253" customFormat="1" ht="50.25" customHeight="1" outlineLevel="1" x14ac:dyDescent="0.15">
      <c r="A72" s="5"/>
      <c r="B72" s="352"/>
      <c r="C72" s="352"/>
      <c r="D72" s="254"/>
      <c r="E72" s="254"/>
      <c r="F72" s="254"/>
      <c r="G72" s="254"/>
      <c r="H72" s="254"/>
      <c r="I72" s="254"/>
    </row>
    <row r="73" spans="1:9" s="253" customFormat="1" ht="54" customHeight="1" outlineLevel="1" x14ac:dyDescent="0.15">
      <c r="A73" s="5"/>
      <c r="B73" s="352"/>
      <c r="C73" s="352"/>
      <c r="D73" s="254"/>
      <c r="E73" s="254"/>
      <c r="F73" s="254"/>
      <c r="G73" s="254"/>
      <c r="H73" s="254"/>
      <c r="I73" s="254"/>
    </row>
    <row r="74" spans="1:9" s="253" customFormat="1" ht="33.75" customHeight="1" outlineLevel="1" x14ac:dyDescent="0.15">
      <c r="A74" s="5"/>
      <c r="B74" s="160"/>
      <c r="C74" s="240"/>
      <c r="D74" s="255"/>
      <c r="E74" s="255"/>
      <c r="F74" s="255"/>
      <c r="G74" s="255"/>
      <c r="H74" s="255"/>
      <c r="I74" s="255"/>
    </row>
    <row r="75" spans="1:9" s="253" customFormat="1" x14ac:dyDescent="0.15"/>
    <row r="76" spans="1:9" s="253" customFormat="1" x14ac:dyDescent="0.15"/>
    <row r="77" spans="1:9" s="253" customFormat="1" x14ac:dyDescent="0.15"/>
    <row r="78" spans="1:9" s="253" customFormat="1" x14ac:dyDescent="0.15"/>
  </sheetData>
  <sheetProtection algorithmName="SHA-512" hashValue="qc+6RPuEWxPv3Y8DymSGLW1ptq+eNVZrxQmijUeC9tsVZ/JuTp05+g5SF088+VM0hINbXiQJ5kUy5KX9ezzbvA==" saltValue="oxTydQ5m3x9M0q5g988YIg==" spinCount="100000" sheet="1" objects="1" scenarios="1" formatColumns="0" formatRows="0"/>
  <customSheetViews>
    <customSheetView guid="{D5B14F2C-2005-4A46-8CC9-D91764B00F08}" showPageBreaks="1" fitToPage="1" printArea="1" topLeftCell="A19">
      <selection activeCell="C128" sqref="C128:G128"/>
      <pageMargins left="0.19685039370078741" right="0.19685039370078741" top="0.39370078740157483" bottom="0.39370078740157483" header="0.19685039370078741" footer="0.19685039370078741"/>
      <printOptions horizontalCentered="1" verticalCentered="1"/>
      <pageSetup paperSize="8" scale="27" orientation="landscape" r:id="rId1"/>
      <headerFooter>
        <oddHeader>&amp;C&amp;"Batang,Gras"&amp;18DIM&amp;R&amp;"Trebuchet MS,Normal"&amp;8Département d'évaluation de la recherche</oddHeader>
        <oddFooter>&amp;L&amp;"Trebuchet MS Italic,Italique"&amp;8&amp;K000000Vague E : campagne d'évaluation 2018 - 2019
Novembre 2017&amp;C&amp;"Trebuchet MS,Italique"&amp;8&amp;K000000Page &amp;P/&amp;N&amp;R&amp;"Trebuchet MS,Italique"&amp;8&amp;K000000&amp;F
&amp;A</oddFooter>
      </headerFooter>
    </customSheetView>
    <customSheetView guid="{16E30FE5-CA9F-4336-8D1A-21719AC9AE43}" showPageBreaks="1" fitToPage="1" printArea="1" topLeftCell="A19">
      <selection activeCell="C128" sqref="C128:G128"/>
      <pageMargins left="0.19685039370078741" right="0.19685039370078741" top="0.39370078740157483" bottom="0.39370078740157483" header="0.19685039370078741" footer="0.19685039370078741"/>
      <printOptions horizontalCentered="1" verticalCentered="1"/>
      <pageSetup paperSize="8" scale="27" orientation="landscape" r:id="rId2"/>
      <headerFooter>
        <oddHeader>&amp;C&amp;"Batang,Gras"&amp;18DIM&amp;R&amp;"Trebuchet MS,Normal"&amp;8Département d'évaluation de la recherche</oddHeader>
        <oddFooter>&amp;L&amp;"Trebuchet MS Italic,Italique"&amp;8&amp;K000000Vague E : campagne d'évaluation 2018 - 2019
Novembre 2017&amp;C&amp;"Trebuchet MS,Italique"&amp;8&amp;K000000Page &amp;P/&amp;N&amp;R&amp;"Trebuchet MS,Italique"&amp;8&amp;K000000&amp;F
&amp;A</oddFooter>
      </headerFooter>
    </customSheetView>
  </customSheetViews>
  <mergeCells count="22">
    <mergeCell ref="B14:C14"/>
    <mergeCell ref="B72:C72"/>
    <mergeCell ref="B73:C73"/>
    <mergeCell ref="B71:C71"/>
    <mergeCell ref="B13:I13"/>
    <mergeCell ref="B54:I54"/>
    <mergeCell ref="B40:B44"/>
    <mergeCell ref="B49:C49"/>
    <mergeCell ref="B50:C50"/>
    <mergeCell ref="B51:C51"/>
    <mergeCell ref="B46:I46"/>
    <mergeCell ref="B48:C48"/>
    <mergeCell ref="B15:B19"/>
    <mergeCell ref="B20:B24"/>
    <mergeCell ref="B30:B34"/>
    <mergeCell ref="B25:B29"/>
    <mergeCell ref="B68:C68"/>
    <mergeCell ref="B35:B39"/>
    <mergeCell ref="B63:I63"/>
    <mergeCell ref="B65:C65"/>
    <mergeCell ref="B66:C66"/>
    <mergeCell ref="B67:C67"/>
  </mergeCells>
  <phoneticPr fontId="0" type="noConversion"/>
  <dataValidations count="2">
    <dataValidation type="whole" allowBlank="1" showInputMessage="1" showErrorMessage="1" errorTitle="Erreur de saisie" error="Vous devez saisir un montant en K€" sqref="D15:I18 D20:I23 D25:I28 D30:I33 D35:I38 D40:I43 D48:I51 D56:I57 D65:I68 D71:I73" xr:uid="{00000000-0002-0000-0500-000000000000}">
      <formula1>1</formula1>
      <formula2>20000000</formula2>
    </dataValidation>
    <dataValidation type="list" showInputMessage="1" showErrorMessage="1" errorTitle="Erreur de saisie" error="Veuillez sélectionner un établissement ou organisme dans la liste déroulante" sqref="B15:B44" xr:uid="{00000000-0002-0000-0500-000001000000}">
      <formula1>Etablissements_rattachement</formula1>
    </dataValidation>
  </dataValidations>
  <pageMargins left="0.98425196850393704" right="0.59055118110236227" top="0.98425196850393704" bottom="0.78740157480314965" header="0.19685039370078741" footer="0.19685039370078741"/>
  <pageSetup paperSize="8" scale="70" orientation="portrait" r:id="rId3"/>
  <headerFooter>
    <oddHeader>&amp;R&amp;"Trebuchet MS,Italique"&amp;9Département d'évaluation de la recherche</oddHeader>
    <oddFooter>&amp;L&amp;"Trebuchet MS,Italique"&amp;8Vague C : campagne d'évaluation 2022-2023 ; juillet 2021&amp;C&amp;"Trebuchet MS,Italique"&amp;8&amp;K000000Page &amp;P/&amp;N</oddFooter>
  </headerFooter>
  <drawing r:id="rId4"/>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dimension ref="A12:E24"/>
  <sheetViews>
    <sheetView showGridLines="0" zoomScaleNormal="100" workbookViewId="0">
      <selection activeCell="C15" sqref="C15"/>
    </sheetView>
  </sheetViews>
  <sheetFormatPr baseColWidth="10" defaultColWidth="11.5" defaultRowHeight="13" x14ac:dyDescent="0.15"/>
  <cols>
    <col min="1" max="1" width="3.6640625" style="285" customWidth="1"/>
    <col min="2" max="2" width="69" style="285" bestFit="1" customWidth="1"/>
    <col min="3" max="3" width="48" style="285" customWidth="1"/>
    <col min="4" max="4" width="11.5" style="285"/>
    <col min="5" max="5" width="48.5" style="285" customWidth="1"/>
    <col min="6" max="6" width="25.1640625" style="285" customWidth="1"/>
    <col min="7" max="16384" width="11.5" style="285"/>
  </cols>
  <sheetData>
    <row r="12" spans="1:5" ht="18" customHeight="1" x14ac:dyDescent="0.15"/>
    <row r="13" spans="1:5" ht="30" customHeight="1" x14ac:dyDescent="0.15">
      <c r="B13" s="66" t="s">
        <v>17</v>
      </c>
      <c r="C13" s="286"/>
      <c r="D13" s="286"/>
      <c r="E13" s="286"/>
    </row>
    <row r="14" spans="1:5" ht="51" customHeight="1" thickBot="1" x14ac:dyDescent="0.2">
      <c r="A14" s="259" t="s">
        <v>2745</v>
      </c>
      <c r="B14" s="66"/>
      <c r="C14" s="286"/>
      <c r="D14" s="286"/>
      <c r="E14" s="286"/>
    </row>
    <row r="15" spans="1:5" ht="24" customHeight="1" thickTop="1" x14ac:dyDescent="0.15">
      <c r="A15" s="287" t="s">
        <v>5390</v>
      </c>
      <c r="B15" s="288" t="s">
        <v>2259</v>
      </c>
      <c r="C15" s="300" t="s">
        <v>7418</v>
      </c>
    </row>
    <row r="16" spans="1:5" ht="24" customHeight="1" x14ac:dyDescent="0.15">
      <c r="A16" s="287" t="s">
        <v>5391</v>
      </c>
      <c r="B16" s="68" t="s">
        <v>8932</v>
      </c>
      <c r="C16" s="301" t="s">
        <v>56</v>
      </c>
    </row>
    <row r="17" spans="1:3" ht="24" customHeight="1" x14ac:dyDescent="0.15">
      <c r="A17" s="287" t="s">
        <v>5392</v>
      </c>
      <c r="B17" s="289" t="s">
        <v>19</v>
      </c>
      <c r="C17" s="301">
        <v>149</v>
      </c>
    </row>
    <row r="18" spans="1:3" ht="24" customHeight="1" x14ac:dyDescent="0.15">
      <c r="A18" s="287" t="s">
        <v>5393</v>
      </c>
      <c r="B18" s="68" t="s">
        <v>8930</v>
      </c>
      <c r="C18" s="302">
        <f>SUM(C19:C23)</f>
        <v>475</v>
      </c>
    </row>
    <row r="19" spans="1:3" ht="24" customHeight="1" x14ac:dyDescent="0.15">
      <c r="A19" s="287" t="s">
        <v>5394</v>
      </c>
      <c r="B19" s="69" t="s">
        <v>8931</v>
      </c>
      <c r="C19" s="301"/>
    </row>
    <row r="20" spans="1:3" ht="24" customHeight="1" x14ac:dyDescent="0.15">
      <c r="A20" s="287" t="s">
        <v>5395</v>
      </c>
      <c r="B20" s="290" t="s">
        <v>20</v>
      </c>
      <c r="C20" s="301"/>
    </row>
    <row r="21" spans="1:3" ht="24" customHeight="1" x14ac:dyDescent="0.15">
      <c r="A21" s="287" t="s">
        <v>5396</v>
      </c>
      <c r="B21" s="290" t="s">
        <v>21</v>
      </c>
      <c r="C21" s="301">
        <v>475</v>
      </c>
    </row>
    <row r="22" spans="1:3" ht="24" customHeight="1" x14ac:dyDescent="0.15">
      <c r="A22" s="287" t="s">
        <v>5397</v>
      </c>
      <c r="B22" s="290" t="s">
        <v>22</v>
      </c>
      <c r="C22" s="301"/>
    </row>
    <row r="23" spans="1:3" ht="24" customHeight="1" thickBot="1" x14ac:dyDescent="0.2">
      <c r="A23" s="287" t="s">
        <v>5398</v>
      </c>
      <c r="B23" s="291" t="s">
        <v>23</v>
      </c>
      <c r="C23" s="303"/>
    </row>
    <row r="24" spans="1:3" ht="14" thickTop="1" x14ac:dyDescent="0.15"/>
  </sheetData>
  <sheetProtection algorithmName="SHA-512" hashValue="OrW2agcdAeZw3bse3QcYzHPDcfYLmtbSHThtoAx6+ojNOGQFxdG+8Bdfl5HpV/4xw74n3QJeMCwpPIj4d2xiJQ==" saltValue="CYP2HoXJtYSfcyNh7Nac2w==" spinCount="100000" sheet="1" objects="1" scenarios="1" formatColumns="0" formatRows="0"/>
  <dataValidations count="1">
    <dataValidation type="decimal" operator="greaterThan" allowBlank="1" showInputMessage="1" showErrorMessage="1" errorTitle="Erreur de saisie" error="Veuillez saisir une valeur numérique supérieure à zéro" sqref="C19:C23 C17" xr:uid="{00000000-0002-0000-0600-000000000000}">
      <formula1>0</formula1>
    </dataValidation>
  </dataValidations>
  <pageMargins left="0.7" right="0.7" top="0.75" bottom="0.75" header="0.3" footer="0.3"/>
  <pageSetup paperSize="8" orientation="portrait" r:id="rId1"/>
  <headerFooter>
    <oddFooter>&amp;L&amp;"Arial,Italique"Vague C - Campagne d'évaluation 2022-2023 ; juillet 2021</oddFooter>
  </headerFooter>
  <drawing r:id="rId2"/>
  <extLst>
    <ext xmlns:x14="http://schemas.microsoft.com/office/spreadsheetml/2009/9/main" uri="{CCE6A557-97BC-4b89-ADB6-D9C93CAAB3DF}">
      <x14:dataValidations xmlns:xm="http://schemas.microsoft.com/office/excel/2006/main" count="2">
        <x14:dataValidation type="list" operator="equal" allowBlank="1" showInputMessage="1" showErrorMessage="1" xr:uid="{00000000-0002-0000-0600-000001000000}">
          <x14:formula1>
            <xm:f>Nomenclatures!$D$447:$D$448</xm:f>
          </x14:formula1>
          <xm:sqref>C16</xm:sqref>
        </x14:dataValidation>
        <x14:dataValidation type="list" allowBlank="1" showInputMessage="1" showErrorMessage="1" errorTitle="Erreur de saisie" error="Veuillez utiliser le menu déroulant" xr:uid="{00000000-0002-0000-0600-000002000000}">
          <x14:formula1>
            <xm:f>Nomenclatures!$D$444:$D$446</xm:f>
          </x14:formula1>
          <xm:sqref>C15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dimension ref="A1:P2603"/>
  <sheetViews>
    <sheetView topLeftCell="A119" zoomScaleNormal="100" workbookViewId="0">
      <selection activeCell="C121" sqref="C121"/>
    </sheetView>
  </sheetViews>
  <sheetFormatPr baseColWidth="10" defaultColWidth="11.5" defaultRowHeight="14" x14ac:dyDescent="0.15"/>
  <cols>
    <col min="1" max="1" width="13.1640625" style="76" customWidth="1"/>
    <col min="2" max="2" width="75" style="76" customWidth="1"/>
    <col min="3" max="3" width="24.83203125" style="76" customWidth="1"/>
    <col min="4" max="4" width="10" style="76" customWidth="1"/>
    <col min="5" max="5" width="18.5" style="76" customWidth="1"/>
    <col min="6" max="6" width="11.5" style="76"/>
    <col min="7" max="7" width="25.6640625" style="76" customWidth="1"/>
    <col min="8" max="8" width="11.5" style="76"/>
    <col min="9" max="9" width="26.5" style="76" customWidth="1"/>
    <col min="10" max="10" width="11.5" style="76"/>
    <col min="11" max="11" width="15.83203125" style="76" customWidth="1"/>
    <col min="12" max="12" width="15.5" style="76" customWidth="1"/>
    <col min="13" max="16384" width="11.5" style="76"/>
  </cols>
  <sheetData>
    <row r="1" spans="1:16" x14ac:dyDescent="0.15">
      <c r="A1" s="77"/>
      <c r="B1" s="77"/>
      <c r="C1" s="77"/>
      <c r="D1" s="77"/>
      <c r="E1" s="77"/>
      <c r="F1" s="77"/>
      <c r="G1" s="183"/>
      <c r="H1" s="183"/>
      <c r="I1" s="183"/>
      <c r="J1" s="183"/>
      <c r="K1" s="183"/>
      <c r="L1" s="183"/>
      <c r="M1" s="183"/>
      <c r="N1" s="183"/>
      <c r="O1" s="183"/>
      <c r="P1" s="183"/>
    </row>
    <row r="2" spans="1:16" x14ac:dyDescent="0.15">
      <c r="A2" s="77"/>
      <c r="B2" s="77"/>
      <c r="C2" s="77"/>
      <c r="D2" s="77"/>
      <c r="E2" s="77"/>
      <c r="F2" s="77"/>
      <c r="G2" s="183"/>
      <c r="H2" s="183"/>
      <c r="I2" s="183"/>
      <c r="J2" s="183"/>
      <c r="K2" s="183"/>
      <c r="L2" s="183"/>
      <c r="M2" s="183"/>
      <c r="N2" s="183"/>
      <c r="O2" s="183"/>
      <c r="P2" s="183"/>
    </row>
    <row r="3" spans="1:16" ht="21" x14ac:dyDescent="0.15">
      <c r="A3" s="77"/>
      <c r="B3" s="77"/>
      <c r="C3" s="78" t="s">
        <v>73</v>
      </c>
      <c r="D3" s="78"/>
      <c r="E3" s="77"/>
      <c r="F3" s="77"/>
      <c r="G3" s="183"/>
      <c r="H3" s="183"/>
      <c r="I3" s="183"/>
      <c r="J3" s="183"/>
      <c r="K3" s="183"/>
      <c r="L3" s="183"/>
      <c r="M3" s="183"/>
      <c r="N3" s="183"/>
      <c r="O3" s="183"/>
      <c r="P3" s="183"/>
    </row>
    <row r="4" spans="1:16" x14ac:dyDescent="0.15">
      <c r="A4" s="77"/>
      <c r="B4" s="77"/>
      <c r="C4" s="77"/>
      <c r="D4" s="77"/>
      <c r="E4" s="77"/>
      <c r="F4" s="77"/>
      <c r="G4" s="183"/>
      <c r="H4" s="183"/>
      <c r="I4" s="183"/>
      <c r="J4" s="183"/>
      <c r="K4" s="183"/>
      <c r="L4" s="183"/>
      <c r="M4" s="183"/>
      <c r="N4" s="183"/>
      <c r="O4" s="183"/>
      <c r="P4" s="183"/>
    </row>
    <row r="5" spans="1:16" x14ac:dyDescent="0.15">
      <c r="A5" s="77"/>
      <c r="B5" s="77"/>
      <c r="C5" s="77"/>
      <c r="D5" s="77"/>
      <c r="E5" s="77"/>
      <c r="F5" s="77"/>
      <c r="G5" s="183"/>
      <c r="H5" s="183"/>
      <c r="I5" s="183"/>
      <c r="J5" s="183"/>
      <c r="K5" s="183"/>
      <c r="L5" s="183"/>
      <c r="M5" s="183"/>
      <c r="N5" s="183"/>
      <c r="O5" s="183"/>
      <c r="P5" s="183"/>
    </row>
    <row r="6" spans="1:16" x14ac:dyDescent="0.15">
      <c r="A6" s="77"/>
      <c r="B6" s="77"/>
      <c r="C6" s="77"/>
      <c r="D6" s="77"/>
      <c r="E6" s="77"/>
      <c r="F6" s="77"/>
    </row>
    <row r="7" spans="1:16" x14ac:dyDescent="0.15">
      <c r="A7" s="77"/>
      <c r="B7" s="77"/>
      <c r="C7" s="77"/>
      <c r="D7" s="77"/>
      <c r="E7" s="77"/>
      <c r="F7" s="77"/>
    </row>
    <row r="8" spans="1:16" ht="18" x14ac:dyDescent="0.15">
      <c r="A8" s="11" t="s">
        <v>1868</v>
      </c>
      <c r="B8" s="77"/>
      <c r="C8" s="77"/>
      <c r="D8" s="77"/>
      <c r="E8" s="77"/>
      <c r="F8" s="77"/>
    </row>
    <row r="9" spans="1:16" ht="18" x14ac:dyDescent="0.15">
      <c r="A9" s="97" t="s">
        <v>2667</v>
      </c>
      <c r="B9" s="98"/>
      <c r="C9" s="98"/>
      <c r="D9" s="99"/>
      <c r="E9" s="139" t="s">
        <v>2674</v>
      </c>
    </row>
    <row r="10" spans="1:16" ht="18" x14ac:dyDescent="0.15">
      <c r="A10" s="101" t="s">
        <v>2668</v>
      </c>
      <c r="B10" s="102"/>
      <c r="C10" s="102"/>
      <c r="D10" s="103"/>
      <c r="E10" s="140" t="s">
        <v>2675</v>
      </c>
    </row>
    <row r="11" spans="1:16" ht="18" x14ac:dyDescent="0.15">
      <c r="A11" s="132" t="s">
        <v>2669</v>
      </c>
      <c r="B11" s="133"/>
      <c r="C11" s="133"/>
      <c r="D11" s="134"/>
      <c r="E11" s="141" t="s">
        <v>2676</v>
      </c>
    </row>
    <row r="12" spans="1:16" ht="18" x14ac:dyDescent="0.15">
      <c r="A12" s="104" t="s">
        <v>2670</v>
      </c>
      <c r="B12" s="105"/>
      <c r="C12" s="105"/>
      <c r="D12" s="106"/>
      <c r="E12" s="142" t="s">
        <v>2762</v>
      </c>
    </row>
    <row r="13" spans="1:16" ht="18" x14ac:dyDescent="0.15">
      <c r="A13" s="135" t="s">
        <v>2671</v>
      </c>
      <c r="B13" s="136"/>
      <c r="C13" s="136"/>
      <c r="D13" s="137"/>
      <c r="E13" s="143" t="s">
        <v>2763</v>
      </c>
    </row>
    <row r="14" spans="1:16" ht="18" x14ac:dyDescent="0.15">
      <c r="A14" s="81" t="s">
        <v>2672</v>
      </c>
      <c r="B14" s="82"/>
      <c r="C14" s="82"/>
      <c r="D14" s="83"/>
      <c r="E14" s="138" t="s">
        <v>2764</v>
      </c>
    </row>
    <row r="15" spans="1:16" x14ac:dyDescent="0.15">
      <c r="A15" s="77"/>
      <c r="B15" s="77"/>
      <c r="C15" s="77"/>
      <c r="D15" s="77"/>
      <c r="E15" s="77"/>
      <c r="F15" s="77"/>
    </row>
    <row r="16" spans="1:16" x14ac:dyDescent="0.15">
      <c r="A16" s="77"/>
      <c r="B16" s="77"/>
      <c r="C16" s="77"/>
      <c r="D16" s="77"/>
      <c r="E16" s="77"/>
      <c r="F16" s="77"/>
    </row>
    <row r="17" spans="1:5" ht="18" x14ac:dyDescent="0.15">
      <c r="A17" s="97" t="s">
        <v>2667</v>
      </c>
      <c r="B17" s="98"/>
      <c r="C17" s="98"/>
      <c r="D17" s="99" t="s">
        <v>1412</v>
      </c>
      <c r="E17" s="99"/>
    </row>
    <row r="18" spans="1:5" ht="40" customHeight="1" x14ac:dyDescent="0.15">
      <c r="A18" s="98"/>
      <c r="B18" s="95" t="s">
        <v>1589</v>
      </c>
      <c r="C18" s="96" t="s">
        <v>1588</v>
      </c>
      <c r="D18" s="95" t="s">
        <v>1590</v>
      </c>
      <c r="E18" s="95"/>
    </row>
    <row r="19" spans="1:5" x14ac:dyDescent="0.15">
      <c r="A19" s="98"/>
      <c r="B19" s="100" t="s">
        <v>2189</v>
      </c>
      <c r="C19" s="112">
        <v>62</v>
      </c>
      <c r="D19" s="100" t="s">
        <v>1591</v>
      </c>
      <c r="E19" s="147"/>
    </row>
    <row r="20" spans="1:5" x14ac:dyDescent="0.15">
      <c r="A20" s="98"/>
      <c r="B20" s="100" t="s">
        <v>2190</v>
      </c>
      <c r="C20" s="112">
        <v>67</v>
      </c>
      <c r="D20" s="100" t="s">
        <v>1591</v>
      </c>
      <c r="E20" s="147"/>
    </row>
    <row r="21" spans="1:5" x14ac:dyDescent="0.15">
      <c r="A21" s="98"/>
      <c r="B21" s="100" t="s">
        <v>2191</v>
      </c>
      <c r="C21" s="112">
        <v>184</v>
      </c>
      <c r="D21" s="100" t="s">
        <v>1591</v>
      </c>
      <c r="E21" s="147"/>
    </row>
    <row r="22" spans="1:5" x14ac:dyDescent="0.15">
      <c r="A22" s="98"/>
      <c r="B22" s="100" t="s">
        <v>2192</v>
      </c>
      <c r="C22" s="112">
        <v>250</v>
      </c>
      <c r="D22" s="100" t="s">
        <v>1591</v>
      </c>
      <c r="E22" s="147"/>
    </row>
    <row r="23" spans="1:5" x14ac:dyDescent="0.15">
      <c r="A23" s="98"/>
      <c r="B23" s="100" t="s">
        <v>2193</v>
      </c>
      <c r="C23" s="112">
        <v>251</v>
      </c>
      <c r="D23" s="100" t="s">
        <v>1591</v>
      </c>
      <c r="E23" s="147"/>
    </row>
    <row r="24" spans="1:5" x14ac:dyDescent="0.15">
      <c r="A24" s="98"/>
      <c r="B24" s="100" t="s">
        <v>2194</v>
      </c>
      <c r="C24" s="112">
        <v>352</v>
      </c>
      <c r="D24" s="100" t="s">
        <v>1591</v>
      </c>
      <c r="E24" s="147"/>
    </row>
    <row r="25" spans="1:5" x14ac:dyDescent="0.15">
      <c r="A25" s="98"/>
      <c r="B25" s="100" t="s">
        <v>2195</v>
      </c>
      <c r="C25" s="112">
        <v>353</v>
      </c>
      <c r="D25" s="100" t="s">
        <v>1591</v>
      </c>
      <c r="E25" s="147"/>
    </row>
    <row r="26" spans="1:5" x14ac:dyDescent="0.15">
      <c r="A26" s="98"/>
      <c r="B26" s="100" t="s">
        <v>2196</v>
      </c>
      <c r="C26" s="112">
        <v>354</v>
      </c>
      <c r="D26" s="100" t="s">
        <v>1591</v>
      </c>
      <c r="E26" s="147"/>
    </row>
    <row r="27" spans="1:5" x14ac:dyDescent="0.15">
      <c r="A27" s="98"/>
      <c r="B27" s="100" t="s">
        <v>2197</v>
      </c>
      <c r="C27" s="112">
        <v>355</v>
      </c>
      <c r="D27" s="100" t="s">
        <v>1591</v>
      </c>
      <c r="E27" s="147"/>
    </row>
    <row r="28" spans="1:5" x14ac:dyDescent="0.15">
      <c r="A28" s="98"/>
      <c r="B28" s="100" t="s">
        <v>2198</v>
      </c>
      <c r="C28" s="112">
        <v>356</v>
      </c>
      <c r="D28" s="100" t="s">
        <v>1591</v>
      </c>
      <c r="E28" s="147"/>
    </row>
    <row r="29" spans="1:5" x14ac:dyDescent="0.15">
      <c r="A29" s="98"/>
      <c r="B29" s="100" t="s">
        <v>2199</v>
      </c>
      <c r="C29" s="112">
        <v>372</v>
      </c>
      <c r="D29" s="100" t="s">
        <v>1591</v>
      </c>
      <c r="E29" s="147"/>
    </row>
    <row r="30" spans="1:5" x14ac:dyDescent="0.15">
      <c r="A30" s="98"/>
      <c r="B30" s="100" t="s">
        <v>2200</v>
      </c>
      <c r="C30" s="112">
        <v>463</v>
      </c>
      <c r="D30" s="100" t="s">
        <v>1591</v>
      </c>
      <c r="E30" s="147"/>
    </row>
    <row r="31" spans="1:5" x14ac:dyDescent="0.15">
      <c r="A31" s="98"/>
      <c r="B31" s="100" t="s">
        <v>2201</v>
      </c>
      <c r="C31" s="112">
        <v>536</v>
      </c>
      <c r="D31" s="100" t="s">
        <v>1592</v>
      </c>
      <c r="E31" s="147"/>
    </row>
    <row r="32" spans="1:5" x14ac:dyDescent="0.15">
      <c r="A32" s="98"/>
      <c r="B32" s="100" t="s">
        <v>2202</v>
      </c>
      <c r="C32" s="112">
        <v>537</v>
      </c>
      <c r="D32" s="100" t="s">
        <v>1592</v>
      </c>
      <c r="E32" s="147"/>
    </row>
    <row r="33" spans="1:5" x14ac:dyDescent="0.15">
      <c r="A33" s="98"/>
      <c r="B33" s="100" t="s">
        <v>2203</v>
      </c>
      <c r="C33" s="112">
        <v>37</v>
      </c>
      <c r="D33" s="100" t="s">
        <v>1593</v>
      </c>
      <c r="E33" s="147"/>
    </row>
    <row r="34" spans="1:5" x14ac:dyDescent="0.15">
      <c r="A34" s="98"/>
      <c r="B34" s="100" t="s">
        <v>2204</v>
      </c>
      <c r="C34" s="112">
        <v>533</v>
      </c>
      <c r="D34" s="100" t="s">
        <v>1593</v>
      </c>
      <c r="E34" s="147"/>
    </row>
    <row r="35" spans="1:5" x14ac:dyDescent="0.15">
      <c r="A35" s="98"/>
      <c r="B35" s="100" t="s">
        <v>2205</v>
      </c>
      <c r="C35" s="112">
        <v>554</v>
      </c>
      <c r="D35" s="100" t="s">
        <v>1593</v>
      </c>
      <c r="E35" s="147"/>
    </row>
    <row r="36" spans="1:5" x14ac:dyDescent="0.15">
      <c r="A36" s="98"/>
      <c r="B36" s="100" t="s">
        <v>2206</v>
      </c>
      <c r="C36" s="112">
        <v>592</v>
      </c>
      <c r="D36" s="100" t="s">
        <v>1593</v>
      </c>
      <c r="E36" s="147"/>
    </row>
    <row r="37" spans="1:5" x14ac:dyDescent="0.15">
      <c r="A37" s="98"/>
      <c r="B37" s="100" t="s">
        <v>2207</v>
      </c>
      <c r="C37" s="112">
        <v>593</v>
      </c>
      <c r="D37" s="100" t="s">
        <v>1593</v>
      </c>
      <c r="E37" s="147"/>
    </row>
    <row r="38" spans="1:5" x14ac:dyDescent="0.15">
      <c r="A38" s="98"/>
      <c r="B38" s="100" t="s">
        <v>2208</v>
      </c>
      <c r="C38" s="112">
        <v>594</v>
      </c>
      <c r="D38" s="100" t="s">
        <v>1593</v>
      </c>
      <c r="E38" s="147"/>
    </row>
    <row r="39" spans="1:5" x14ac:dyDescent="0.15">
      <c r="A39" s="98"/>
      <c r="B39" s="100" t="s">
        <v>2209</v>
      </c>
      <c r="C39" s="112">
        <v>581</v>
      </c>
      <c r="D39" s="100" t="s">
        <v>1594</v>
      </c>
      <c r="E39" s="147"/>
    </row>
    <row r="40" spans="1:5" x14ac:dyDescent="0.15">
      <c r="A40" s="98"/>
      <c r="B40" s="100" t="s">
        <v>2210</v>
      </c>
      <c r="C40" s="112">
        <v>551</v>
      </c>
      <c r="D40" s="100" t="s">
        <v>1595</v>
      </c>
      <c r="E40" s="147"/>
    </row>
    <row r="41" spans="1:5" x14ac:dyDescent="0.15">
      <c r="A41" s="98"/>
      <c r="B41" s="100" t="s">
        <v>2211</v>
      </c>
      <c r="C41" s="112">
        <v>84</v>
      </c>
      <c r="D41" s="100" t="s">
        <v>1596</v>
      </c>
      <c r="E41" s="147"/>
    </row>
    <row r="42" spans="1:5" x14ac:dyDescent="0.15">
      <c r="A42" s="98"/>
      <c r="B42" s="100" t="s">
        <v>2212</v>
      </c>
      <c r="C42" s="112">
        <v>85</v>
      </c>
      <c r="D42" s="100" t="s">
        <v>1596</v>
      </c>
      <c r="E42" s="147"/>
    </row>
    <row r="43" spans="1:5" x14ac:dyDescent="0.15">
      <c r="A43" s="98"/>
      <c r="B43" s="100" t="s">
        <v>2213</v>
      </c>
      <c r="C43" s="112">
        <v>86</v>
      </c>
      <c r="D43" s="100" t="s">
        <v>1596</v>
      </c>
      <c r="E43" s="147"/>
    </row>
    <row r="44" spans="1:5" x14ac:dyDescent="0.15">
      <c r="A44" s="98"/>
      <c r="B44" s="100" t="s">
        <v>2214</v>
      </c>
      <c r="C44" s="112">
        <v>364</v>
      </c>
      <c r="D44" s="100" t="s">
        <v>1596</v>
      </c>
      <c r="E44" s="147"/>
    </row>
    <row r="45" spans="1:5" x14ac:dyDescent="0.15">
      <c r="A45" s="98"/>
      <c r="B45" s="100" t="s">
        <v>2215</v>
      </c>
      <c r="C45" s="112">
        <v>513</v>
      </c>
      <c r="D45" s="100" t="s">
        <v>1596</v>
      </c>
      <c r="E45" s="147"/>
    </row>
    <row r="46" spans="1:5" x14ac:dyDescent="0.15">
      <c r="A46" s="98"/>
      <c r="B46" s="100" t="s">
        <v>2216</v>
      </c>
      <c r="C46" s="112">
        <v>377</v>
      </c>
      <c r="D46" s="100" t="s">
        <v>1597</v>
      </c>
      <c r="E46" s="147"/>
    </row>
    <row r="47" spans="1:5" x14ac:dyDescent="0.15">
      <c r="A47" s="98"/>
      <c r="B47" s="100" t="s">
        <v>2217</v>
      </c>
      <c r="C47" s="112">
        <v>469</v>
      </c>
      <c r="D47" s="100" t="s">
        <v>1598</v>
      </c>
      <c r="E47" s="147"/>
    </row>
    <row r="48" spans="1:5" x14ac:dyDescent="0.15">
      <c r="A48" s="98"/>
      <c r="B48" s="100" t="s">
        <v>2218</v>
      </c>
      <c r="C48" s="112">
        <v>79</v>
      </c>
      <c r="D48" s="100" t="s">
        <v>1599</v>
      </c>
      <c r="E48" s="147"/>
    </row>
    <row r="49" spans="1:5" x14ac:dyDescent="0.15">
      <c r="A49" s="98"/>
      <c r="B49" s="100" t="s">
        <v>2219</v>
      </c>
      <c r="C49" s="112">
        <v>78</v>
      </c>
      <c r="D49" s="100" t="s">
        <v>1599</v>
      </c>
      <c r="E49" s="147"/>
    </row>
    <row r="50" spans="1:5" x14ac:dyDescent="0.15">
      <c r="A50" s="98"/>
      <c r="B50" s="100" t="s">
        <v>2220</v>
      </c>
      <c r="C50" s="112">
        <v>411</v>
      </c>
      <c r="D50" s="100" t="s">
        <v>1599</v>
      </c>
      <c r="E50" s="147"/>
    </row>
    <row r="51" spans="1:5" x14ac:dyDescent="0.15">
      <c r="A51" s="98"/>
      <c r="B51" s="100" t="s">
        <v>2221</v>
      </c>
      <c r="C51" s="112">
        <v>266</v>
      </c>
      <c r="D51" s="100" t="s">
        <v>1599</v>
      </c>
      <c r="E51" s="147"/>
    </row>
    <row r="52" spans="1:5" x14ac:dyDescent="0.15">
      <c r="A52" s="98"/>
      <c r="B52" s="100" t="s">
        <v>2222</v>
      </c>
      <c r="C52" s="112">
        <v>607</v>
      </c>
      <c r="D52" s="100" t="s">
        <v>1599</v>
      </c>
      <c r="E52" s="147"/>
    </row>
    <row r="53" spans="1:5" x14ac:dyDescent="0.15">
      <c r="A53" s="98"/>
      <c r="B53" s="100" t="s">
        <v>2223</v>
      </c>
      <c r="C53" s="112">
        <v>606</v>
      </c>
      <c r="D53" s="100" t="s">
        <v>1599</v>
      </c>
      <c r="E53" s="147"/>
    </row>
    <row r="54" spans="1:5" x14ac:dyDescent="0.15">
      <c r="A54" s="98"/>
      <c r="B54" s="100" t="s">
        <v>2224</v>
      </c>
      <c r="C54" s="112">
        <v>77</v>
      </c>
      <c r="D54" s="100" t="s">
        <v>1599</v>
      </c>
      <c r="E54" s="147"/>
    </row>
    <row r="55" spans="1:5" x14ac:dyDescent="0.15">
      <c r="A55" s="98"/>
      <c r="B55" s="100" t="s">
        <v>2225</v>
      </c>
      <c r="C55" s="112">
        <v>608</v>
      </c>
      <c r="D55" s="100" t="s">
        <v>1599</v>
      </c>
      <c r="E55" s="147"/>
    </row>
    <row r="56" spans="1:5" x14ac:dyDescent="0.15">
      <c r="A56" s="98"/>
      <c r="B56" s="100" t="s">
        <v>2226</v>
      </c>
      <c r="C56" s="112">
        <v>555</v>
      </c>
      <c r="D56" s="100" t="s">
        <v>1600</v>
      </c>
      <c r="E56" s="147"/>
    </row>
    <row r="57" spans="1:5" x14ac:dyDescent="0.15">
      <c r="A57" s="98"/>
      <c r="B57" s="100" t="s">
        <v>2227</v>
      </c>
      <c r="C57" s="112">
        <v>619</v>
      </c>
      <c r="D57" s="100" t="s">
        <v>1600</v>
      </c>
      <c r="E57" s="147"/>
    </row>
    <row r="58" spans="1:5" x14ac:dyDescent="0.15">
      <c r="A58" s="98"/>
      <c r="B58" s="100" t="s">
        <v>2228</v>
      </c>
      <c r="C58" s="112">
        <v>620</v>
      </c>
      <c r="D58" s="100" t="s">
        <v>1600</v>
      </c>
      <c r="E58" s="147"/>
    </row>
    <row r="59" spans="1:5" x14ac:dyDescent="0.15">
      <c r="A59" s="98"/>
      <c r="B59" s="100" t="s">
        <v>2229</v>
      </c>
      <c r="C59" s="112">
        <v>221</v>
      </c>
      <c r="D59" s="100" t="s">
        <v>1601</v>
      </c>
      <c r="E59" s="147"/>
    </row>
    <row r="60" spans="1:5" x14ac:dyDescent="0.15">
      <c r="A60" s="98"/>
      <c r="B60" s="100" t="s">
        <v>2230</v>
      </c>
      <c r="C60" s="112">
        <v>101</v>
      </c>
      <c r="D60" s="100" t="s">
        <v>1601</v>
      </c>
      <c r="E60" s="147"/>
    </row>
    <row r="61" spans="1:5" x14ac:dyDescent="0.15">
      <c r="A61" s="98"/>
      <c r="B61" s="100" t="s">
        <v>2231</v>
      </c>
      <c r="C61" s="112">
        <v>520</v>
      </c>
      <c r="D61" s="100" t="s">
        <v>1601</v>
      </c>
      <c r="E61" s="147"/>
    </row>
    <row r="62" spans="1:5" x14ac:dyDescent="0.15">
      <c r="A62" s="98"/>
      <c r="B62" s="100" t="s">
        <v>2232</v>
      </c>
      <c r="C62" s="112">
        <v>269</v>
      </c>
      <c r="D62" s="100" t="s">
        <v>1601</v>
      </c>
      <c r="E62" s="147"/>
    </row>
    <row r="63" spans="1:5" x14ac:dyDescent="0.15">
      <c r="A63" s="98"/>
      <c r="B63" s="100" t="s">
        <v>2233</v>
      </c>
      <c r="C63" s="112">
        <v>182</v>
      </c>
      <c r="D63" s="100" t="s">
        <v>1601</v>
      </c>
      <c r="E63" s="147"/>
    </row>
    <row r="64" spans="1:5" x14ac:dyDescent="0.15">
      <c r="A64" s="98"/>
      <c r="B64" s="100" t="s">
        <v>2234</v>
      </c>
      <c r="C64" s="112">
        <v>222</v>
      </c>
      <c r="D64" s="100" t="s">
        <v>1601</v>
      </c>
      <c r="E64" s="147"/>
    </row>
    <row r="65" spans="1:12" x14ac:dyDescent="0.15">
      <c r="A65" s="98"/>
      <c r="B65" s="100" t="s">
        <v>2235</v>
      </c>
      <c r="C65" s="112">
        <v>519</v>
      </c>
      <c r="D65" s="100" t="s">
        <v>1601</v>
      </c>
      <c r="E65" s="147"/>
    </row>
    <row r="66" spans="1:12" x14ac:dyDescent="0.15">
      <c r="A66" s="98"/>
      <c r="B66" s="100" t="s">
        <v>2236</v>
      </c>
      <c r="C66" s="112">
        <v>413</v>
      </c>
      <c r="D66" s="100" t="s">
        <v>1601</v>
      </c>
      <c r="E66" s="147"/>
    </row>
    <row r="67" spans="1:12" x14ac:dyDescent="0.15">
      <c r="A67" s="98"/>
      <c r="B67" s="100" t="s">
        <v>2237</v>
      </c>
      <c r="C67" s="112">
        <v>414</v>
      </c>
      <c r="D67" s="100" t="s">
        <v>1601</v>
      </c>
      <c r="E67" s="147"/>
    </row>
    <row r="68" spans="1:12" x14ac:dyDescent="0.15">
      <c r="A68" s="98"/>
      <c r="B68" s="100" t="s">
        <v>2238</v>
      </c>
      <c r="C68" s="112">
        <v>270</v>
      </c>
      <c r="D68" s="100" t="s">
        <v>1601</v>
      </c>
      <c r="E68" s="147"/>
    </row>
    <row r="69" spans="1:12" x14ac:dyDescent="0.15">
      <c r="A69" s="98"/>
      <c r="B69" s="100" t="s">
        <v>2239</v>
      </c>
      <c r="C69" s="112">
        <v>361</v>
      </c>
      <c r="D69" s="100" t="s">
        <v>1602</v>
      </c>
      <c r="E69" s="147"/>
    </row>
    <row r="70" spans="1:12" x14ac:dyDescent="0.15">
      <c r="A70" s="98"/>
      <c r="B70" s="100" t="s">
        <v>2240</v>
      </c>
      <c r="C70" s="112">
        <v>548</v>
      </c>
      <c r="D70" s="100" t="s">
        <v>1603</v>
      </c>
      <c r="E70" s="147"/>
    </row>
    <row r="71" spans="1:12" x14ac:dyDescent="0.15">
      <c r="A71" s="98"/>
      <c r="B71" s="100" t="s">
        <v>2241</v>
      </c>
      <c r="C71" s="112">
        <v>509</v>
      </c>
      <c r="D71" s="100" t="s">
        <v>1603</v>
      </c>
      <c r="E71" s="147"/>
    </row>
    <row r="72" spans="1:12" x14ac:dyDescent="0.15">
      <c r="A72" s="98"/>
      <c r="B72" s="100" t="s">
        <v>2242</v>
      </c>
      <c r="C72" s="112">
        <v>617</v>
      </c>
      <c r="D72" s="100" t="s">
        <v>1604</v>
      </c>
      <c r="E72" s="147"/>
    </row>
    <row r="73" spans="1:12" x14ac:dyDescent="0.15">
      <c r="A73" s="98"/>
      <c r="B73" s="100" t="s">
        <v>2243</v>
      </c>
      <c r="C73" s="112">
        <v>549</v>
      </c>
      <c r="D73" s="100" t="s">
        <v>1604</v>
      </c>
      <c r="E73" s="147"/>
    </row>
    <row r="74" spans="1:12" x14ac:dyDescent="0.15">
      <c r="A74" s="98"/>
      <c r="B74" s="100" t="s">
        <v>2244</v>
      </c>
      <c r="C74" s="112">
        <v>552</v>
      </c>
      <c r="D74" s="100" t="s">
        <v>1605</v>
      </c>
      <c r="E74" s="147"/>
    </row>
    <row r="75" spans="1:12" x14ac:dyDescent="0.15">
      <c r="A75" s="98"/>
      <c r="B75" s="100" t="s">
        <v>2245</v>
      </c>
      <c r="C75" s="112">
        <v>616</v>
      </c>
      <c r="D75" s="100" t="s">
        <v>1605</v>
      </c>
      <c r="E75" s="147"/>
    </row>
    <row r="76" spans="1:12" x14ac:dyDescent="0.15">
      <c r="A76" s="98"/>
      <c r="B76" s="100" t="s">
        <v>1606</v>
      </c>
      <c r="C76" s="100"/>
      <c r="D76" s="100"/>
      <c r="E76" s="147"/>
    </row>
    <row r="77" spans="1:12" x14ac:dyDescent="0.15">
      <c r="A77" s="77"/>
      <c r="B77" s="77"/>
      <c r="C77" s="77"/>
      <c r="D77" s="77"/>
    </row>
    <row r="78" spans="1:12" ht="18" x14ac:dyDescent="0.15">
      <c r="A78" s="101" t="s">
        <v>2668</v>
      </c>
      <c r="B78" s="102"/>
      <c r="C78" s="102"/>
      <c r="D78" s="103" t="s">
        <v>1412</v>
      </c>
      <c r="E78" s="102"/>
    </row>
    <row r="79" spans="1:12" x14ac:dyDescent="0.15">
      <c r="A79" s="102"/>
      <c r="B79" s="79" t="s">
        <v>1639</v>
      </c>
      <c r="C79" s="79"/>
      <c r="D79" s="79"/>
      <c r="E79" s="102"/>
    </row>
    <row r="80" spans="1:12" x14ac:dyDescent="0.15">
      <c r="A80" s="102"/>
      <c r="B80" s="145" t="s">
        <v>1640</v>
      </c>
      <c r="C80" s="107" t="s">
        <v>1861</v>
      </c>
      <c r="D80" s="131"/>
      <c r="E80" s="102"/>
      <c r="G80" s="278" t="s">
        <v>1640</v>
      </c>
      <c r="H80" s="278" t="s">
        <v>1642</v>
      </c>
      <c r="I80" s="278" t="s">
        <v>1641</v>
      </c>
      <c r="J80" s="278" t="s">
        <v>1643</v>
      </c>
      <c r="K80" s="278" t="s">
        <v>1644</v>
      </c>
      <c r="L80" s="278" t="s">
        <v>1645</v>
      </c>
    </row>
    <row r="81" spans="1:12" x14ac:dyDescent="0.15">
      <c r="A81" s="102"/>
      <c r="B81" s="145" t="s">
        <v>1642</v>
      </c>
      <c r="C81" s="107" t="s">
        <v>1862</v>
      </c>
      <c r="D81" s="131"/>
      <c r="E81" s="102"/>
      <c r="G81" s="136" t="s">
        <v>1647</v>
      </c>
      <c r="H81" s="136" t="s">
        <v>1675</v>
      </c>
      <c r="I81" s="136" t="s">
        <v>1693</v>
      </c>
      <c r="J81" s="136" t="s">
        <v>1702</v>
      </c>
      <c r="K81" s="136" t="s">
        <v>1721</v>
      </c>
      <c r="L81" s="136" t="s">
        <v>1782</v>
      </c>
    </row>
    <row r="82" spans="1:12" x14ac:dyDescent="0.15">
      <c r="A82" s="102"/>
      <c r="B82" s="145" t="s">
        <v>1641</v>
      </c>
      <c r="C82" s="107" t="s">
        <v>1863</v>
      </c>
      <c r="D82" s="131"/>
      <c r="E82" s="102"/>
      <c r="G82" s="136" t="s">
        <v>1649</v>
      </c>
      <c r="H82" s="136" t="s">
        <v>5832</v>
      </c>
      <c r="I82" s="136" t="s">
        <v>1694</v>
      </c>
      <c r="J82" s="136" t="s">
        <v>1703</v>
      </c>
      <c r="K82" s="136" t="s">
        <v>1723</v>
      </c>
      <c r="L82" s="136" t="s">
        <v>1784</v>
      </c>
    </row>
    <row r="83" spans="1:12" x14ac:dyDescent="0.15">
      <c r="A83" s="102"/>
      <c r="B83" s="145" t="s">
        <v>1643</v>
      </c>
      <c r="C83" s="107" t="s">
        <v>1864</v>
      </c>
      <c r="D83" s="131"/>
      <c r="E83" s="102"/>
      <c r="G83" s="136" t="s">
        <v>1651</v>
      </c>
      <c r="H83" s="136" t="s">
        <v>1677</v>
      </c>
      <c r="I83" s="136" t="s">
        <v>1696</v>
      </c>
      <c r="J83" s="136" t="s">
        <v>1704</v>
      </c>
      <c r="K83" s="136" t="s">
        <v>1725</v>
      </c>
      <c r="L83" s="136" t="s">
        <v>1786</v>
      </c>
    </row>
    <row r="84" spans="1:12" x14ac:dyDescent="0.15">
      <c r="A84" s="102"/>
      <c r="B84" s="145" t="s">
        <v>1644</v>
      </c>
      <c r="C84" s="107" t="s">
        <v>1865</v>
      </c>
      <c r="D84" s="131"/>
      <c r="E84" s="102"/>
      <c r="G84" s="136" t="s">
        <v>1653</v>
      </c>
      <c r="H84" s="136" t="s">
        <v>1679</v>
      </c>
      <c r="I84" s="136" t="s">
        <v>1697</v>
      </c>
      <c r="J84" s="136" t="s">
        <v>1705</v>
      </c>
      <c r="K84" s="136" t="s">
        <v>1727</v>
      </c>
      <c r="L84" s="136" t="s">
        <v>1788</v>
      </c>
    </row>
    <row r="85" spans="1:12" x14ac:dyDescent="0.15">
      <c r="A85" s="102"/>
      <c r="B85" s="145" t="s">
        <v>1645</v>
      </c>
      <c r="C85" s="107" t="s">
        <v>1866</v>
      </c>
      <c r="D85" s="131"/>
      <c r="E85" s="102"/>
      <c r="G85" s="136" t="s">
        <v>1654</v>
      </c>
      <c r="H85" s="136" t="s">
        <v>1681</v>
      </c>
      <c r="I85" s="136" t="s">
        <v>1698</v>
      </c>
      <c r="J85" s="136" t="s">
        <v>1706</v>
      </c>
      <c r="K85" s="136" t="s">
        <v>1729</v>
      </c>
      <c r="L85" s="136" t="s">
        <v>1790</v>
      </c>
    </row>
    <row r="86" spans="1:12" ht="15" thickBot="1" x14ac:dyDescent="0.2">
      <c r="A86" s="102"/>
      <c r="B86" s="79"/>
      <c r="C86" s="113" t="s">
        <v>1646</v>
      </c>
      <c r="D86" s="79"/>
      <c r="E86" s="102"/>
      <c r="G86" s="136" t="s">
        <v>1655</v>
      </c>
      <c r="H86" s="136" t="s">
        <v>1683</v>
      </c>
      <c r="I86" s="136" t="s">
        <v>1700</v>
      </c>
      <c r="J86" s="136" t="s">
        <v>1707</v>
      </c>
      <c r="K86" s="136" t="s">
        <v>1731</v>
      </c>
      <c r="L86" s="136" t="s">
        <v>1792</v>
      </c>
    </row>
    <row r="87" spans="1:12" x14ac:dyDescent="0.15">
      <c r="A87" s="362" t="s">
        <v>1692</v>
      </c>
      <c r="B87" s="364" t="s">
        <v>1659</v>
      </c>
      <c r="C87" s="118" t="s">
        <v>1647</v>
      </c>
      <c r="D87" s="119" t="s">
        <v>1640</v>
      </c>
      <c r="E87" s="120" t="s">
        <v>1648</v>
      </c>
      <c r="G87" s="136" t="s">
        <v>1657</v>
      </c>
      <c r="H87" s="136" t="s">
        <v>1685</v>
      </c>
      <c r="I87" s="136" t="s">
        <v>1701</v>
      </c>
      <c r="J87" s="136" t="s">
        <v>1708</v>
      </c>
      <c r="K87" s="136" t="s">
        <v>1733</v>
      </c>
      <c r="L87" s="136" t="s">
        <v>1794</v>
      </c>
    </row>
    <row r="88" spans="1:12" x14ac:dyDescent="0.15">
      <c r="A88" s="363"/>
      <c r="B88" s="360"/>
      <c r="C88" s="114" t="s">
        <v>1649</v>
      </c>
      <c r="D88" s="107" t="s">
        <v>1640</v>
      </c>
      <c r="E88" s="121" t="s">
        <v>1650</v>
      </c>
      <c r="G88" s="136" t="s">
        <v>1660</v>
      </c>
      <c r="H88" s="136" t="s">
        <v>1687</v>
      </c>
      <c r="K88" s="136" t="s">
        <v>2253</v>
      </c>
      <c r="L88" s="136" t="s">
        <v>1795</v>
      </c>
    </row>
    <row r="89" spans="1:12" x14ac:dyDescent="0.15">
      <c r="A89" s="363"/>
      <c r="B89" s="360"/>
      <c r="C89" s="114" t="s">
        <v>1651</v>
      </c>
      <c r="D89" s="107" t="s">
        <v>1640</v>
      </c>
      <c r="E89" s="121" t="s">
        <v>1652</v>
      </c>
      <c r="G89" s="136" t="s">
        <v>1662</v>
      </c>
      <c r="H89" s="136" t="s">
        <v>1689</v>
      </c>
      <c r="K89" s="136" t="s">
        <v>2254</v>
      </c>
    </row>
    <row r="90" spans="1:12" x14ac:dyDescent="0.15">
      <c r="A90" s="363"/>
      <c r="B90" s="360"/>
      <c r="C90" s="114" t="s">
        <v>1653</v>
      </c>
      <c r="D90" s="107" t="s">
        <v>1640</v>
      </c>
      <c r="E90" s="121" t="s">
        <v>1653</v>
      </c>
      <c r="G90" s="136" t="s">
        <v>1664</v>
      </c>
      <c r="K90" s="136" t="s">
        <v>2255</v>
      </c>
    </row>
    <row r="91" spans="1:12" x14ac:dyDescent="0.15">
      <c r="A91" s="363"/>
      <c r="B91" s="360"/>
      <c r="C91" s="114" t="s">
        <v>1654</v>
      </c>
      <c r="D91" s="107" t="s">
        <v>1640</v>
      </c>
      <c r="E91" s="121" t="s">
        <v>1654</v>
      </c>
      <c r="G91" s="136" t="s">
        <v>1666</v>
      </c>
      <c r="K91" s="136" t="s">
        <v>1738</v>
      </c>
    </row>
    <row r="92" spans="1:12" x14ac:dyDescent="0.15">
      <c r="A92" s="363"/>
      <c r="B92" s="360"/>
      <c r="C92" s="114" t="s">
        <v>1655</v>
      </c>
      <c r="D92" s="107" t="s">
        <v>1640</v>
      </c>
      <c r="E92" s="121" t="s">
        <v>1656</v>
      </c>
      <c r="G92" s="136" t="s">
        <v>1668</v>
      </c>
      <c r="K92" s="136" t="s">
        <v>1740</v>
      </c>
    </row>
    <row r="93" spans="1:12" x14ac:dyDescent="0.15">
      <c r="A93" s="363"/>
      <c r="B93" s="361"/>
      <c r="C93" s="114" t="s">
        <v>1657</v>
      </c>
      <c r="D93" s="107" t="s">
        <v>1640</v>
      </c>
      <c r="E93" s="121" t="s">
        <v>1658</v>
      </c>
      <c r="G93" s="136" t="s">
        <v>1670</v>
      </c>
      <c r="K93" s="136" t="s">
        <v>1742</v>
      </c>
    </row>
    <row r="94" spans="1:12" x14ac:dyDescent="0.15">
      <c r="A94" s="363"/>
      <c r="B94" s="359" t="s">
        <v>1674</v>
      </c>
      <c r="C94" s="114" t="s">
        <v>1660</v>
      </c>
      <c r="D94" s="107" t="s">
        <v>1640</v>
      </c>
      <c r="E94" s="121" t="s">
        <v>1661</v>
      </c>
      <c r="G94" s="136" t="s">
        <v>1672</v>
      </c>
      <c r="K94" s="136" t="s">
        <v>1744</v>
      </c>
    </row>
    <row r="95" spans="1:12" x14ac:dyDescent="0.15">
      <c r="A95" s="363"/>
      <c r="B95" s="360"/>
      <c r="C95" s="114" t="s">
        <v>1662</v>
      </c>
      <c r="D95" s="107" t="s">
        <v>1640</v>
      </c>
      <c r="E95" s="121" t="s">
        <v>1663</v>
      </c>
      <c r="K95" s="136" t="s">
        <v>1746</v>
      </c>
    </row>
    <row r="96" spans="1:12" x14ac:dyDescent="0.15">
      <c r="A96" s="363"/>
      <c r="B96" s="360"/>
      <c r="C96" s="114" t="s">
        <v>1664</v>
      </c>
      <c r="D96" s="107" t="s">
        <v>1640</v>
      </c>
      <c r="E96" s="121" t="s">
        <v>1665</v>
      </c>
      <c r="K96" s="136" t="s">
        <v>1748</v>
      </c>
    </row>
    <row r="97" spans="1:11" x14ac:dyDescent="0.15">
      <c r="A97" s="363"/>
      <c r="B97" s="360"/>
      <c r="C97" s="114" t="s">
        <v>1666</v>
      </c>
      <c r="D97" s="107" t="s">
        <v>1640</v>
      </c>
      <c r="E97" s="121" t="s">
        <v>1667</v>
      </c>
      <c r="K97" s="136" t="s">
        <v>1750</v>
      </c>
    </row>
    <row r="98" spans="1:11" x14ac:dyDescent="0.15">
      <c r="A98" s="363"/>
      <c r="B98" s="360"/>
      <c r="C98" s="114" t="s">
        <v>1668</v>
      </c>
      <c r="D98" s="107" t="s">
        <v>1640</v>
      </c>
      <c r="E98" s="121" t="s">
        <v>1669</v>
      </c>
      <c r="K98" s="136" t="s">
        <v>1752</v>
      </c>
    </row>
    <row r="99" spans="1:11" x14ac:dyDescent="0.15">
      <c r="A99" s="363"/>
      <c r="B99" s="360"/>
      <c r="C99" s="114" t="s">
        <v>1670</v>
      </c>
      <c r="D99" s="107" t="s">
        <v>1640</v>
      </c>
      <c r="E99" s="121" t="s">
        <v>1671</v>
      </c>
      <c r="K99" s="136" t="s">
        <v>1754</v>
      </c>
    </row>
    <row r="100" spans="1:11" x14ac:dyDescent="0.15">
      <c r="A100" s="363"/>
      <c r="B100" s="361"/>
      <c r="C100" s="114" t="s">
        <v>1672</v>
      </c>
      <c r="D100" s="107" t="s">
        <v>1640</v>
      </c>
      <c r="E100" s="121" t="s">
        <v>1673</v>
      </c>
      <c r="K100" s="136" t="s">
        <v>1756</v>
      </c>
    </row>
    <row r="101" spans="1:11" ht="16.5" customHeight="1" x14ac:dyDescent="0.15">
      <c r="A101" s="363"/>
      <c r="B101" s="359" t="s">
        <v>1691</v>
      </c>
      <c r="C101" s="114" t="s">
        <v>1675</v>
      </c>
      <c r="D101" s="107" t="s">
        <v>1642</v>
      </c>
      <c r="E101" s="121" t="s">
        <v>1676</v>
      </c>
      <c r="K101" s="136" t="s">
        <v>1758</v>
      </c>
    </row>
    <row r="102" spans="1:11" ht="16.5" customHeight="1" x14ac:dyDescent="0.15">
      <c r="A102" s="363"/>
      <c r="B102" s="360"/>
      <c r="C102" s="114" t="s">
        <v>5832</v>
      </c>
      <c r="D102" s="107" t="s">
        <v>1642</v>
      </c>
      <c r="E102" s="121" t="s">
        <v>5833</v>
      </c>
      <c r="K102" s="136" t="s">
        <v>1760</v>
      </c>
    </row>
    <row r="103" spans="1:11" x14ac:dyDescent="0.15">
      <c r="A103" s="363"/>
      <c r="B103" s="360"/>
      <c r="C103" s="114" t="s">
        <v>1677</v>
      </c>
      <c r="D103" s="107" t="s">
        <v>1642</v>
      </c>
      <c r="E103" s="121" t="s">
        <v>1678</v>
      </c>
      <c r="K103" s="136" t="s">
        <v>1762</v>
      </c>
    </row>
    <row r="104" spans="1:11" x14ac:dyDescent="0.15">
      <c r="A104" s="363"/>
      <c r="B104" s="360"/>
      <c r="C104" s="114" t="s">
        <v>1679</v>
      </c>
      <c r="D104" s="107" t="s">
        <v>1642</v>
      </c>
      <c r="E104" s="121" t="s">
        <v>1680</v>
      </c>
      <c r="K104" s="136" t="s">
        <v>1764</v>
      </c>
    </row>
    <row r="105" spans="1:11" x14ac:dyDescent="0.15">
      <c r="A105" s="363"/>
      <c r="B105" s="360"/>
      <c r="C105" s="114" t="s">
        <v>1681</v>
      </c>
      <c r="D105" s="107" t="s">
        <v>1642</v>
      </c>
      <c r="E105" s="121" t="s">
        <v>1682</v>
      </c>
      <c r="K105" s="136" t="s">
        <v>1766</v>
      </c>
    </row>
    <row r="106" spans="1:11" x14ac:dyDescent="0.15">
      <c r="A106" s="363"/>
      <c r="B106" s="360"/>
      <c r="C106" s="114" t="s">
        <v>1683</v>
      </c>
      <c r="D106" s="107" t="s">
        <v>1642</v>
      </c>
      <c r="E106" s="121" t="s">
        <v>1684</v>
      </c>
      <c r="K106" s="136" t="s">
        <v>1768</v>
      </c>
    </row>
    <row r="107" spans="1:11" x14ac:dyDescent="0.15">
      <c r="A107" s="363"/>
      <c r="B107" s="360"/>
      <c r="C107" s="114" t="s">
        <v>1685</v>
      </c>
      <c r="D107" s="107" t="s">
        <v>1642</v>
      </c>
      <c r="E107" s="121" t="s">
        <v>1686</v>
      </c>
      <c r="K107" s="136" t="s">
        <v>1770</v>
      </c>
    </row>
    <row r="108" spans="1:11" x14ac:dyDescent="0.15">
      <c r="A108" s="363"/>
      <c r="B108" s="360"/>
      <c r="C108" s="114" t="s">
        <v>1687</v>
      </c>
      <c r="D108" s="107" t="s">
        <v>1642</v>
      </c>
      <c r="E108" s="121" t="s">
        <v>1688</v>
      </c>
      <c r="K108" s="136" t="s">
        <v>1772</v>
      </c>
    </row>
    <row r="109" spans="1:11" ht="15" thickBot="1" x14ac:dyDescent="0.2">
      <c r="A109" s="365"/>
      <c r="B109" s="366"/>
      <c r="C109" s="122" t="s">
        <v>1689</v>
      </c>
      <c r="D109" s="123" t="s">
        <v>1642</v>
      </c>
      <c r="E109" s="124" t="s">
        <v>1690</v>
      </c>
      <c r="K109" s="136" t="s">
        <v>1774</v>
      </c>
    </row>
    <row r="110" spans="1:11" ht="16.5" customHeight="1" x14ac:dyDescent="0.15">
      <c r="A110" s="362" t="s">
        <v>1720</v>
      </c>
      <c r="B110" s="364" t="s">
        <v>2250</v>
      </c>
      <c r="C110" s="118" t="s">
        <v>1693</v>
      </c>
      <c r="D110" s="119" t="s">
        <v>1641</v>
      </c>
      <c r="E110" s="120" t="s">
        <v>2251</v>
      </c>
      <c r="K110" s="136" t="s">
        <v>1776</v>
      </c>
    </row>
    <row r="111" spans="1:11" x14ac:dyDescent="0.15">
      <c r="A111" s="363"/>
      <c r="B111" s="361"/>
      <c r="C111" s="114" t="s">
        <v>1694</v>
      </c>
      <c r="D111" s="107" t="s">
        <v>1641</v>
      </c>
      <c r="E111" s="121" t="s">
        <v>2252</v>
      </c>
      <c r="K111" s="136" t="s">
        <v>1778</v>
      </c>
    </row>
    <row r="112" spans="1:11" x14ac:dyDescent="0.15">
      <c r="A112" s="363"/>
      <c r="B112" s="359" t="s">
        <v>1695</v>
      </c>
      <c r="C112" s="114" t="s">
        <v>1696</v>
      </c>
      <c r="D112" s="107" t="s">
        <v>1641</v>
      </c>
      <c r="E112" s="367" t="s">
        <v>1699</v>
      </c>
      <c r="K112" s="136" t="s">
        <v>1780</v>
      </c>
    </row>
    <row r="113" spans="1:5" x14ac:dyDescent="0.15">
      <c r="A113" s="363"/>
      <c r="B113" s="360"/>
      <c r="C113" s="114" t="s">
        <v>1697</v>
      </c>
      <c r="D113" s="107" t="s">
        <v>1641</v>
      </c>
      <c r="E113" s="368"/>
    </row>
    <row r="114" spans="1:5" ht="16.5" customHeight="1" x14ac:dyDescent="0.15">
      <c r="A114" s="363"/>
      <c r="B114" s="361"/>
      <c r="C114" s="114" t="s">
        <v>1698</v>
      </c>
      <c r="D114" s="107" t="s">
        <v>1641</v>
      </c>
      <c r="E114" s="369"/>
    </row>
    <row r="115" spans="1:5" x14ac:dyDescent="0.15">
      <c r="A115" s="363"/>
      <c r="B115" s="359" t="s">
        <v>1709</v>
      </c>
      <c r="C115" s="114" t="s">
        <v>1700</v>
      </c>
      <c r="D115" s="107" t="s">
        <v>1641</v>
      </c>
      <c r="E115" s="121" t="s">
        <v>1710</v>
      </c>
    </row>
    <row r="116" spans="1:5" x14ac:dyDescent="0.15">
      <c r="A116" s="363"/>
      <c r="B116" s="361"/>
      <c r="C116" s="114" t="s">
        <v>1701</v>
      </c>
      <c r="D116" s="107" t="s">
        <v>1641</v>
      </c>
      <c r="E116" s="121" t="s">
        <v>1711</v>
      </c>
    </row>
    <row r="117" spans="1:5" x14ac:dyDescent="0.15">
      <c r="A117" s="363"/>
      <c r="B117" s="359" t="s">
        <v>1719</v>
      </c>
      <c r="C117" s="114" t="s">
        <v>1702</v>
      </c>
      <c r="D117" s="107" t="s">
        <v>1643</v>
      </c>
      <c r="E117" s="121" t="s">
        <v>1712</v>
      </c>
    </row>
    <row r="118" spans="1:5" x14ac:dyDescent="0.15">
      <c r="A118" s="363"/>
      <c r="B118" s="360"/>
      <c r="C118" s="114" t="s">
        <v>1703</v>
      </c>
      <c r="D118" s="107" t="s">
        <v>1643</v>
      </c>
      <c r="E118" s="121" t="s">
        <v>1713</v>
      </c>
    </row>
    <row r="119" spans="1:5" x14ac:dyDescent="0.15">
      <c r="A119" s="363"/>
      <c r="B119" s="360"/>
      <c r="C119" s="114" t="s">
        <v>1704</v>
      </c>
      <c r="D119" s="107" t="s">
        <v>1643</v>
      </c>
      <c r="E119" s="121" t="s">
        <v>1714</v>
      </c>
    </row>
    <row r="120" spans="1:5" x14ac:dyDescent="0.15">
      <c r="A120" s="363"/>
      <c r="B120" s="360"/>
      <c r="C120" s="114" t="s">
        <v>1705</v>
      </c>
      <c r="D120" s="107" t="s">
        <v>1643</v>
      </c>
      <c r="E120" s="121" t="s">
        <v>1715</v>
      </c>
    </row>
    <row r="121" spans="1:5" x14ac:dyDescent="0.15">
      <c r="A121" s="363"/>
      <c r="B121" s="360"/>
      <c r="C121" s="114" t="s">
        <v>1706</v>
      </c>
      <c r="D121" s="107" t="s">
        <v>1643</v>
      </c>
      <c r="E121" s="121" t="s">
        <v>1716</v>
      </c>
    </row>
    <row r="122" spans="1:5" x14ac:dyDescent="0.15">
      <c r="A122" s="363"/>
      <c r="B122" s="360"/>
      <c r="C122" s="114" t="s">
        <v>1707</v>
      </c>
      <c r="D122" s="107" t="s">
        <v>1643</v>
      </c>
      <c r="E122" s="121" t="s">
        <v>1717</v>
      </c>
    </row>
    <row r="123" spans="1:5" ht="15" thickBot="1" x14ac:dyDescent="0.2">
      <c r="A123" s="365"/>
      <c r="B123" s="366"/>
      <c r="C123" s="122" t="s">
        <v>1708</v>
      </c>
      <c r="D123" s="123" t="s">
        <v>1643</v>
      </c>
      <c r="E123" s="124" t="s">
        <v>1718</v>
      </c>
    </row>
    <row r="124" spans="1:5" ht="16.5" customHeight="1" x14ac:dyDescent="0.15">
      <c r="A124" s="362" t="s">
        <v>1808</v>
      </c>
      <c r="B124" s="364" t="s">
        <v>1799</v>
      </c>
      <c r="C124" s="118" t="s">
        <v>1721</v>
      </c>
      <c r="D124" s="119" t="s">
        <v>1644</v>
      </c>
      <c r="E124" s="120" t="s">
        <v>1722</v>
      </c>
    </row>
    <row r="125" spans="1:5" x14ac:dyDescent="0.15">
      <c r="A125" s="363"/>
      <c r="B125" s="361"/>
      <c r="C125" s="114" t="s">
        <v>1723</v>
      </c>
      <c r="D125" s="107" t="s">
        <v>1644</v>
      </c>
      <c r="E125" s="121" t="s">
        <v>1724</v>
      </c>
    </row>
    <row r="126" spans="1:5" ht="15" x14ac:dyDescent="0.15">
      <c r="A126" s="363"/>
      <c r="B126" s="116" t="s">
        <v>1800</v>
      </c>
      <c r="C126" s="114" t="s">
        <v>1725</v>
      </c>
      <c r="D126" s="107" t="s">
        <v>1644</v>
      </c>
      <c r="E126" s="121" t="s">
        <v>1726</v>
      </c>
    </row>
    <row r="127" spans="1:5" x14ac:dyDescent="0.15">
      <c r="A127" s="363"/>
      <c r="B127" s="359" t="s">
        <v>1801</v>
      </c>
      <c r="C127" s="114" t="s">
        <v>1727</v>
      </c>
      <c r="D127" s="107" t="s">
        <v>1644</v>
      </c>
      <c r="E127" s="121" t="s">
        <v>1728</v>
      </c>
    </row>
    <row r="128" spans="1:5" x14ac:dyDescent="0.15">
      <c r="A128" s="363"/>
      <c r="B128" s="360"/>
      <c r="C128" s="114" t="s">
        <v>1729</v>
      </c>
      <c r="D128" s="107" t="s">
        <v>1644</v>
      </c>
      <c r="E128" s="121" t="s">
        <v>1730</v>
      </c>
    </row>
    <row r="129" spans="1:5" x14ac:dyDescent="0.15">
      <c r="A129" s="363"/>
      <c r="B129" s="360"/>
      <c r="C129" s="114" t="s">
        <v>1731</v>
      </c>
      <c r="D129" s="107" t="s">
        <v>1644</v>
      </c>
      <c r="E129" s="121" t="s">
        <v>1732</v>
      </c>
    </row>
    <row r="130" spans="1:5" x14ac:dyDescent="0.15">
      <c r="A130" s="363"/>
      <c r="B130" s="361"/>
      <c r="C130" s="114" t="s">
        <v>1733</v>
      </c>
      <c r="D130" s="107" t="s">
        <v>1644</v>
      </c>
      <c r="E130" s="121" t="s">
        <v>1734</v>
      </c>
    </row>
    <row r="131" spans="1:5" x14ac:dyDescent="0.15">
      <c r="A131" s="363"/>
      <c r="B131" s="359" t="s">
        <v>1802</v>
      </c>
      <c r="C131" s="114" t="s">
        <v>2253</v>
      </c>
      <c r="D131" s="107" t="s">
        <v>1644</v>
      </c>
      <c r="E131" s="121" t="s">
        <v>1735</v>
      </c>
    </row>
    <row r="132" spans="1:5" x14ac:dyDescent="0.15">
      <c r="A132" s="363"/>
      <c r="B132" s="360"/>
      <c r="C132" s="114" t="s">
        <v>2254</v>
      </c>
      <c r="D132" s="107" t="s">
        <v>1644</v>
      </c>
      <c r="E132" s="121" t="s">
        <v>1736</v>
      </c>
    </row>
    <row r="133" spans="1:5" x14ac:dyDescent="0.15">
      <c r="A133" s="363"/>
      <c r="B133" s="360"/>
      <c r="C133" s="114" t="s">
        <v>2255</v>
      </c>
      <c r="D133" s="107" t="s">
        <v>1644</v>
      </c>
      <c r="E133" s="121" t="s">
        <v>1737</v>
      </c>
    </row>
    <row r="134" spans="1:5" x14ac:dyDescent="0.15">
      <c r="A134" s="363"/>
      <c r="B134" s="360"/>
      <c r="C134" s="114" t="s">
        <v>1738</v>
      </c>
      <c r="D134" s="107" t="s">
        <v>1644</v>
      </c>
      <c r="E134" s="121" t="s">
        <v>1739</v>
      </c>
    </row>
    <row r="135" spans="1:5" x14ac:dyDescent="0.15">
      <c r="A135" s="363"/>
      <c r="B135" s="361"/>
      <c r="C135" s="114" t="s">
        <v>1740</v>
      </c>
      <c r="D135" s="107" t="s">
        <v>1644</v>
      </c>
      <c r="E135" s="121" t="s">
        <v>1741</v>
      </c>
    </row>
    <row r="136" spans="1:5" x14ac:dyDescent="0.15">
      <c r="A136" s="363"/>
      <c r="B136" s="359" t="s">
        <v>1803</v>
      </c>
      <c r="C136" s="114" t="s">
        <v>1742</v>
      </c>
      <c r="D136" s="107" t="s">
        <v>1644</v>
      </c>
      <c r="E136" s="121" t="s">
        <v>1743</v>
      </c>
    </row>
    <row r="137" spans="1:5" x14ac:dyDescent="0.15">
      <c r="A137" s="363"/>
      <c r="B137" s="360"/>
      <c r="C137" s="114" t="s">
        <v>1744</v>
      </c>
      <c r="D137" s="107" t="s">
        <v>1644</v>
      </c>
      <c r="E137" s="121" t="s">
        <v>1745</v>
      </c>
    </row>
    <row r="138" spans="1:5" x14ac:dyDescent="0.15">
      <c r="A138" s="363"/>
      <c r="B138" s="360"/>
      <c r="C138" s="114" t="s">
        <v>1746</v>
      </c>
      <c r="D138" s="107" t="s">
        <v>1644</v>
      </c>
      <c r="E138" s="121" t="s">
        <v>1747</v>
      </c>
    </row>
    <row r="139" spans="1:5" x14ac:dyDescent="0.15">
      <c r="A139" s="363"/>
      <c r="B139" s="361"/>
      <c r="C139" s="114" t="s">
        <v>1748</v>
      </c>
      <c r="D139" s="107" t="s">
        <v>1644</v>
      </c>
      <c r="E139" s="121" t="s">
        <v>1749</v>
      </c>
    </row>
    <row r="140" spans="1:5" x14ac:dyDescent="0.15">
      <c r="A140" s="363"/>
      <c r="B140" s="359" t="s">
        <v>1804</v>
      </c>
      <c r="C140" s="114" t="s">
        <v>1750</v>
      </c>
      <c r="D140" s="107" t="s">
        <v>1644</v>
      </c>
      <c r="E140" s="121" t="s">
        <v>1751</v>
      </c>
    </row>
    <row r="141" spans="1:5" x14ac:dyDescent="0.15">
      <c r="A141" s="363"/>
      <c r="B141" s="361"/>
      <c r="C141" s="114" t="s">
        <v>1752</v>
      </c>
      <c r="D141" s="107" t="s">
        <v>1644</v>
      </c>
      <c r="E141" s="121" t="s">
        <v>1753</v>
      </c>
    </row>
    <row r="142" spans="1:5" x14ac:dyDescent="0.15">
      <c r="A142" s="363"/>
      <c r="B142" s="359" t="s">
        <v>1805</v>
      </c>
      <c r="C142" s="114" t="s">
        <v>1754</v>
      </c>
      <c r="D142" s="107" t="s">
        <v>1644</v>
      </c>
      <c r="E142" s="121" t="s">
        <v>1755</v>
      </c>
    </row>
    <row r="143" spans="1:5" x14ac:dyDescent="0.15">
      <c r="A143" s="363"/>
      <c r="B143" s="360"/>
      <c r="C143" s="114" t="s">
        <v>1756</v>
      </c>
      <c r="D143" s="107" t="s">
        <v>1644</v>
      </c>
      <c r="E143" s="121" t="s">
        <v>1757</v>
      </c>
    </row>
    <row r="144" spans="1:5" x14ac:dyDescent="0.15">
      <c r="A144" s="363"/>
      <c r="B144" s="360"/>
      <c r="C144" s="114" t="s">
        <v>1758</v>
      </c>
      <c r="D144" s="107" t="s">
        <v>1644</v>
      </c>
      <c r="E144" s="121" t="s">
        <v>1759</v>
      </c>
    </row>
    <row r="145" spans="1:5" x14ac:dyDescent="0.15">
      <c r="A145" s="363"/>
      <c r="B145" s="361"/>
      <c r="C145" s="114" t="s">
        <v>1760</v>
      </c>
      <c r="D145" s="107" t="s">
        <v>1644</v>
      </c>
      <c r="E145" s="121" t="s">
        <v>1761</v>
      </c>
    </row>
    <row r="146" spans="1:5" x14ac:dyDescent="0.15">
      <c r="A146" s="363"/>
      <c r="B146" s="359" t="s">
        <v>1806</v>
      </c>
      <c r="C146" s="114" t="s">
        <v>1762</v>
      </c>
      <c r="D146" s="107" t="s">
        <v>1644</v>
      </c>
      <c r="E146" s="121" t="s">
        <v>1763</v>
      </c>
    </row>
    <row r="147" spans="1:5" x14ac:dyDescent="0.15">
      <c r="A147" s="363"/>
      <c r="B147" s="360"/>
      <c r="C147" s="114" t="s">
        <v>1764</v>
      </c>
      <c r="D147" s="107" t="s">
        <v>1644</v>
      </c>
      <c r="E147" s="121" t="s">
        <v>1765</v>
      </c>
    </row>
    <row r="148" spans="1:5" x14ac:dyDescent="0.15">
      <c r="A148" s="363"/>
      <c r="B148" s="360"/>
      <c r="C148" s="114" t="s">
        <v>1766</v>
      </c>
      <c r="D148" s="107" t="s">
        <v>1644</v>
      </c>
      <c r="E148" s="121" t="s">
        <v>1767</v>
      </c>
    </row>
    <row r="149" spans="1:5" x14ac:dyDescent="0.15">
      <c r="A149" s="363"/>
      <c r="B149" s="360"/>
      <c r="C149" s="114" t="s">
        <v>1768</v>
      </c>
      <c r="D149" s="107" t="s">
        <v>1644</v>
      </c>
      <c r="E149" s="121" t="s">
        <v>1769</v>
      </c>
    </row>
    <row r="150" spans="1:5" x14ac:dyDescent="0.15">
      <c r="A150" s="363"/>
      <c r="B150" s="360"/>
      <c r="C150" s="114" t="s">
        <v>1770</v>
      </c>
      <c r="D150" s="107" t="s">
        <v>1644</v>
      </c>
      <c r="E150" s="121" t="s">
        <v>1771</v>
      </c>
    </row>
    <row r="151" spans="1:5" x14ac:dyDescent="0.15">
      <c r="A151" s="363"/>
      <c r="B151" s="360"/>
      <c r="C151" s="114" t="s">
        <v>1772</v>
      </c>
      <c r="D151" s="107" t="s">
        <v>1644</v>
      </c>
      <c r="E151" s="121" t="s">
        <v>1773</v>
      </c>
    </row>
    <row r="152" spans="1:5" x14ac:dyDescent="0.15">
      <c r="A152" s="363"/>
      <c r="B152" s="360"/>
      <c r="C152" s="114" t="s">
        <v>1774</v>
      </c>
      <c r="D152" s="107" t="s">
        <v>1644</v>
      </c>
      <c r="E152" s="121" t="s">
        <v>1775</v>
      </c>
    </row>
    <row r="153" spans="1:5" x14ac:dyDescent="0.15">
      <c r="A153" s="363"/>
      <c r="B153" s="360"/>
      <c r="C153" s="114" t="s">
        <v>1776</v>
      </c>
      <c r="D153" s="107" t="s">
        <v>1644</v>
      </c>
      <c r="E153" s="121" t="s">
        <v>1777</v>
      </c>
    </row>
    <row r="154" spans="1:5" x14ac:dyDescent="0.15">
      <c r="A154" s="363"/>
      <c r="B154" s="360"/>
      <c r="C154" s="114" t="s">
        <v>1778</v>
      </c>
      <c r="D154" s="107" t="s">
        <v>1644</v>
      </c>
      <c r="E154" s="121" t="s">
        <v>1779</v>
      </c>
    </row>
    <row r="155" spans="1:5" x14ac:dyDescent="0.15">
      <c r="A155" s="363"/>
      <c r="B155" s="360"/>
      <c r="C155" s="114" t="s">
        <v>1780</v>
      </c>
      <c r="D155" s="107" t="s">
        <v>1644</v>
      </c>
      <c r="E155" s="121" t="s">
        <v>1781</v>
      </c>
    </row>
    <row r="156" spans="1:5" x14ac:dyDescent="0.15">
      <c r="A156" s="363"/>
      <c r="B156" s="361"/>
      <c r="C156" s="114" t="s">
        <v>1782</v>
      </c>
      <c r="D156" s="107" t="s">
        <v>1645</v>
      </c>
      <c r="E156" s="121" t="s">
        <v>1783</v>
      </c>
    </row>
    <row r="157" spans="1:5" x14ac:dyDescent="0.15">
      <c r="A157" s="363"/>
      <c r="B157" s="359" t="s">
        <v>1807</v>
      </c>
      <c r="C157" s="114" t="s">
        <v>1784</v>
      </c>
      <c r="D157" s="107" t="s">
        <v>1645</v>
      </c>
      <c r="E157" s="121" t="s">
        <v>1785</v>
      </c>
    </row>
    <row r="158" spans="1:5" x14ac:dyDescent="0.15">
      <c r="A158" s="363"/>
      <c r="B158" s="360"/>
      <c r="C158" s="114" t="s">
        <v>1786</v>
      </c>
      <c r="D158" s="107" t="s">
        <v>1645</v>
      </c>
      <c r="E158" s="121" t="s">
        <v>1787</v>
      </c>
    </row>
    <row r="159" spans="1:5" x14ac:dyDescent="0.15">
      <c r="A159" s="363"/>
      <c r="B159" s="360"/>
      <c r="C159" s="114" t="s">
        <v>1788</v>
      </c>
      <c r="D159" s="107" t="s">
        <v>1645</v>
      </c>
      <c r="E159" s="121" t="s">
        <v>1789</v>
      </c>
    </row>
    <row r="160" spans="1:5" x14ac:dyDescent="0.15">
      <c r="A160" s="363"/>
      <c r="B160" s="360"/>
      <c r="C160" s="114" t="s">
        <v>1790</v>
      </c>
      <c r="D160" s="107" t="s">
        <v>1645</v>
      </c>
      <c r="E160" s="121" t="s">
        <v>1791</v>
      </c>
    </row>
    <row r="161" spans="1:5" x14ac:dyDescent="0.15">
      <c r="A161" s="363"/>
      <c r="B161" s="360"/>
      <c r="C161" s="114" t="s">
        <v>1792</v>
      </c>
      <c r="D161" s="107" t="s">
        <v>1645</v>
      </c>
      <c r="E161" s="121" t="s">
        <v>1793</v>
      </c>
    </row>
    <row r="162" spans="1:5" x14ac:dyDescent="0.15">
      <c r="A162" s="363"/>
      <c r="B162" s="360"/>
      <c r="C162" s="114" t="s">
        <v>1794</v>
      </c>
      <c r="D162" s="107" t="s">
        <v>1645</v>
      </c>
      <c r="E162" s="121" t="s">
        <v>1688</v>
      </c>
    </row>
    <row r="163" spans="1:5" ht="15" thickBot="1" x14ac:dyDescent="0.2">
      <c r="A163" s="363"/>
      <c r="B163" s="360"/>
      <c r="C163" s="117" t="s">
        <v>1795</v>
      </c>
      <c r="D163" s="110" t="s">
        <v>1645</v>
      </c>
      <c r="E163" s="125" t="s">
        <v>1796</v>
      </c>
    </row>
    <row r="164" spans="1:5" ht="15" thickBot="1" x14ac:dyDescent="0.2">
      <c r="A164" s="126"/>
      <c r="B164" s="127"/>
      <c r="C164" s="128" t="s">
        <v>1797</v>
      </c>
      <c r="D164" s="129" t="s">
        <v>1643</v>
      </c>
      <c r="E164" s="130" t="s">
        <v>1798</v>
      </c>
    </row>
    <row r="165" spans="1:5" x14ac:dyDescent="0.15">
      <c r="A165" s="131"/>
      <c r="B165" s="79" t="s">
        <v>1809</v>
      </c>
      <c r="C165" s="113"/>
      <c r="D165" s="79"/>
      <c r="E165" s="79"/>
    </row>
    <row r="166" spans="1:5" x14ac:dyDescent="0.15">
      <c r="A166" s="102"/>
      <c r="B166" s="370" t="s">
        <v>1809</v>
      </c>
      <c r="C166" s="111" t="s">
        <v>1810</v>
      </c>
      <c r="D166" s="108" t="s">
        <v>1824</v>
      </c>
      <c r="E166" s="109"/>
    </row>
    <row r="167" spans="1:5" x14ac:dyDescent="0.15">
      <c r="A167" s="102"/>
      <c r="B167" s="370"/>
      <c r="C167" s="107" t="s">
        <v>1811</v>
      </c>
      <c r="D167" s="108" t="s">
        <v>1825</v>
      </c>
      <c r="E167" s="109"/>
    </row>
    <row r="168" spans="1:5" x14ac:dyDescent="0.15">
      <c r="A168" s="102"/>
      <c r="B168" s="370"/>
      <c r="C168" s="107" t="s">
        <v>1812</v>
      </c>
      <c r="D168" s="108" t="s">
        <v>1826</v>
      </c>
      <c r="E168" s="109"/>
    </row>
    <row r="169" spans="1:5" x14ac:dyDescent="0.15">
      <c r="A169" s="102"/>
      <c r="B169" s="370"/>
      <c r="C169" s="107" t="s">
        <v>1813</v>
      </c>
      <c r="D169" s="108" t="s">
        <v>1827</v>
      </c>
      <c r="E169" s="109"/>
    </row>
    <row r="170" spans="1:5" x14ac:dyDescent="0.15">
      <c r="A170" s="102"/>
      <c r="B170" s="370"/>
      <c r="C170" s="107" t="s">
        <v>1814</v>
      </c>
      <c r="D170" s="108" t="s">
        <v>1828</v>
      </c>
      <c r="E170" s="109"/>
    </row>
    <row r="171" spans="1:5" x14ac:dyDescent="0.15">
      <c r="A171" s="102"/>
      <c r="B171" s="370"/>
      <c r="C171" s="107" t="s">
        <v>1815</v>
      </c>
      <c r="D171" s="108" t="s">
        <v>1829</v>
      </c>
      <c r="E171" s="109"/>
    </row>
    <row r="172" spans="1:5" x14ac:dyDescent="0.15">
      <c r="A172" s="102"/>
      <c r="B172" s="370"/>
      <c r="C172" s="107" t="s">
        <v>1816</v>
      </c>
      <c r="D172" s="108" t="s">
        <v>1830</v>
      </c>
      <c r="E172" s="109"/>
    </row>
    <row r="173" spans="1:5" x14ac:dyDescent="0.15">
      <c r="A173" s="102"/>
      <c r="B173" s="370"/>
      <c r="C173" s="107" t="s">
        <v>1817</v>
      </c>
      <c r="D173" s="108" t="s">
        <v>1831</v>
      </c>
      <c r="E173" s="109"/>
    </row>
    <row r="174" spans="1:5" x14ac:dyDescent="0.15">
      <c r="A174" s="102"/>
      <c r="B174" s="370"/>
      <c r="C174" s="107" t="s">
        <v>1818</v>
      </c>
      <c r="D174" s="108" t="s">
        <v>1832</v>
      </c>
      <c r="E174" s="109"/>
    </row>
    <row r="175" spans="1:5" x14ac:dyDescent="0.15">
      <c r="A175" s="102"/>
      <c r="B175" s="370"/>
      <c r="C175" s="107" t="s">
        <v>1819</v>
      </c>
      <c r="D175" s="108" t="s">
        <v>1833</v>
      </c>
      <c r="E175" s="109"/>
    </row>
    <row r="176" spans="1:5" x14ac:dyDescent="0.15">
      <c r="A176" s="102"/>
      <c r="B176" s="370"/>
      <c r="C176" s="107" t="s">
        <v>1820</v>
      </c>
      <c r="D176" s="108" t="s">
        <v>1834</v>
      </c>
      <c r="E176" s="109"/>
    </row>
    <row r="177" spans="1:6" x14ac:dyDescent="0.15">
      <c r="A177" s="102"/>
      <c r="B177" s="370"/>
      <c r="C177" s="107" t="s">
        <v>1821</v>
      </c>
      <c r="D177" s="108" t="s">
        <v>1835</v>
      </c>
      <c r="E177" s="109"/>
    </row>
    <row r="178" spans="1:6" x14ac:dyDescent="0.15">
      <c r="A178" s="102"/>
      <c r="B178" s="370"/>
      <c r="C178" s="107" t="s">
        <v>1822</v>
      </c>
      <c r="D178" s="108" t="s">
        <v>1836</v>
      </c>
      <c r="E178" s="109"/>
    </row>
    <row r="179" spans="1:6" x14ac:dyDescent="0.15">
      <c r="A179" s="102"/>
      <c r="B179" s="371"/>
      <c r="C179" s="107" t="s">
        <v>1823</v>
      </c>
      <c r="D179" s="108" t="s">
        <v>1837</v>
      </c>
      <c r="E179" s="109"/>
    </row>
    <row r="180" spans="1:6" x14ac:dyDescent="0.15">
      <c r="A180" s="102"/>
      <c r="B180" s="79" t="s">
        <v>1855</v>
      </c>
      <c r="C180" s="113"/>
      <c r="D180" s="79"/>
      <c r="E180" s="79"/>
    </row>
    <row r="181" spans="1:6" x14ac:dyDescent="0.15">
      <c r="A181" s="102"/>
      <c r="B181" s="372" t="s">
        <v>1855</v>
      </c>
      <c r="C181" s="107" t="s">
        <v>1838</v>
      </c>
      <c r="D181" s="276"/>
      <c r="E181" s="131"/>
      <c r="F181" s="131"/>
    </row>
    <row r="182" spans="1:6" x14ac:dyDescent="0.15">
      <c r="A182" s="102"/>
      <c r="B182" s="373"/>
      <c r="C182" s="107" t="s">
        <v>1839</v>
      </c>
      <c r="D182" s="276"/>
      <c r="E182" s="131"/>
      <c r="F182" s="131"/>
    </row>
    <row r="183" spans="1:6" x14ac:dyDescent="0.15">
      <c r="A183" s="102"/>
      <c r="B183" s="373"/>
      <c r="C183" s="107" t="s">
        <v>1840</v>
      </c>
      <c r="D183" s="276"/>
      <c r="E183" s="131"/>
      <c r="F183" s="131"/>
    </row>
    <row r="184" spans="1:6" x14ac:dyDescent="0.15">
      <c r="A184" s="102"/>
      <c r="B184" s="373"/>
      <c r="C184" s="107" t="s">
        <v>1841</v>
      </c>
      <c r="D184" s="276"/>
      <c r="E184" s="131"/>
      <c r="F184" s="131"/>
    </row>
    <row r="185" spans="1:6" x14ac:dyDescent="0.15">
      <c r="A185" s="102"/>
      <c r="B185" s="373"/>
      <c r="C185" s="107" t="s">
        <v>1842</v>
      </c>
      <c r="D185" s="276"/>
      <c r="E185" s="131"/>
      <c r="F185" s="131"/>
    </row>
    <row r="186" spans="1:6" x14ac:dyDescent="0.15">
      <c r="A186" s="102"/>
      <c r="B186" s="373"/>
      <c r="C186" s="107" t="s">
        <v>1843</v>
      </c>
      <c r="D186" s="276"/>
      <c r="E186" s="131"/>
      <c r="F186" s="131"/>
    </row>
    <row r="187" spans="1:6" x14ac:dyDescent="0.15">
      <c r="A187" s="102"/>
      <c r="B187" s="373"/>
      <c r="C187" s="107" t="s">
        <v>1844</v>
      </c>
      <c r="D187" s="276"/>
      <c r="E187" s="131"/>
      <c r="F187" s="131"/>
    </row>
    <row r="188" spans="1:6" x14ac:dyDescent="0.15">
      <c r="A188" s="102"/>
      <c r="B188" s="373"/>
      <c r="C188" s="107" t="s">
        <v>1845</v>
      </c>
      <c r="D188" s="276"/>
      <c r="E188" s="131"/>
      <c r="F188" s="131"/>
    </row>
    <row r="189" spans="1:6" x14ac:dyDescent="0.15">
      <c r="A189" s="102"/>
      <c r="B189" s="373"/>
      <c r="C189" s="107" t="s">
        <v>1846</v>
      </c>
      <c r="D189" s="276"/>
      <c r="E189" s="131"/>
      <c r="F189" s="131"/>
    </row>
    <row r="190" spans="1:6" x14ac:dyDescent="0.15">
      <c r="A190" s="102"/>
      <c r="B190" s="373"/>
      <c r="C190" s="107" t="s">
        <v>1847</v>
      </c>
      <c r="D190" s="276"/>
      <c r="E190" s="131"/>
      <c r="F190" s="131"/>
    </row>
    <row r="191" spans="1:6" x14ac:dyDescent="0.15">
      <c r="A191" s="102"/>
      <c r="B191" s="373"/>
      <c r="C191" s="107" t="s">
        <v>1848</v>
      </c>
      <c r="D191" s="276"/>
      <c r="E191" s="131"/>
      <c r="F191" s="131"/>
    </row>
    <row r="192" spans="1:6" x14ac:dyDescent="0.15">
      <c r="A192" s="102"/>
      <c r="B192" s="373"/>
      <c r="C192" s="107" t="s">
        <v>1849</v>
      </c>
      <c r="D192" s="276"/>
      <c r="E192" s="131"/>
      <c r="F192" s="131"/>
    </row>
    <row r="193" spans="1:6" x14ac:dyDescent="0.15">
      <c r="A193" s="102"/>
      <c r="B193" s="373"/>
      <c r="C193" s="107" t="s">
        <v>1850</v>
      </c>
      <c r="D193" s="276"/>
      <c r="E193" s="131"/>
      <c r="F193" s="131"/>
    </row>
    <row r="194" spans="1:6" x14ac:dyDescent="0.15">
      <c r="A194" s="102"/>
      <c r="B194" s="373"/>
      <c r="C194" s="107" t="s">
        <v>1851</v>
      </c>
      <c r="D194" s="276"/>
      <c r="E194" s="131"/>
      <c r="F194" s="131"/>
    </row>
    <row r="195" spans="1:6" x14ac:dyDescent="0.15">
      <c r="A195" s="102"/>
      <c r="B195" s="373"/>
      <c r="C195" s="107" t="s">
        <v>1852</v>
      </c>
      <c r="D195" s="276"/>
      <c r="E195" s="131"/>
      <c r="F195" s="131"/>
    </row>
    <row r="196" spans="1:6" x14ac:dyDescent="0.15">
      <c r="A196" s="102"/>
      <c r="B196" s="373"/>
      <c r="C196" s="107" t="s">
        <v>1853</v>
      </c>
      <c r="D196" s="276"/>
      <c r="E196" s="131"/>
      <c r="F196" s="131"/>
    </row>
    <row r="197" spans="1:6" x14ac:dyDescent="0.15">
      <c r="A197" s="102"/>
      <c r="B197" s="374"/>
      <c r="C197" s="107" t="s">
        <v>1854</v>
      </c>
      <c r="D197" s="276"/>
      <c r="E197" s="131"/>
      <c r="F197" s="131"/>
    </row>
    <row r="198" spans="1:6" x14ac:dyDescent="0.15">
      <c r="A198" s="77"/>
      <c r="B198" s="77"/>
      <c r="C198" s="77"/>
      <c r="D198" s="77"/>
      <c r="E198" s="77"/>
    </row>
    <row r="199" spans="1:6" ht="18" x14ac:dyDescent="0.15">
      <c r="A199" s="132" t="s">
        <v>2673</v>
      </c>
      <c r="B199" s="133"/>
      <c r="C199" s="133"/>
      <c r="D199" s="134" t="s">
        <v>1412</v>
      </c>
      <c r="E199" s="133"/>
    </row>
    <row r="200" spans="1:6" ht="18" x14ac:dyDescent="0.15">
      <c r="A200" s="132"/>
      <c r="B200" s="79" t="s">
        <v>1869</v>
      </c>
      <c r="C200" s="79"/>
      <c r="D200" s="79"/>
      <c r="E200" s="79"/>
    </row>
    <row r="201" spans="1:6" ht="18" x14ac:dyDescent="0.15">
      <c r="A201" s="132"/>
      <c r="B201" s="144" t="s">
        <v>2108</v>
      </c>
      <c r="C201" s="133"/>
      <c r="D201" s="134"/>
      <c r="E201" s="133"/>
    </row>
    <row r="202" spans="1:6" ht="18" x14ac:dyDescent="0.15">
      <c r="A202" s="132"/>
      <c r="B202" s="144" t="s">
        <v>9017</v>
      </c>
      <c r="C202" s="133"/>
      <c r="D202" s="134"/>
      <c r="E202" s="133"/>
    </row>
    <row r="203" spans="1:6" ht="18" x14ac:dyDescent="0.15">
      <c r="A203" s="132"/>
      <c r="B203" s="144" t="s">
        <v>9018</v>
      </c>
      <c r="C203" s="133"/>
      <c r="D203" s="134"/>
      <c r="E203" s="133"/>
    </row>
    <row r="204" spans="1:6" ht="18" x14ac:dyDescent="0.15">
      <c r="A204" s="132"/>
      <c r="B204" s="79" t="s">
        <v>1870</v>
      </c>
      <c r="C204" s="79"/>
      <c r="D204" s="79"/>
      <c r="E204" s="79"/>
    </row>
    <row r="205" spans="1:6" ht="18" x14ac:dyDescent="0.15">
      <c r="A205" s="132"/>
      <c r="B205" s="144" t="s">
        <v>1871</v>
      </c>
      <c r="C205" s="133"/>
      <c r="D205" s="134"/>
      <c r="E205" s="133"/>
    </row>
    <row r="206" spans="1:6" ht="18" x14ac:dyDescent="0.15">
      <c r="A206" s="132"/>
      <c r="B206" s="144" t="s">
        <v>1872</v>
      </c>
      <c r="C206" s="133"/>
      <c r="D206" s="134"/>
      <c r="E206" s="133"/>
    </row>
    <row r="207" spans="1:6" ht="18" x14ac:dyDescent="0.15">
      <c r="A207" s="132"/>
      <c r="B207" s="144" t="s">
        <v>1873</v>
      </c>
      <c r="C207" s="133"/>
      <c r="D207" s="134"/>
      <c r="E207" s="133"/>
    </row>
    <row r="208" spans="1:6" ht="18" x14ac:dyDescent="0.15">
      <c r="A208" s="132"/>
      <c r="B208" s="144" t="s">
        <v>1874</v>
      </c>
      <c r="C208" s="133"/>
      <c r="D208" s="134"/>
      <c r="E208" s="133"/>
    </row>
    <row r="209" spans="1:5" ht="18" x14ac:dyDescent="0.15">
      <c r="A209" s="132"/>
      <c r="B209" s="144" t="s">
        <v>1875</v>
      </c>
      <c r="C209" s="133"/>
      <c r="D209" s="134"/>
      <c r="E209" s="133"/>
    </row>
    <row r="210" spans="1:5" ht="18" x14ac:dyDescent="0.15">
      <c r="A210" s="132"/>
      <c r="B210" s="144" t="s">
        <v>1876</v>
      </c>
      <c r="C210" s="133"/>
      <c r="D210" s="134"/>
      <c r="E210" s="133"/>
    </row>
    <row r="211" spans="1:5" ht="18" x14ac:dyDescent="0.15">
      <c r="A211" s="132"/>
      <c r="B211" s="144" t="s">
        <v>1877</v>
      </c>
      <c r="C211" s="133"/>
      <c r="D211" s="134"/>
      <c r="E211" s="133"/>
    </row>
    <row r="212" spans="1:5" ht="18" x14ac:dyDescent="0.15">
      <c r="A212" s="132"/>
      <c r="B212" s="144" t="s">
        <v>1878</v>
      </c>
      <c r="C212" s="133"/>
      <c r="D212" s="134"/>
      <c r="E212" s="133"/>
    </row>
    <row r="213" spans="1:5" ht="18" x14ac:dyDescent="0.15">
      <c r="A213" s="132"/>
      <c r="B213" s="144" t="s">
        <v>1879</v>
      </c>
      <c r="C213" s="133"/>
      <c r="D213" s="134"/>
      <c r="E213" s="133"/>
    </row>
    <row r="214" spans="1:5" ht="18" x14ac:dyDescent="0.15">
      <c r="A214" s="132"/>
      <c r="B214" s="144" t="s">
        <v>1880</v>
      </c>
      <c r="C214" s="133"/>
      <c r="D214" s="134"/>
      <c r="E214" s="133"/>
    </row>
    <row r="215" spans="1:5" ht="18" x14ac:dyDescent="0.15">
      <c r="A215" s="132"/>
      <c r="B215" s="144" t="s">
        <v>1881</v>
      </c>
      <c r="C215" s="133"/>
      <c r="D215" s="134"/>
      <c r="E215" s="133"/>
    </row>
    <row r="216" spans="1:5" ht="18" x14ac:dyDescent="0.15">
      <c r="A216" s="132"/>
      <c r="B216" s="144" t="s">
        <v>1882</v>
      </c>
      <c r="C216" s="133"/>
      <c r="D216" s="134"/>
      <c r="E216" s="133"/>
    </row>
    <row r="217" spans="1:5" ht="18" x14ac:dyDescent="0.15">
      <c r="A217" s="132"/>
      <c r="B217" s="144" t="s">
        <v>1883</v>
      </c>
      <c r="C217" s="133"/>
      <c r="D217" s="134"/>
      <c r="E217" s="133"/>
    </row>
    <row r="218" spans="1:5" ht="18" x14ac:dyDescent="0.15">
      <c r="A218" s="132"/>
      <c r="B218" s="144" t="s">
        <v>1884</v>
      </c>
      <c r="C218" s="133"/>
      <c r="D218" s="134"/>
      <c r="E218" s="133"/>
    </row>
    <row r="219" spans="1:5" ht="18" x14ac:dyDescent="0.15">
      <c r="A219" s="132"/>
      <c r="B219" s="144" t="s">
        <v>1885</v>
      </c>
      <c r="C219" s="133"/>
      <c r="D219" s="134"/>
      <c r="E219" s="133"/>
    </row>
    <row r="220" spans="1:5" ht="18" x14ac:dyDescent="0.15">
      <c r="A220" s="132"/>
      <c r="B220" s="144" t="s">
        <v>1886</v>
      </c>
      <c r="C220" s="133"/>
      <c r="D220" s="134"/>
      <c r="E220" s="133"/>
    </row>
    <row r="221" spans="1:5" ht="18" x14ac:dyDescent="0.15">
      <c r="A221" s="132"/>
      <c r="B221" s="144" t="s">
        <v>1887</v>
      </c>
      <c r="C221" s="133"/>
      <c r="D221" s="134"/>
      <c r="E221" s="133"/>
    </row>
    <row r="222" spans="1:5" ht="18" x14ac:dyDescent="0.15">
      <c r="A222" s="132"/>
      <c r="B222" s="144" t="s">
        <v>1888</v>
      </c>
      <c r="C222" s="133"/>
      <c r="D222" s="134"/>
      <c r="E222" s="133"/>
    </row>
    <row r="223" spans="1:5" ht="18" x14ac:dyDescent="0.15">
      <c r="A223" s="132"/>
      <c r="B223" s="144" t="s">
        <v>1889</v>
      </c>
      <c r="C223" s="133"/>
      <c r="D223" s="134"/>
      <c r="E223" s="133"/>
    </row>
    <row r="224" spans="1:5" ht="18" x14ac:dyDescent="0.15">
      <c r="A224" s="132"/>
      <c r="B224" s="144" t="s">
        <v>1890</v>
      </c>
      <c r="C224" s="133"/>
      <c r="D224" s="134"/>
      <c r="E224" s="133"/>
    </row>
    <row r="225" spans="1:5" ht="18" x14ac:dyDescent="0.15">
      <c r="A225" s="132"/>
      <c r="B225" s="79" t="s">
        <v>1891</v>
      </c>
      <c r="C225" s="79"/>
      <c r="D225" s="79"/>
      <c r="E225" s="79"/>
    </row>
    <row r="226" spans="1:5" ht="18" x14ac:dyDescent="0.15">
      <c r="A226" s="132"/>
      <c r="B226" s="144" t="s">
        <v>1892</v>
      </c>
      <c r="C226" s="133"/>
      <c r="D226" s="134"/>
      <c r="E226" s="133"/>
    </row>
    <row r="227" spans="1:5" ht="18" x14ac:dyDescent="0.15">
      <c r="A227" s="132"/>
      <c r="B227" s="144" t="s">
        <v>1893</v>
      </c>
      <c r="C227" s="133"/>
      <c r="D227" s="134"/>
      <c r="E227" s="133"/>
    </row>
    <row r="228" spans="1:5" ht="18" x14ac:dyDescent="0.15">
      <c r="A228" s="132"/>
      <c r="B228" s="144" t="s">
        <v>1894</v>
      </c>
      <c r="C228" s="133"/>
      <c r="D228" s="134"/>
      <c r="E228" s="133"/>
    </row>
    <row r="229" spans="1:5" ht="18" x14ac:dyDescent="0.15">
      <c r="A229" s="132"/>
      <c r="B229" s="144" t="s">
        <v>1895</v>
      </c>
      <c r="C229" s="133"/>
      <c r="D229" s="134"/>
      <c r="E229" s="133"/>
    </row>
    <row r="230" spans="1:5" ht="18" x14ac:dyDescent="0.15">
      <c r="A230" s="132"/>
      <c r="B230" s="144" t="s">
        <v>1896</v>
      </c>
      <c r="C230" s="133"/>
      <c r="D230" s="134"/>
      <c r="E230" s="133"/>
    </row>
    <row r="231" spans="1:5" ht="18" x14ac:dyDescent="0.15">
      <c r="A231" s="132"/>
      <c r="B231" s="144" t="s">
        <v>1897</v>
      </c>
      <c r="C231" s="133"/>
      <c r="D231" s="134"/>
      <c r="E231" s="133"/>
    </row>
    <row r="232" spans="1:5" ht="18" x14ac:dyDescent="0.15">
      <c r="A232" s="132"/>
      <c r="B232" s="144" t="s">
        <v>1898</v>
      </c>
      <c r="C232" s="133"/>
      <c r="D232" s="134"/>
      <c r="E232" s="133"/>
    </row>
    <row r="233" spans="1:5" ht="18" x14ac:dyDescent="0.15">
      <c r="A233" s="132"/>
      <c r="B233" s="144" t="s">
        <v>1899</v>
      </c>
      <c r="C233" s="133"/>
      <c r="D233" s="134"/>
      <c r="E233" s="133"/>
    </row>
    <row r="234" spans="1:5" ht="18" x14ac:dyDescent="0.15">
      <c r="A234" s="132"/>
      <c r="B234" s="144" t="s">
        <v>1900</v>
      </c>
      <c r="C234" s="133"/>
      <c r="D234" s="134"/>
      <c r="E234" s="133"/>
    </row>
    <row r="235" spans="1:5" ht="18" x14ac:dyDescent="0.15">
      <c r="A235" s="132"/>
      <c r="B235" s="144" t="s">
        <v>1901</v>
      </c>
      <c r="C235" s="133"/>
      <c r="D235" s="134"/>
      <c r="E235" s="133"/>
    </row>
    <row r="236" spans="1:5" ht="18" x14ac:dyDescent="0.15">
      <c r="A236" s="132"/>
      <c r="B236" s="144" t="s">
        <v>1902</v>
      </c>
      <c r="C236" s="133"/>
      <c r="D236" s="134"/>
      <c r="E236" s="133"/>
    </row>
    <row r="237" spans="1:5" ht="18" x14ac:dyDescent="0.15">
      <c r="A237" s="132"/>
      <c r="B237" s="144" t="s">
        <v>1903</v>
      </c>
      <c r="C237" s="133"/>
      <c r="D237" s="134"/>
      <c r="E237" s="133"/>
    </row>
    <row r="238" spans="1:5" ht="18" x14ac:dyDescent="0.15">
      <c r="A238" s="132"/>
      <c r="B238" s="144" t="s">
        <v>1904</v>
      </c>
      <c r="C238" s="133"/>
      <c r="D238" s="134"/>
      <c r="E238" s="133"/>
    </row>
    <row r="239" spans="1:5" ht="18" x14ac:dyDescent="0.15">
      <c r="A239" s="132"/>
      <c r="B239" s="144" t="s">
        <v>1905</v>
      </c>
      <c r="C239" s="133"/>
      <c r="D239" s="134"/>
      <c r="E239" s="133"/>
    </row>
    <row r="240" spans="1:5" ht="18" x14ac:dyDescent="0.15">
      <c r="A240" s="132"/>
      <c r="B240" s="144" t="s">
        <v>1906</v>
      </c>
      <c r="C240" s="133"/>
      <c r="D240" s="134"/>
      <c r="E240" s="133"/>
    </row>
    <row r="241" spans="1:5" ht="18" x14ac:dyDescent="0.15">
      <c r="A241" s="132"/>
      <c r="B241" s="144" t="s">
        <v>1907</v>
      </c>
      <c r="C241" s="133"/>
      <c r="D241" s="134"/>
      <c r="E241" s="133"/>
    </row>
    <row r="242" spans="1:5" ht="18" x14ac:dyDescent="0.15">
      <c r="A242" s="132"/>
      <c r="B242" s="144" t="s">
        <v>1908</v>
      </c>
      <c r="C242" s="133"/>
      <c r="D242" s="134"/>
      <c r="E242" s="133"/>
    </row>
    <row r="243" spans="1:5" ht="18" x14ac:dyDescent="0.15">
      <c r="A243" s="132"/>
      <c r="B243" s="144" t="s">
        <v>1909</v>
      </c>
      <c r="C243" s="133"/>
      <c r="D243" s="134"/>
      <c r="E243" s="133"/>
    </row>
    <row r="244" spans="1:5" ht="18" x14ac:dyDescent="0.15">
      <c r="A244" s="132"/>
      <c r="B244" s="144" t="s">
        <v>1910</v>
      </c>
      <c r="C244" s="133"/>
      <c r="D244" s="134"/>
      <c r="E244" s="133"/>
    </row>
    <row r="245" spans="1:5" ht="18" x14ac:dyDescent="0.15">
      <c r="A245" s="132"/>
      <c r="B245" s="144" t="s">
        <v>1911</v>
      </c>
      <c r="C245" s="133"/>
      <c r="D245" s="134"/>
      <c r="E245" s="133"/>
    </row>
    <row r="246" spans="1:5" ht="18" x14ac:dyDescent="0.15">
      <c r="A246" s="132"/>
      <c r="B246" s="144" t="s">
        <v>1912</v>
      </c>
      <c r="C246" s="133"/>
      <c r="D246" s="134"/>
      <c r="E246" s="133"/>
    </row>
    <row r="247" spans="1:5" ht="18" x14ac:dyDescent="0.15">
      <c r="A247" s="132"/>
      <c r="B247" s="144" t="s">
        <v>1913</v>
      </c>
      <c r="C247" s="133"/>
      <c r="D247" s="134"/>
      <c r="E247" s="133"/>
    </row>
    <row r="248" spans="1:5" ht="18" x14ac:dyDescent="0.15">
      <c r="A248" s="132"/>
      <c r="B248" s="144" t="s">
        <v>1914</v>
      </c>
      <c r="C248" s="133"/>
      <c r="D248" s="134"/>
      <c r="E248" s="133"/>
    </row>
    <row r="249" spans="1:5" ht="18" x14ac:dyDescent="0.15">
      <c r="A249" s="132"/>
      <c r="B249" s="144" t="s">
        <v>1915</v>
      </c>
      <c r="C249" s="133"/>
      <c r="D249" s="134"/>
      <c r="E249" s="133"/>
    </row>
    <row r="250" spans="1:5" ht="18" x14ac:dyDescent="0.15">
      <c r="A250" s="132"/>
      <c r="B250" s="144" t="s">
        <v>1916</v>
      </c>
      <c r="C250" s="133"/>
      <c r="D250" s="134"/>
      <c r="E250" s="133"/>
    </row>
    <row r="251" spans="1:5" ht="18" x14ac:dyDescent="0.15">
      <c r="A251" s="132"/>
      <c r="B251" s="144" t="s">
        <v>1917</v>
      </c>
      <c r="C251" s="133"/>
      <c r="D251" s="134"/>
      <c r="E251" s="133"/>
    </row>
    <row r="252" spans="1:5" ht="18" x14ac:dyDescent="0.15">
      <c r="A252" s="132"/>
      <c r="B252" s="144" t="s">
        <v>1918</v>
      </c>
      <c r="C252" s="133"/>
      <c r="D252" s="134"/>
      <c r="E252" s="133"/>
    </row>
    <row r="253" spans="1:5" ht="18" x14ac:dyDescent="0.15">
      <c r="A253" s="132"/>
      <c r="B253" s="144" t="s">
        <v>1919</v>
      </c>
      <c r="C253" s="133"/>
      <c r="D253" s="134"/>
      <c r="E253" s="133"/>
    </row>
    <row r="254" spans="1:5" ht="18" x14ac:dyDescent="0.15">
      <c r="A254" s="132"/>
      <c r="B254" s="144" t="s">
        <v>1920</v>
      </c>
      <c r="C254" s="133"/>
      <c r="D254" s="134"/>
      <c r="E254" s="133"/>
    </row>
    <row r="255" spans="1:5" ht="18" x14ac:dyDescent="0.15">
      <c r="A255" s="132"/>
      <c r="B255" s="144" t="s">
        <v>1921</v>
      </c>
      <c r="C255" s="133"/>
      <c r="D255" s="134"/>
      <c r="E255" s="133"/>
    </row>
    <row r="256" spans="1:5" ht="18" x14ac:dyDescent="0.15">
      <c r="A256" s="132"/>
      <c r="B256" s="144" t="s">
        <v>1922</v>
      </c>
      <c r="C256" s="133"/>
      <c r="D256" s="134"/>
      <c r="E256" s="133"/>
    </row>
    <row r="257" spans="1:5" ht="18" x14ac:dyDescent="0.15">
      <c r="A257" s="132"/>
      <c r="B257" s="144" t="s">
        <v>1923</v>
      </c>
      <c r="C257" s="133"/>
      <c r="D257" s="134"/>
      <c r="E257" s="133"/>
    </row>
    <row r="258" spans="1:5" ht="18" x14ac:dyDescent="0.15">
      <c r="A258" s="132"/>
      <c r="B258" s="144" t="s">
        <v>1924</v>
      </c>
      <c r="C258" s="133"/>
      <c r="D258" s="134"/>
      <c r="E258" s="133"/>
    </row>
    <row r="259" spans="1:5" ht="18" x14ac:dyDescent="0.15">
      <c r="A259" s="132"/>
      <c r="B259" s="144" t="s">
        <v>1925</v>
      </c>
      <c r="C259" s="133"/>
      <c r="D259" s="134"/>
      <c r="E259" s="133"/>
    </row>
    <row r="260" spans="1:5" ht="18" x14ac:dyDescent="0.15">
      <c r="A260" s="132"/>
      <c r="B260" s="144" t="s">
        <v>1926</v>
      </c>
      <c r="C260" s="133"/>
      <c r="D260" s="134"/>
      <c r="E260" s="133"/>
    </row>
    <row r="261" spans="1:5" ht="18" x14ac:dyDescent="0.15">
      <c r="A261" s="132"/>
      <c r="B261" s="144" t="s">
        <v>1927</v>
      </c>
      <c r="C261" s="133"/>
      <c r="D261" s="134"/>
      <c r="E261" s="133"/>
    </row>
    <row r="262" spans="1:5" ht="18" x14ac:dyDescent="0.15">
      <c r="A262" s="132"/>
      <c r="B262" s="144" t="s">
        <v>1928</v>
      </c>
      <c r="C262" s="133"/>
      <c r="D262" s="134"/>
      <c r="E262" s="133"/>
    </row>
    <row r="263" spans="1:5" ht="18" x14ac:dyDescent="0.15">
      <c r="A263" s="132"/>
      <c r="B263" s="144" t="s">
        <v>1929</v>
      </c>
      <c r="C263" s="133"/>
      <c r="D263" s="134"/>
      <c r="E263" s="133"/>
    </row>
    <row r="264" spans="1:5" ht="18" x14ac:dyDescent="0.15">
      <c r="A264" s="132"/>
      <c r="B264" s="144" t="s">
        <v>1930</v>
      </c>
      <c r="C264" s="133"/>
      <c r="D264" s="134"/>
      <c r="E264" s="133"/>
    </row>
    <row r="265" spans="1:5" ht="18" x14ac:dyDescent="0.15">
      <c r="A265" s="132"/>
      <c r="B265" s="144" t="s">
        <v>1931</v>
      </c>
      <c r="C265" s="133"/>
      <c r="D265" s="134"/>
      <c r="E265" s="133"/>
    </row>
    <row r="266" spans="1:5" ht="18" x14ac:dyDescent="0.15">
      <c r="A266" s="132"/>
      <c r="B266" s="144" t="s">
        <v>1932</v>
      </c>
      <c r="C266" s="133"/>
      <c r="D266" s="134"/>
      <c r="E266" s="133"/>
    </row>
    <row r="267" spans="1:5" ht="18" x14ac:dyDescent="0.15">
      <c r="A267" s="132"/>
      <c r="B267" s="144" t="s">
        <v>1933</v>
      </c>
      <c r="C267" s="133"/>
      <c r="D267" s="134"/>
      <c r="E267" s="133"/>
    </row>
    <row r="268" spans="1:5" ht="18" x14ac:dyDescent="0.15">
      <c r="A268" s="132"/>
      <c r="B268" s="144" t="s">
        <v>1958</v>
      </c>
      <c r="C268" s="133"/>
      <c r="D268" s="134"/>
      <c r="E268" s="133"/>
    </row>
    <row r="269" spans="1:5" ht="18" x14ac:dyDescent="0.15">
      <c r="A269" s="132"/>
      <c r="B269" s="144" t="s">
        <v>1934</v>
      </c>
      <c r="C269" s="133"/>
      <c r="D269" s="134"/>
      <c r="E269" s="133"/>
    </row>
    <row r="270" spans="1:5" ht="18" x14ac:dyDescent="0.15">
      <c r="A270" s="132"/>
      <c r="B270" s="144" t="s">
        <v>1935</v>
      </c>
      <c r="C270" s="133"/>
      <c r="D270" s="134"/>
      <c r="E270" s="133"/>
    </row>
    <row r="271" spans="1:5" ht="18" x14ac:dyDescent="0.15">
      <c r="A271" s="132"/>
      <c r="B271" s="144" t="s">
        <v>1936</v>
      </c>
      <c r="C271" s="133"/>
      <c r="D271" s="134"/>
      <c r="E271" s="133"/>
    </row>
    <row r="272" spans="1:5" ht="18" x14ac:dyDescent="0.15">
      <c r="A272" s="132"/>
      <c r="B272" s="144" t="s">
        <v>1937</v>
      </c>
      <c r="C272" s="133"/>
      <c r="D272" s="134"/>
      <c r="E272" s="133"/>
    </row>
    <row r="273" spans="1:5" ht="18" x14ac:dyDescent="0.15">
      <c r="A273" s="132"/>
      <c r="B273" s="144" t="s">
        <v>1938</v>
      </c>
      <c r="C273" s="133"/>
      <c r="D273" s="134"/>
      <c r="E273" s="133"/>
    </row>
    <row r="274" spans="1:5" ht="18" x14ac:dyDescent="0.15">
      <c r="A274" s="132"/>
      <c r="B274" s="144" t="s">
        <v>1939</v>
      </c>
      <c r="C274" s="133"/>
      <c r="D274" s="134"/>
      <c r="E274" s="133"/>
    </row>
    <row r="275" spans="1:5" ht="18" x14ac:dyDescent="0.15">
      <c r="A275" s="132"/>
      <c r="B275" s="144" t="s">
        <v>1940</v>
      </c>
      <c r="C275" s="133"/>
      <c r="D275" s="134"/>
      <c r="E275" s="133"/>
    </row>
    <row r="276" spans="1:5" ht="18" x14ac:dyDescent="0.15">
      <c r="A276" s="132"/>
      <c r="B276" s="144" t="s">
        <v>1941</v>
      </c>
      <c r="C276" s="133"/>
      <c r="D276" s="134"/>
      <c r="E276" s="133"/>
    </row>
    <row r="277" spans="1:5" ht="18" x14ac:dyDescent="0.15">
      <c r="A277" s="132"/>
      <c r="B277" s="144" t="s">
        <v>1942</v>
      </c>
      <c r="C277" s="133"/>
      <c r="D277" s="134"/>
      <c r="E277" s="133"/>
    </row>
    <row r="278" spans="1:5" ht="18" x14ac:dyDescent="0.15">
      <c r="A278" s="132"/>
      <c r="B278" s="144" t="s">
        <v>1943</v>
      </c>
      <c r="C278" s="133"/>
      <c r="D278" s="134"/>
      <c r="E278" s="133"/>
    </row>
    <row r="279" spans="1:5" ht="18" x14ac:dyDescent="0.15">
      <c r="A279" s="132"/>
      <c r="B279" s="144" t="s">
        <v>1944</v>
      </c>
      <c r="C279" s="133"/>
      <c r="D279" s="134"/>
      <c r="E279" s="133"/>
    </row>
    <row r="280" spans="1:5" ht="18" x14ac:dyDescent="0.15">
      <c r="A280" s="132"/>
      <c r="B280" s="144" t="s">
        <v>1945</v>
      </c>
      <c r="C280" s="133"/>
      <c r="D280" s="134"/>
      <c r="E280" s="133"/>
    </row>
    <row r="281" spans="1:5" ht="18" x14ac:dyDescent="0.15">
      <c r="A281" s="132"/>
      <c r="B281" s="144" t="s">
        <v>1946</v>
      </c>
      <c r="C281" s="133"/>
      <c r="D281" s="134"/>
      <c r="E281" s="133"/>
    </row>
    <row r="282" spans="1:5" ht="18" x14ac:dyDescent="0.15">
      <c r="A282" s="132"/>
      <c r="B282" s="144" t="s">
        <v>1947</v>
      </c>
      <c r="C282" s="133"/>
      <c r="D282" s="134"/>
      <c r="E282" s="133"/>
    </row>
    <row r="283" spans="1:5" ht="18" x14ac:dyDescent="0.15">
      <c r="A283" s="132"/>
      <c r="B283" s="144" t="s">
        <v>1948</v>
      </c>
      <c r="C283" s="133"/>
      <c r="D283" s="134"/>
      <c r="E283" s="133"/>
    </row>
    <row r="284" spans="1:5" ht="18" x14ac:dyDescent="0.15">
      <c r="A284" s="132"/>
      <c r="B284" s="144" t="s">
        <v>1949</v>
      </c>
      <c r="C284" s="133"/>
      <c r="D284" s="134"/>
      <c r="E284" s="133"/>
    </row>
    <row r="285" spans="1:5" ht="18" x14ac:dyDescent="0.15">
      <c r="A285" s="132"/>
      <c r="B285" s="144" t="s">
        <v>1950</v>
      </c>
      <c r="C285" s="133"/>
      <c r="D285" s="134"/>
      <c r="E285" s="133"/>
    </row>
    <row r="286" spans="1:5" ht="18" x14ac:dyDescent="0.15">
      <c r="A286" s="132"/>
      <c r="B286" s="144" t="s">
        <v>1951</v>
      </c>
      <c r="C286" s="133"/>
      <c r="D286" s="134"/>
      <c r="E286" s="133"/>
    </row>
    <row r="287" spans="1:5" ht="18" x14ac:dyDescent="0.15">
      <c r="A287" s="132"/>
      <c r="B287" s="144" t="s">
        <v>1952</v>
      </c>
      <c r="C287" s="133"/>
      <c r="D287" s="134"/>
      <c r="E287" s="133"/>
    </row>
    <row r="288" spans="1:5" ht="18" x14ac:dyDescent="0.15">
      <c r="A288" s="132"/>
      <c r="B288" s="144" t="s">
        <v>1953</v>
      </c>
      <c r="C288" s="133"/>
      <c r="D288" s="134"/>
      <c r="E288" s="133"/>
    </row>
    <row r="289" spans="1:5" ht="18" x14ac:dyDescent="0.15">
      <c r="A289" s="132"/>
      <c r="B289" s="144" t="s">
        <v>1954</v>
      </c>
      <c r="C289" s="133"/>
      <c r="D289" s="134"/>
      <c r="E289" s="133"/>
    </row>
    <row r="290" spans="1:5" ht="18" x14ac:dyDescent="0.15">
      <c r="A290" s="132"/>
      <c r="B290" s="144" t="s">
        <v>1955</v>
      </c>
      <c r="C290" s="133"/>
      <c r="D290" s="134"/>
      <c r="E290" s="133"/>
    </row>
    <row r="291" spans="1:5" ht="18" x14ac:dyDescent="0.15">
      <c r="A291" s="132"/>
      <c r="B291" s="144" t="s">
        <v>1956</v>
      </c>
      <c r="C291" s="133"/>
      <c r="D291" s="134"/>
      <c r="E291" s="133"/>
    </row>
    <row r="292" spans="1:5" ht="18" x14ac:dyDescent="0.15">
      <c r="A292" s="132"/>
      <c r="B292" s="144" t="s">
        <v>1959</v>
      </c>
      <c r="C292" s="133"/>
      <c r="D292" s="134"/>
      <c r="E292" s="133"/>
    </row>
    <row r="293" spans="1:5" ht="18" x14ac:dyDescent="0.15">
      <c r="A293" s="132"/>
      <c r="B293" s="144" t="s">
        <v>1960</v>
      </c>
      <c r="C293" s="133"/>
      <c r="D293" s="134"/>
      <c r="E293" s="133"/>
    </row>
    <row r="294" spans="1:5" ht="18" x14ac:dyDescent="0.15">
      <c r="A294" s="132"/>
      <c r="B294" s="144" t="s">
        <v>1961</v>
      </c>
      <c r="C294" s="133"/>
      <c r="D294" s="134"/>
      <c r="E294" s="133"/>
    </row>
    <row r="295" spans="1:5" ht="18" x14ac:dyDescent="0.15">
      <c r="A295" s="132"/>
      <c r="B295" s="144" t="s">
        <v>1957</v>
      </c>
      <c r="C295" s="133"/>
      <c r="D295" s="134"/>
      <c r="E295" s="133"/>
    </row>
    <row r="296" spans="1:5" x14ac:dyDescent="0.15">
      <c r="A296" s="77"/>
      <c r="B296" s="77"/>
      <c r="C296" s="77"/>
      <c r="D296" s="77"/>
      <c r="E296" s="77"/>
    </row>
    <row r="297" spans="1:5" ht="19" thickBot="1" x14ac:dyDescent="0.2">
      <c r="A297" s="104" t="s">
        <v>2670</v>
      </c>
      <c r="B297" s="105"/>
      <c r="C297" s="105"/>
      <c r="D297" s="106" t="s">
        <v>1412</v>
      </c>
      <c r="E297" s="105"/>
    </row>
    <row r="298" spans="1:5" x14ac:dyDescent="0.15">
      <c r="A298" s="375" t="s">
        <v>2256</v>
      </c>
      <c r="B298" s="178" t="s">
        <v>2606</v>
      </c>
      <c r="C298" s="177" t="s">
        <v>1962</v>
      </c>
      <c r="D298" s="353" t="s">
        <v>2021</v>
      </c>
      <c r="E298" s="355">
        <v>1</v>
      </c>
    </row>
    <row r="299" spans="1:5" x14ac:dyDescent="0.15">
      <c r="A299" s="376"/>
      <c r="B299" s="179" t="s">
        <v>2607</v>
      </c>
      <c r="C299" s="177" t="s">
        <v>1963</v>
      </c>
      <c r="D299" s="355"/>
      <c r="E299" s="355"/>
    </row>
    <row r="300" spans="1:5" x14ac:dyDescent="0.15">
      <c r="A300" s="376"/>
      <c r="B300" s="179" t="s">
        <v>2608</v>
      </c>
      <c r="C300" s="177" t="s">
        <v>1964</v>
      </c>
      <c r="D300" s="355"/>
      <c r="E300" s="355"/>
    </row>
    <row r="301" spans="1:5" x14ac:dyDescent="0.15">
      <c r="A301" s="376"/>
      <c r="B301" s="179" t="s">
        <v>2609</v>
      </c>
      <c r="C301" s="177" t="s">
        <v>1965</v>
      </c>
      <c r="D301" s="355"/>
      <c r="E301" s="354"/>
    </row>
    <row r="302" spans="1:5" x14ac:dyDescent="0.15">
      <c r="A302" s="175"/>
      <c r="B302" s="179" t="s">
        <v>2610</v>
      </c>
      <c r="C302" s="177" t="s">
        <v>1966</v>
      </c>
      <c r="D302" s="355"/>
      <c r="E302" s="353">
        <v>2</v>
      </c>
    </row>
    <row r="303" spans="1:5" x14ac:dyDescent="0.15">
      <c r="A303" s="175"/>
      <c r="B303" s="179" t="s">
        <v>2611</v>
      </c>
      <c r="C303" s="177" t="s">
        <v>1967</v>
      </c>
      <c r="D303" s="354"/>
      <c r="E303" s="354"/>
    </row>
    <row r="304" spans="1:5" x14ac:dyDescent="0.15">
      <c r="A304" s="175"/>
      <c r="B304" s="179" t="s">
        <v>2612</v>
      </c>
      <c r="C304" s="177" t="s">
        <v>1968</v>
      </c>
      <c r="D304" s="353" t="s">
        <v>2022</v>
      </c>
      <c r="E304" s="353">
        <v>3</v>
      </c>
    </row>
    <row r="305" spans="1:5" x14ac:dyDescent="0.15">
      <c r="A305" s="175"/>
      <c r="B305" s="179" t="s">
        <v>2613</v>
      </c>
      <c r="C305" s="177" t="s">
        <v>1969</v>
      </c>
      <c r="D305" s="355"/>
      <c r="E305" s="355"/>
    </row>
    <row r="306" spans="1:5" x14ac:dyDescent="0.15">
      <c r="A306" s="175"/>
      <c r="B306" s="179" t="s">
        <v>2614</v>
      </c>
      <c r="C306" s="177" t="s">
        <v>1970</v>
      </c>
      <c r="D306" s="355"/>
      <c r="E306" s="355"/>
    </row>
    <row r="307" spans="1:5" x14ac:dyDescent="0.15">
      <c r="A307" s="175"/>
      <c r="B307" s="179" t="s">
        <v>2615</v>
      </c>
      <c r="C307" s="177" t="s">
        <v>1971</v>
      </c>
      <c r="D307" s="355"/>
      <c r="E307" s="355"/>
    </row>
    <row r="308" spans="1:5" x14ac:dyDescent="0.15">
      <c r="A308" s="175"/>
      <c r="B308" s="179" t="s">
        <v>2616</v>
      </c>
      <c r="C308" s="177" t="s">
        <v>1972</v>
      </c>
      <c r="D308" s="355"/>
      <c r="E308" s="355"/>
    </row>
    <row r="309" spans="1:5" x14ac:dyDescent="0.15">
      <c r="A309" s="175"/>
      <c r="B309" s="179" t="s">
        <v>2617</v>
      </c>
      <c r="C309" s="177" t="s">
        <v>1973</v>
      </c>
      <c r="D309" s="355"/>
      <c r="E309" s="355"/>
    </row>
    <row r="310" spans="1:5" x14ac:dyDescent="0.15">
      <c r="A310" s="175"/>
      <c r="B310" s="179" t="s">
        <v>2618</v>
      </c>
      <c r="C310" s="177" t="s">
        <v>1974</v>
      </c>
      <c r="D310" s="355"/>
      <c r="E310" s="355"/>
    </row>
    <row r="311" spans="1:5" x14ac:dyDescent="0.15">
      <c r="A311" s="175"/>
      <c r="B311" s="179" t="s">
        <v>2619</v>
      </c>
      <c r="C311" s="177" t="s">
        <v>1975</v>
      </c>
      <c r="D311" s="355"/>
      <c r="E311" s="355"/>
    </row>
    <row r="312" spans="1:5" x14ac:dyDescent="0.15">
      <c r="A312" s="175"/>
      <c r="B312" s="179" t="s">
        <v>2620</v>
      </c>
      <c r="C312" s="177" t="s">
        <v>1976</v>
      </c>
      <c r="D312" s="355"/>
      <c r="E312" s="354"/>
    </row>
    <row r="313" spans="1:5" x14ac:dyDescent="0.15">
      <c r="A313" s="175"/>
      <c r="B313" s="179" t="s">
        <v>2621</v>
      </c>
      <c r="C313" s="177" t="s">
        <v>1977</v>
      </c>
      <c r="D313" s="355"/>
      <c r="E313" s="353">
        <v>4</v>
      </c>
    </row>
    <row r="314" spans="1:5" x14ac:dyDescent="0.15">
      <c r="A314" s="175"/>
      <c r="B314" s="179" t="s">
        <v>2622</v>
      </c>
      <c r="C314" s="177" t="s">
        <v>1978</v>
      </c>
      <c r="D314" s="355"/>
      <c r="E314" s="355"/>
    </row>
    <row r="315" spans="1:5" x14ac:dyDescent="0.15">
      <c r="A315" s="175"/>
      <c r="B315" s="179" t="s">
        <v>2623</v>
      </c>
      <c r="C315" s="177" t="s">
        <v>1979</v>
      </c>
      <c r="D315" s="355"/>
      <c r="E315" s="355"/>
    </row>
    <row r="316" spans="1:5" x14ac:dyDescent="0.15">
      <c r="A316" s="175"/>
      <c r="B316" s="179" t="s">
        <v>2624</v>
      </c>
      <c r="C316" s="177" t="s">
        <v>1980</v>
      </c>
      <c r="D316" s="355"/>
      <c r="E316" s="355"/>
    </row>
    <row r="317" spans="1:5" x14ac:dyDescent="0.15">
      <c r="A317" s="175"/>
      <c r="B317" s="179" t="s">
        <v>2625</v>
      </c>
      <c r="C317" s="177" t="s">
        <v>1981</v>
      </c>
      <c r="D317" s="355"/>
      <c r="E317" s="355"/>
    </row>
    <row r="318" spans="1:5" x14ac:dyDescent="0.15">
      <c r="A318" s="175"/>
      <c r="B318" s="179" t="s">
        <v>2626</v>
      </c>
      <c r="C318" s="177" t="s">
        <v>1982</v>
      </c>
      <c r="D318" s="355"/>
      <c r="E318" s="355"/>
    </row>
    <row r="319" spans="1:5" x14ac:dyDescent="0.15">
      <c r="A319" s="175"/>
      <c r="B319" s="179" t="s">
        <v>2627</v>
      </c>
      <c r="C319" s="177" t="s">
        <v>1983</v>
      </c>
      <c r="D319" s="355"/>
      <c r="E319" s="355"/>
    </row>
    <row r="320" spans="1:5" x14ac:dyDescent="0.15">
      <c r="A320" s="175"/>
      <c r="B320" s="179" t="s">
        <v>2628</v>
      </c>
      <c r="C320" s="177" t="s">
        <v>1984</v>
      </c>
      <c r="D320" s="355"/>
      <c r="E320" s="355"/>
    </row>
    <row r="321" spans="1:5" x14ac:dyDescent="0.15">
      <c r="A321" s="175"/>
      <c r="B321" s="179" t="s">
        <v>2629</v>
      </c>
      <c r="C321" s="177" t="s">
        <v>1985</v>
      </c>
      <c r="D321" s="354"/>
      <c r="E321" s="354"/>
    </row>
    <row r="322" spans="1:5" x14ac:dyDescent="0.15">
      <c r="A322" s="175"/>
      <c r="B322" s="179" t="s">
        <v>2630</v>
      </c>
      <c r="C322" s="177" t="s">
        <v>1986</v>
      </c>
      <c r="D322" s="353" t="s">
        <v>2023</v>
      </c>
      <c r="E322" s="353">
        <v>5</v>
      </c>
    </row>
    <row r="323" spans="1:5" x14ac:dyDescent="0.15">
      <c r="A323" s="175"/>
      <c r="B323" s="179" t="s">
        <v>2631</v>
      </c>
      <c r="C323" s="177" t="s">
        <v>1987</v>
      </c>
      <c r="D323" s="355"/>
      <c r="E323" s="355"/>
    </row>
    <row r="324" spans="1:5" x14ac:dyDescent="0.15">
      <c r="A324" s="175"/>
      <c r="B324" s="179" t="s">
        <v>2632</v>
      </c>
      <c r="C324" s="177" t="s">
        <v>1988</v>
      </c>
      <c r="D324" s="355"/>
      <c r="E324" s="354"/>
    </row>
    <row r="325" spans="1:5" x14ac:dyDescent="0.15">
      <c r="A325" s="175"/>
      <c r="B325" s="179" t="s">
        <v>2633</v>
      </c>
      <c r="C325" s="177" t="s">
        <v>1989</v>
      </c>
      <c r="D325" s="355"/>
      <c r="E325" s="353">
        <v>6</v>
      </c>
    </row>
    <row r="326" spans="1:5" x14ac:dyDescent="0.15">
      <c r="A326" s="175"/>
      <c r="B326" s="179" t="s">
        <v>2634</v>
      </c>
      <c r="C326" s="177" t="s">
        <v>1990</v>
      </c>
      <c r="D326" s="355"/>
      <c r="E326" s="355"/>
    </row>
    <row r="327" spans="1:5" x14ac:dyDescent="0.15">
      <c r="A327" s="175"/>
      <c r="B327" s="179" t="s">
        <v>2635</v>
      </c>
      <c r="C327" s="177" t="s">
        <v>1991</v>
      </c>
      <c r="D327" s="355"/>
      <c r="E327" s="354"/>
    </row>
    <row r="328" spans="1:5" x14ac:dyDescent="0.15">
      <c r="A328" s="175"/>
      <c r="B328" s="179" t="s">
        <v>2636</v>
      </c>
      <c r="C328" s="177" t="s">
        <v>1992</v>
      </c>
      <c r="D328" s="355"/>
      <c r="E328" s="353">
        <v>7</v>
      </c>
    </row>
    <row r="329" spans="1:5" x14ac:dyDescent="0.15">
      <c r="A329" s="175"/>
      <c r="B329" s="179" t="s">
        <v>2637</v>
      </c>
      <c r="C329" s="177" t="s">
        <v>1993</v>
      </c>
      <c r="D329" s="355"/>
      <c r="E329" s="355"/>
    </row>
    <row r="330" spans="1:5" x14ac:dyDescent="0.15">
      <c r="A330" s="175"/>
      <c r="B330" s="179" t="s">
        <v>2638</v>
      </c>
      <c r="C330" s="177" t="s">
        <v>1994</v>
      </c>
      <c r="D330" s="355"/>
      <c r="E330" s="354"/>
    </row>
    <row r="331" spans="1:5" x14ac:dyDescent="0.15">
      <c r="A331" s="175"/>
      <c r="B331" s="179" t="s">
        <v>2639</v>
      </c>
      <c r="C331" s="177" t="s">
        <v>1995</v>
      </c>
      <c r="D331" s="355"/>
      <c r="E331" s="353">
        <v>8</v>
      </c>
    </row>
    <row r="332" spans="1:5" x14ac:dyDescent="0.15">
      <c r="A332" s="175"/>
      <c r="B332" s="179" t="s">
        <v>2640</v>
      </c>
      <c r="C332" s="177" t="s">
        <v>1996</v>
      </c>
      <c r="D332" s="355"/>
      <c r="E332" s="355"/>
    </row>
    <row r="333" spans="1:5" x14ac:dyDescent="0.15">
      <c r="A333" s="175"/>
      <c r="B333" s="179" t="s">
        <v>2641</v>
      </c>
      <c r="C333" s="177" t="s">
        <v>1997</v>
      </c>
      <c r="D333" s="355"/>
      <c r="E333" s="355"/>
    </row>
    <row r="334" spans="1:5" x14ac:dyDescent="0.15">
      <c r="A334" s="175"/>
      <c r="B334" s="179" t="s">
        <v>2642</v>
      </c>
      <c r="C334" s="177" t="s">
        <v>1998</v>
      </c>
      <c r="D334" s="355"/>
      <c r="E334" s="354"/>
    </row>
    <row r="335" spans="1:5" x14ac:dyDescent="0.15">
      <c r="A335" s="175"/>
      <c r="B335" s="179" t="s">
        <v>2643</v>
      </c>
      <c r="C335" s="177" t="s">
        <v>1999</v>
      </c>
      <c r="D335" s="355"/>
      <c r="E335" s="353">
        <v>9</v>
      </c>
    </row>
    <row r="336" spans="1:5" x14ac:dyDescent="0.15">
      <c r="A336" s="175"/>
      <c r="B336" s="179" t="s">
        <v>2644</v>
      </c>
      <c r="C336" s="177" t="s">
        <v>2000</v>
      </c>
      <c r="D336" s="355"/>
      <c r="E336" s="355"/>
    </row>
    <row r="337" spans="1:5" x14ac:dyDescent="0.15">
      <c r="A337" s="175"/>
      <c r="B337" s="179" t="s">
        <v>2645</v>
      </c>
      <c r="C337" s="177" t="s">
        <v>2001</v>
      </c>
      <c r="D337" s="355"/>
      <c r="E337" s="355"/>
    </row>
    <row r="338" spans="1:5" x14ac:dyDescent="0.15">
      <c r="A338" s="175"/>
      <c r="B338" s="179" t="s">
        <v>2646</v>
      </c>
      <c r="C338" s="177" t="s">
        <v>2002</v>
      </c>
      <c r="D338" s="355"/>
      <c r="E338" s="354"/>
    </row>
    <row r="339" spans="1:5" x14ac:dyDescent="0.15">
      <c r="A339" s="175"/>
      <c r="B339" s="179" t="s">
        <v>2647</v>
      </c>
      <c r="C339" s="177" t="s">
        <v>2003</v>
      </c>
      <c r="D339" s="355"/>
      <c r="E339" s="353">
        <v>10</v>
      </c>
    </row>
    <row r="340" spans="1:5" x14ac:dyDescent="0.15">
      <c r="A340" s="175"/>
      <c r="B340" s="179" t="s">
        <v>2648</v>
      </c>
      <c r="C340" s="177" t="s">
        <v>2004</v>
      </c>
      <c r="D340" s="355"/>
      <c r="E340" s="355"/>
    </row>
    <row r="341" spans="1:5" x14ac:dyDescent="0.15">
      <c r="A341" s="175"/>
      <c r="B341" s="179" t="s">
        <v>2649</v>
      </c>
      <c r="C341" s="177" t="s">
        <v>2005</v>
      </c>
      <c r="D341" s="355"/>
      <c r="E341" s="355"/>
    </row>
    <row r="342" spans="1:5" x14ac:dyDescent="0.15">
      <c r="A342" s="175"/>
      <c r="B342" s="179" t="s">
        <v>2650</v>
      </c>
      <c r="C342" s="177" t="s">
        <v>2006</v>
      </c>
      <c r="D342" s="355"/>
      <c r="E342" s="355"/>
    </row>
    <row r="343" spans="1:5" x14ac:dyDescent="0.15">
      <c r="A343" s="175"/>
      <c r="B343" s="179" t="s">
        <v>2651</v>
      </c>
      <c r="C343" s="177" t="s">
        <v>2007</v>
      </c>
      <c r="D343" s="355"/>
      <c r="E343" s="355"/>
    </row>
    <row r="344" spans="1:5" x14ac:dyDescent="0.15">
      <c r="A344" s="175"/>
      <c r="B344" s="179" t="s">
        <v>2652</v>
      </c>
      <c r="C344" s="177" t="s">
        <v>2008</v>
      </c>
      <c r="D344" s="354"/>
      <c r="E344" s="354"/>
    </row>
    <row r="345" spans="1:5" x14ac:dyDescent="0.15">
      <c r="A345" s="175"/>
      <c r="B345" s="179" t="s">
        <v>2653</v>
      </c>
      <c r="C345" s="177" t="s">
        <v>2009</v>
      </c>
      <c r="D345" s="353" t="s">
        <v>2027</v>
      </c>
      <c r="E345" s="353">
        <v>12</v>
      </c>
    </row>
    <row r="346" spans="1:5" x14ac:dyDescent="0.15">
      <c r="A346" s="175"/>
      <c r="B346" s="179" t="s">
        <v>2654</v>
      </c>
      <c r="C346" s="177" t="s">
        <v>2010</v>
      </c>
      <c r="D346" s="355"/>
      <c r="E346" s="355"/>
    </row>
    <row r="347" spans="1:5" x14ac:dyDescent="0.15">
      <c r="A347" s="175"/>
      <c r="B347" s="179" t="s">
        <v>2655</v>
      </c>
      <c r="C347" s="177" t="s">
        <v>2011</v>
      </c>
      <c r="D347" s="355"/>
      <c r="E347" s="355"/>
    </row>
    <row r="348" spans="1:5" x14ac:dyDescent="0.15">
      <c r="A348" s="175"/>
      <c r="B348" s="179" t="s">
        <v>2656</v>
      </c>
      <c r="C348" s="177" t="s">
        <v>2012</v>
      </c>
      <c r="D348" s="355"/>
      <c r="E348" s="355"/>
    </row>
    <row r="349" spans="1:5" x14ac:dyDescent="0.15">
      <c r="A349" s="175"/>
      <c r="B349" s="179" t="s">
        <v>2657</v>
      </c>
      <c r="C349" s="177" t="s">
        <v>2013</v>
      </c>
      <c r="D349" s="354"/>
      <c r="E349" s="354"/>
    </row>
    <row r="350" spans="1:5" x14ac:dyDescent="0.15">
      <c r="A350" s="175"/>
      <c r="B350" s="179" t="s">
        <v>2658</v>
      </c>
      <c r="C350" s="177" t="s">
        <v>2014</v>
      </c>
      <c r="D350" s="353" t="s">
        <v>2024</v>
      </c>
      <c r="E350" s="353" t="s">
        <v>2024</v>
      </c>
    </row>
    <row r="351" spans="1:5" x14ac:dyDescent="0.15">
      <c r="A351" s="175"/>
      <c r="B351" s="179" t="s">
        <v>2659</v>
      </c>
      <c r="C351" s="177" t="s">
        <v>2015</v>
      </c>
      <c r="D351" s="354"/>
      <c r="E351" s="354"/>
    </row>
    <row r="352" spans="1:5" x14ac:dyDescent="0.15">
      <c r="A352" s="175"/>
      <c r="B352" s="179" t="s">
        <v>2660</v>
      </c>
      <c r="C352" s="177" t="s">
        <v>2016</v>
      </c>
      <c r="D352" s="353" t="s">
        <v>2028</v>
      </c>
      <c r="E352" s="353" t="s">
        <v>2025</v>
      </c>
    </row>
    <row r="353" spans="1:5" x14ac:dyDescent="0.15">
      <c r="A353" s="175"/>
      <c r="B353" s="179" t="s">
        <v>2661</v>
      </c>
      <c r="C353" s="177" t="s">
        <v>2017</v>
      </c>
      <c r="D353" s="355"/>
      <c r="E353" s="355"/>
    </row>
    <row r="354" spans="1:5" x14ac:dyDescent="0.15">
      <c r="A354" s="175"/>
      <c r="B354" s="179" t="s">
        <v>2662</v>
      </c>
      <c r="C354" s="177" t="s">
        <v>2018</v>
      </c>
      <c r="D354" s="355"/>
      <c r="E354" s="354"/>
    </row>
    <row r="355" spans="1:5" x14ac:dyDescent="0.15">
      <c r="A355" s="175"/>
      <c r="B355" s="179" t="s">
        <v>2663</v>
      </c>
      <c r="C355" s="177" t="s">
        <v>2019</v>
      </c>
      <c r="D355" s="355"/>
      <c r="E355" s="353" t="s">
        <v>2026</v>
      </c>
    </row>
    <row r="356" spans="1:5" ht="15" thickBot="1" x14ac:dyDescent="0.2">
      <c r="A356" s="176"/>
      <c r="B356" s="180" t="s">
        <v>2664</v>
      </c>
      <c r="C356" s="177" t="s">
        <v>2020</v>
      </c>
      <c r="D356" s="354"/>
      <c r="E356" s="354"/>
    </row>
    <row r="357" spans="1:5" ht="16.5" customHeight="1" x14ac:dyDescent="0.15">
      <c r="A357" s="375" t="s">
        <v>2257</v>
      </c>
      <c r="B357" s="167" t="s">
        <v>2532</v>
      </c>
      <c r="C357" s="173" t="s">
        <v>2029</v>
      </c>
      <c r="D357" s="146" t="s">
        <v>2030</v>
      </c>
      <c r="E357" s="146"/>
    </row>
    <row r="358" spans="1:5" x14ac:dyDescent="0.15">
      <c r="A358" s="376"/>
      <c r="B358" s="168" t="s">
        <v>2533</v>
      </c>
      <c r="C358" s="173" t="s">
        <v>2031</v>
      </c>
      <c r="D358" s="146" t="s">
        <v>2032</v>
      </c>
      <c r="E358" s="146"/>
    </row>
    <row r="359" spans="1:5" x14ac:dyDescent="0.15">
      <c r="A359" s="376"/>
      <c r="B359" s="168" t="s">
        <v>2534</v>
      </c>
      <c r="C359" s="173" t="s">
        <v>2033</v>
      </c>
      <c r="D359" s="146" t="s">
        <v>2032</v>
      </c>
      <c r="E359" s="146"/>
    </row>
    <row r="360" spans="1:5" x14ac:dyDescent="0.15">
      <c r="A360" s="376"/>
      <c r="B360" s="168" t="s">
        <v>2535</v>
      </c>
      <c r="C360" s="173" t="s">
        <v>2034</v>
      </c>
      <c r="D360" s="146" t="s">
        <v>2032</v>
      </c>
      <c r="E360" s="146" t="s">
        <v>2035</v>
      </c>
    </row>
    <row r="361" spans="1:5" x14ac:dyDescent="0.15">
      <c r="A361" s="376"/>
      <c r="B361" s="168" t="s">
        <v>2536</v>
      </c>
      <c r="C361" s="173" t="s">
        <v>2036</v>
      </c>
      <c r="D361" s="146" t="s">
        <v>2032</v>
      </c>
      <c r="E361" s="146"/>
    </row>
    <row r="362" spans="1:5" x14ac:dyDescent="0.15">
      <c r="A362" s="376"/>
      <c r="B362" s="168" t="s">
        <v>2537</v>
      </c>
      <c r="C362" s="173" t="s">
        <v>2037</v>
      </c>
      <c r="D362" s="146" t="s">
        <v>2038</v>
      </c>
      <c r="E362" s="146"/>
    </row>
    <row r="363" spans="1:5" x14ac:dyDescent="0.15">
      <c r="A363" s="376"/>
      <c r="B363" s="168" t="s">
        <v>2538</v>
      </c>
      <c r="C363" s="173" t="s">
        <v>2039</v>
      </c>
      <c r="D363" s="146" t="s">
        <v>2038</v>
      </c>
      <c r="E363" s="146" t="s">
        <v>2035</v>
      </c>
    </row>
    <row r="364" spans="1:5" x14ac:dyDescent="0.15">
      <c r="A364" s="376"/>
      <c r="B364" s="168" t="s">
        <v>2539</v>
      </c>
      <c r="C364" s="173" t="s">
        <v>2040</v>
      </c>
      <c r="D364" s="146" t="s">
        <v>2041</v>
      </c>
      <c r="E364" s="146"/>
    </row>
    <row r="365" spans="1:5" x14ac:dyDescent="0.15">
      <c r="A365" s="175"/>
      <c r="B365" s="168" t="s">
        <v>2540</v>
      </c>
      <c r="C365" s="173" t="s">
        <v>2042</v>
      </c>
      <c r="D365" s="146" t="s">
        <v>2041</v>
      </c>
      <c r="E365" s="146"/>
    </row>
    <row r="366" spans="1:5" x14ac:dyDescent="0.15">
      <c r="A366" s="175"/>
      <c r="B366" s="168" t="s">
        <v>2541</v>
      </c>
      <c r="C366" s="173" t="s">
        <v>2043</v>
      </c>
      <c r="D366" s="146" t="s">
        <v>2041</v>
      </c>
      <c r="E366" s="146"/>
    </row>
    <row r="367" spans="1:5" x14ac:dyDescent="0.15">
      <c r="A367" s="175"/>
      <c r="B367" s="168" t="s">
        <v>2542</v>
      </c>
      <c r="C367" s="173" t="s">
        <v>2044</v>
      </c>
      <c r="D367" s="146" t="s">
        <v>2045</v>
      </c>
      <c r="E367" s="146" t="s">
        <v>2032</v>
      </c>
    </row>
    <row r="368" spans="1:5" x14ac:dyDescent="0.15">
      <c r="A368" s="175"/>
      <c r="B368" s="168" t="s">
        <v>2543</v>
      </c>
      <c r="C368" s="173" t="s">
        <v>2046</v>
      </c>
      <c r="D368" s="146" t="s">
        <v>2045</v>
      </c>
      <c r="E368" s="146"/>
    </row>
    <row r="369" spans="1:5" x14ac:dyDescent="0.15">
      <c r="A369" s="175"/>
      <c r="B369" s="168" t="s">
        <v>2544</v>
      </c>
      <c r="C369" s="173" t="s">
        <v>2047</v>
      </c>
      <c r="D369" s="146" t="s">
        <v>2045</v>
      </c>
      <c r="E369" s="146"/>
    </row>
    <row r="370" spans="1:5" x14ac:dyDescent="0.15">
      <c r="A370" s="175"/>
      <c r="B370" s="168" t="s">
        <v>2545</v>
      </c>
      <c r="C370" s="173" t="s">
        <v>2048</v>
      </c>
      <c r="D370" s="146" t="s">
        <v>2045</v>
      </c>
      <c r="E370" s="146"/>
    </row>
    <row r="371" spans="1:5" x14ac:dyDescent="0.15">
      <c r="A371" s="175"/>
      <c r="B371" s="168" t="s">
        <v>2546</v>
      </c>
      <c r="C371" s="173" t="s">
        <v>2049</v>
      </c>
      <c r="D371" s="146" t="s">
        <v>2045</v>
      </c>
      <c r="E371" s="146"/>
    </row>
    <row r="372" spans="1:5" x14ac:dyDescent="0.15">
      <c r="A372" s="175"/>
      <c r="B372" s="168" t="s">
        <v>2547</v>
      </c>
      <c r="C372" s="173" t="s">
        <v>2050</v>
      </c>
      <c r="D372" s="146" t="s">
        <v>2045</v>
      </c>
      <c r="E372" s="146" t="s">
        <v>2051</v>
      </c>
    </row>
    <row r="373" spans="1:5" x14ac:dyDescent="0.15">
      <c r="A373" s="175"/>
      <c r="B373" s="168" t="s">
        <v>2548</v>
      </c>
      <c r="C373" s="173" t="s">
        <v>2052</v>
      </c>
      <c r="D373" s="146" t="s">
        <v>2053</v>
      </c>
      <c r="E373" s="146"/>
    </row>
    <row r="374" spans="1:5" x14ac:dyDescent="0.15">
      <c r="A374" s="175"/>
      <c r="B374" s="168" t="s">
        <v>2549</v>
      </c>
      <c r="C374" s="173" t="s">
        <v>2054</v>
      </c>
      <c r="D374" s="146" t="s">
        <v>2053</v>
      </c>
      <c r="E374" s="146"/>
    </row>
    <row r="375" spans="1:5" x14ac:dyDescent="0.15">
      <c r="A375" s="175"/>
      <c r="B375" s="168" t="s">
        <v>2550</v>
      </c>
      <c r="C375" s="173" t="s">
        <v>2055</v>
      </c>
      <c r="D375" s="146" t="s">
        <v>2053</v>
      </c>
      <c r="E375" s="146"/>
    </row>
    <row r="376" spans="1:5" x14ac:dyDescent="0.15">
      <c r="A376" s="175"/>
      <c r="B376" s="168" t="s">
        <v>2551</v>
      </c>
      <c r="C376" s="173" t="s">
        <v>2056</v>
      </c>
      <c r="D376" s="146" t="s">
        <v>2051</v>
      </c>
      <c r="E376" s="146" t="s">
        <v>2045</v>
      </c>
    </row>
    <row r="377" spans="1:5" x14ac:dyDescent="0.15">
      <c r="A377" s="175"/>
      <c r="B377" s="168" t="s">
        <v>2552</v>
      </c>
      <c r="C377" s="173" t="s">
        <v>2057</v>
      </c>
      <c r="D377" s="146" t="s">
        <v>2051</v>
      </c>
      <c r="E377" s="146"/>
    </row>
    <row r="378" spans="1:5" x14ac:dyDescent="0.15">
      <c r="A378" s="175"/>
      <c r="B378" s="168" t="s">
        <v>2553</v>
      </c>
      <c r="C378" s="173" t="s">
        <v>2058</v>
      </c>
      <c r="D378" s="146" t="s">
        <v>2051</v>
      </c>
      <c r="E378" s="146"/>
    </row>
    <row r="379" spans="1:5" x14ac:dyDescent="0.15">
      <c r="A379" s="175"/>
      <c r="B379" s="168" t="s">
        <v>2554</v>
      </c>
      <c r="C379" s="173" t="s">
        <v>2059</v>
      </c>
      <c r="D379" s="146" t="s">
        <v>2051</v>
      </c>
      <c r="E379" s="146" t="s">
        <v>2060</v>
      </c>
    </row>
    <row r="380" spans="1:5" x14ac:dyDescent="0.15">
      <c r="A380" s="175"/>
      <c r="B380" s="168" t="s">
        <v>2555</v>
      </c>
      <c r="C380" s="173" t="s">
        <v>2061</v>
      </c>
      <c r="D380" s="146" t="s">
        <v>2051</v>
      </c>
      <c r="E380" s="146"/>
    </row>
    <row r="381" spans="1:5" x14ac:dyDescent="0.15">
      <c r="A381" s="175"/>
      <c r="B381" s="168" t="s">
        <v>2556</v>
      </c>
      <c r="C381" s="173" t="s">
        <v>2062</v>
      </c>
      <c r="D381" s="146" t="s">
        <v>2051</v>
      </c>
      <c r="E381" s="146"/>
    </row>
    <row r="382" spans="1:5" x14ac:dyDescent="0.15">
      <c r="A382" s="175"/>
      <c r="B382" s="168" t="s">
        <v>2557</v>
      </c>
      <c r="C382" s="173" t="s">
        <v>2063</v>
      </c>
      <c r="D382" s="146" t="s">
        <v>2051</v>
      </c>
      <c r="E382" s="146" t="s">
        <v>2064</v>
      </c>
    </row>
    <row r="383" spans="1:5" x14ac:dyDescent="0.15">
      <c r="A383" s="175"/>
      <c r="B383" s="168" t="s">
        <v>2558</v>
      </c>
      <c r="C383" s="173" t="s">
        <v>2065</v>
      </c>
      <c r="D383" s="146" t="s">
        <v>2051</v>
      </c>
      <c r="E383" s="146"/>
    </row>
    <row r="384" spans="1:5" x14ac:dyDescent="0.15">
      <c r="A384" s="175"/>
      <c r="B384" s="168" t="s">
        <v>2559</v>
      </c>
      <c r="C384" s="173" t="s">
        <v>2066</v>
      </c>
      <c r="D384" s="146" t="s">
        <v>2051</v>
      </c>
      <c r="E384" s="146" t="s">
        <v>2035</v>
      </c>
    </row>
    <row r="385" spans="1:5" x14ac:dyDescent="0.15">
      <c r="A385" s="175"/>
      <c r="B385" s="168" t="s">
        <v>2560</v>
      </c>
      <c r="C385" s="173" t="s">
        <v>2067</v>
      </c>
      <c r="D385" s="146" t="s">
        <v>2068</v>
      </c>
      <c r="E385" s="146" t="s">
        <v>2051</v>
      </c>
    </row>
    <row r="386" spans="1:5" x14ac:dyDescent="0.15">
      <c r="A386" s="175"/>
      <c r="B386" s="168" t="s">
        <v>2561</v>
      </c>
      <c r="C386" s="173" t="s">
        <v>2069</v>
      </c>
      <c r="D386" s="146" t="s">
        <v>2070</v>
      </c>
      <c r="E386" s="146"/>
    </row>
    <row r="387" spans="1:5" x14ac:dyDescent="0.15">
      <c r="A387" s="175"/>
      <c r="B387" s="168" t="s">
        <v>2562</v>
      </c>
      <c r="C387" s="173" t="s">
        <v>2071</v>
      </c>
      <c r="D387" s="146" t="s">
        <v>2068</v>
      </c>
      <c r="E387" s="146" t="s">
        <v>2064</v>
      </c>
    </row>
    <row r="388" spans="1:5" x14ac:dyDescent="0.15">
      <c r="A388" s="175"/>
      <c r="B388" s="168" t="s">
        <v>2563</v>
      </c>
      <c r="C388" s="173" t="s">
        <v>2072</v>
      </c>
      <c r="D388" s="146" t="s">
        <v>2064</v>
      </c>
      <c r="E388" s="146"/>
    </row>
    <row r="389" spans="1:5" x14ac:dyDescent="0.15">
      <c r="A389" s="175"/>
      <c r="B389" s="168" t="s">
        <v>2564</v>
      </c>
      <c r="C389" s="173" t="s">
        <v>2073</v>
      </c>
      <c r="D389" s="146" t="s">
        <v>2064</v>
      </c>
      <c r="E389" s="146"/>
    </row>
    <row r="390" spans="1:5" x14ac:dyDescent="0.15">
      <c r="A390" s="175"/>
      <c r="B390" s="168" t="s">
        <v>2565</v>
      </c>
      <c r="C390" s="173" t="s">
        <v>1968</v>
      </c>
      <c r="D390" s="146" t="s">
        <v>2064</v>
      </c>
      <c r="E390" s="146"/>
    </row>
    <row r="391" spans="1:5" x14ac:dyDescent="0.15">
      <c r="A391" s="175"/>
      <c r="B391" s="168" t="s">
        <v>2566</v>
      </c>
      <c r="C391" s="173" t="s">
        <v>2074</v>
      </c>
      <c r="D391" s="146" t="s">
        <v>2064</v>
      </c>
      <c r="E391" s="146"/>
    </row>
    <row r="392" spans="1:5" x14ac:dyDescent="0.15">
      <c r="A392" s="175"/>
      <c r="B392" s="168" t="s">
        <v>2567</v>
      </c>
      <c r="C392" s="173" t="s">
        <v>2075</v>
      </c>
      <c r="D392" s="146" t="s">
        <v>2064</v>
      </c>
      <c r="E392" s="146"/>
    </row>
    <row r="393" spans="1:5" x14ac:dyDescent="0.15">
      <c r="A393" s="175"/>
      <c r="B393" s="168" t="s">
        <v>2568</v>
      </c>
      <c r="C393" s="173" t="s">
        <v>2076</v>
      </c>
      <c r="D393" s="146" t="s">
        <v>2064</v>
      </c>
      <c r="E393" s="146"/>
    </row>
    <row r="394" spans="1:5" x14ac:dyDescent="0.15">
      <c r="A394" s="175"/>
      <c r="B394" s="168" t="s">
        <v>2569</v>
      </c>
      <c r="C394" s="173" t="s">
        <v>2077</v>
      </c>
      <c r="D394" s="146" t="s">
        <v>2064</v>
      </c>
      <c r="E394" s="146"/>
    </row>
    <row r="395" spans="1:5" x14ac:dyDescent="0.15">
      <c r="A395" s="175"/>
      <c r="B395" s="168" t="s">
        <v>2570</v>
      </c>
      <c r="C395" s="173" t="s">
        <v>2078</v>
      </c>
      <c r="D395" s="146" t="s">
        <v>2064</v>
      </c>
      <c r="E395" s="146" t="s">
        <v>2060</v>
      </c>
    </row>
    <row r="396" spans="1:5" x14ac:dyDescent="0.15">
      <c r="A396" s="175"/>
      <c r="B396" s="168" t="s">
        <v>2571</v>
      </c>
      <c r="C396" s="173" t="s">
        <v>2079</v>
      </c>
      <c r="D396" s="146" t="s">
        <v>2064</v>
      </c>
      <c r="E396" s="146"/>
    </row>
    <row r="397" spans="1:5" ht="15" thickBot="1" x14ac:dyDescent="0.2">
      <c r="A397" s="176"/>
      <c r="B397" s="169" t="s">
        <v>2572</v>
      </c>
      <c r="C397" s="173" t="s">
        <v>2080</v>
      </c>
      <c r="D397" s="146" t="s">
        <v>2081</v>
      </c>
      <c r="E397" s="146"/>
    </row>
    <row r="398" spans="1:5" x14ac:dyDescent="0.15">
      <c r="A398" s="378" t="s">
        <v>2082</v>
      </c>
      <c r="B398" s="174" t="s">
        <v>2573</v>
      </c>
      <c r="C398" s="166" t="s">
        <v>2083</v>
      </c>
      <c r="D398" s="106"/>
      <c r="E398" s="105"/>
    </row>
    <row r="399" spans="1:5" x14ac:dyDescent="0.15">
      <c r="A399" s="378"/>
      <c r="B399" s="168" t="s">
        <v>2574</v>
      </c>
      <c r="C399" s="166" t="s">
        <v>2084</v>
      </c>
      <c r="D399" s="106"/>
      <c r="E399" s="105"/>
    </row>
    <row r="400" spans="1:5" x14ac:dyDescent="0.15">
      <c r="A400" s="378"/>
      <c r="B400" s="168" t="s">
        <v>2575</v>
      </c>
      <c r="C400" s="166" t="s">
        <v>2085</v>
      </c>
      <c r="D400" s="106"/>
      <c r="E400" s="105"/>
    </row>
    <row r="401" spans="1:5" x14ac:dyDescent="0.15">
      <c r="A401" s="378"/>
      <c r="B401" s="168" t="s">
        <v>2576</v>
      </c>
      <c r="C401" s="166" t="s">
        <v>2086</v>
      </c>
      <c r="D401" s="106"/>
      <c r="E401" s="105"/>
    </row>
    <row r="402" spans="1:5" x14ac:dyDescent="0.15">
      <c r="A402" s="378"/>
      <c r="B402" s="168" t="s">
        <v>2577</v>
      </c>
      <c r="C402" s="166" t="s">
        <v>2087</v>
      </c>
      <c r="D402" s="106"/>
      <c r="E402" s="105"/>
    </row>
    <row r="403" spans="1:5" x14ac:dyDescent="0.15">
      <c r="A403" s="378"/>
      <c r="B403" s="168" t="s">
        <v>2578</v>
      </c>
      <c r="C403" s="166" t="s">
        <v>2088</v>
      </c>
      <c r="D403" s="106"/>
      <c r="E403" s="105"/>
    </row>
    <row r="404" spans="1:5" x14ac:dyDescent="0.15">
      <c r="A404" s="378"/>
      <c r="B404" s="168" t="s">
        <v>2577</v>
      </c>
      <c r="C404" s="166" t="s">
        <v>2087</v>
      </c>
      <c r="D404" s="106"/>
      <c r="E404" s="105"/>
    </row>
    <row r="405" spans="1:5" ht="15" thickBot="1" x14ac:dyDescent="0.2">
      <c r="A405" s="379"/>
      <c r="B405" s="169" t="s">
        <v>2578</v>
      </c>
      <c r="C405" s="166" t="s">
        <v>2089</v>
      </c>
      <c r="D405" s="106"/>
      <c r="E405" s="105"/>
    </row>
    <row r="406" spans="1:5" x14ac:dyDescent="0.15">
      <c r="A406" s="375" t="s">
        <v>2090</v>
      </c>
      <c r="B406" s="167" t="s">
        <v>2579</v>
      </c>
      <c r="C406" s="166" t="s">
        <v>2091</v>
      </c>
      <c r="D406" s="106"/>
      <c r="E406" s="105"/>
    </row>
    <row r="407" spans="1:5" x14ac:dyDescent="0.15">
      <c r="A407" s="376"/>
      <c r="B407" s="168" t="s">
        <v>2580</v>
      </c>
      <c r="C407" s="166" t="s">
        <v>2092</v>
      </c>
      <c r="D407" s="106"/>
      <c r="E407" s="105"/>
    </row>
    <row r="408" spans="1:5" x14ac:dyDescent="0.15">
      <c r="A408" s="376"/>
      <c r="B408" s="168" t="s">
        <v>2581</v>
      </c>
      <c r="C408" s="166" t="s">
        <v>2093</v>
      </c>
      <c r="D408" s="106"/>
      <c r="E408" s="105"/>
    </row>
    <row r="409" spans="1:5" x14ac:dyDescent="0.15">
      <c r="A409" s="376"/>
      <c r="B409" s="168" t="s">
        <v>2582</v>
      </c>
      <c r="C409" s="166" t="s">
        <v>2094</v>
      </c>
      <c r="D409" s="106"/>
      <c r="E409" s="105"/>
    </row>
    <row r="410" spans="1:5" x14ac:dyDescent="0.15">
      <c r="A410" s="376"/>
      <c r="B410" s="168" t="s">
        <v>2583</v>
      </c>
      <c r="C410" s="166" t="s">
        <v>2095</v>
      </c>
      <c r="D410" s="106"/>
      <c r="E410" s="105"/>
    </row>
    <row r="411" spans="1:5" x14ac:dyDescent="0.15">
      <c r="A411" s="376"/>
      <c r="B411" s="168" t="s">
        <v>2584</v>
      </c>
      <c r="C411" s="166" t="s">
        <v>2096</v>
      </c>
      <c r="D411" s="106"/>
      <c r="E411" s="105"/>
    </row>
    <row r="412" spans="1:5" x14ac:dyDescent="0.15">
      <c r="A412" s="376"/>
      <c r="B412" s="168" t="s">
        <v>2585</v>
      </c>
      <c r="C412" s="166" t="s">
        <v>2097</v>
      </c>
      <c r="D412" s="106"/>
      <c r="E412" s="105"/>
    </row>
    <row r="413" spans="1:5" x14ac:dyDescent="0.15">
      <c r="A413" s="376"/>
      <c r="B413" s="168" t="s">
        <v>2586</v>
      </c>
      <c r="C413" s="166" t="s">
        <v>2098</v>
      </c>
      <c r="D413" s="106"/>
      <c r="E413" s="105"/>
    </row>
    <row r="414" spans="1:5" x14ac:dyDescent="0.15">
      <c r="A414" s="376"/>
      <c r="B414" s="168" t="s">
        <v>2587</v>
      </c>
      <c r="C414" s="166" t="s">
        <v>2099</v>
      </c>
      <c r="D414" s="106"/>
      <c r="E414" s="105"/>
    </row>
    <row r="415" spans="1:5" x14ac:dyDescent="0.15">
      <c r="A415" s="376"/>
      <c r="B415" s="168" t="s">
        <v>2588</v>
      </c>
      <c r="C415" s="166" t="s">
        <v>2100</v>
      </c>
      <c r="D415" s="106"/>
      <c r="E415" s="105"/>
    </row>
    <row r="416" spans="1:5" x14ac:dyDescent="0.15">
      <c r="A416" s="376"/>
      <c r="B416" s="168" t="s">
        <v>2589</v>
      </c>
      <c r="C416" s="166" t="s">
        <v>2101</v>
      </c>
      <c r="D416" s="106"/>
      <c r="E416" s="105"/>
    </row>
    <row r="417" spans="1:5" x14ac:dyDescent="0.15">
      <c r="A417" s="376"/>
      <c r="B417" s="168" t="s">
        <v>2590</v>
      </c>
      <c r="C417" s="166" t="s">
        <v>2102</v>
      </c>
      <c r="D417" s="106"/>
      <c r="E417" s="105"/>
    </row>
    <row r="418" spans="1:5" ht="15" thickBot="1" x14ac:dyDescent="0.2">
      <c r="A418" s="377"/>
      <c r="B418" s="169" t="s">
        <v>2591</v>
      </c>
      <c r="C418" s="166" t="s">
        <v>2103</v>
      </c>
      <c r="D418" s="106"/>
      <c r="E418" s="105"/>
    </row>
    <row r="419" spans="1:5" x14ac:dyDescent="0.15">
      <c r="A419" s="375" t="s">
        <v>2104</v>
      </c>
      <c r="B419" s="167" t="s">
        <v>2592</v>
      </c>
      <c r="C419" s="166" t="s">
        <v>2105</v>
      </c>
      <c r="D419" s="106"/>
      <c r="E419" s="105"/>
    </row>
    <row r="420" spans="1:5" x14ac:dyDescent="0.15">
      <c r="A420" s="376"/>
      <c r="B420" s="168" t="s">
        <v>2593</v>
      </c>
      <c r="C420" s="166" t="s">
        <v>2106</v>
      </c>
      <c r="D420" s="106"/>
      <c r="E420" s="105"/>
    </row>
    <row r="421" spans="1:5" x14ac:dyDescent="0.15">
      <c r="A421" s="376"/>
      <c r="B421" s="168" t="s">
        <v>2594</v>
      </c>
      <c r="C421" s="166" t="s">
        <v>2107</v>
      </c>
      <c r="D421" s="106"/>
      <c r="E421" s="105"/>
    </row>
    <row r="422" spans="1:5" x14ac:dyDescent="0.15">
      <c r="A422" s="376"/>
      <c r="B422" s="168" t="s">
        <v>2595</v>
      </c>
      <c r="C422" s="166" t="s">
        <v>2108</v>
      </c>
      <c r="D422" s="106"/>
      <c r="E422" s="105"/>
    </row>
    <row r="423" spans="1:5" x14ac:dyDescent="0.15">
      <c r="A423" s="376"/>
      <c r="B423" s="168" t="s">
        <v>2596</v>
      </c>
      <c r="C423" s="166" t="s">
        <v>2109</v>
      </c>
      <c r="D423" s="106"/>
      <c r="E423" s="105"/>
    </row>
    <row r="424" spans="1:5" ht="15" thickBot="1" x14ac:dyDescent="0.2">
      <c r="A424" s="377"/>
      <c r="B424" s="169" t="s">
        <v>2597</v>
      </c>
      <c r="C424" s="166" t="s">
        <v>2110</v>
      </c>
      <c r="D424" s="106"/>
      <c r="E424" s="105"/>
    </row>
    <row r="425" spans="1:5" ht="16" thickBot="1" x14ac:dyDescent="0.2">
      <c r="A425" s="256" t="s">
        <v>2274</v>
      </c>
      <c r="B425" s="280" t="s">
        <v>7419</v>
      </c>
      <c r="C425" s="279"/>
      <c r="D425" s="106"/>
      <c r="E425" s="105"/>
    </row>
    <row r="426" spans="1:5" x14ac:dyDescent="0.15">
      <c r="A426" s="375" t="s">
        <v>2665</v>
      </c>
      <c r="B426" s="170" t="s">
        <v>2598</v>
      </c>
      <c r="C426" s="105"/>
      <c r="D426" s="106"/>
      <c r="E426" s="105"/>
    </row>
    <row r="427" spans="1:5" x14ac:dyDescent="0.15">
      <c r="A427" s="376"/>
      <c r="B427" s="171" t="s">
        <v>2599</v>
      </c>
      <c r="C427" s="105"/>
      <c r="D427" s="106"/>
      <c r="E427" s="105"/>
    </row>
    <row r="428" spans="1:5" x14ac:dyDescent="0.15">
      <c r="A428" s="376"/>
      <c r="B428" s="171" t="s">
        <v>2600</v>
      </c>
      <c r="C428" s="105"/>
      <c r="D428" s="106"/>
      <c r="E428" s="105"/>
    </row>
    <row r="429" spans="1:5" x14ac:dyDescent="0.15">
      <c r="A429" s="376"/>
      <c r="B429" s="171" t="s">
        <v>2601</v>
      </c>
      <c r="C429" s="105"/>
      <c r="D429" s="106"/>
      <c r="E429" s="105"/>
    </row>
    <row r="430" spans="1:5" x14ac:dyDescent="0.15">
      <c r="A430" s="376"/>
      <c r="B430" s="171" t="s">
        <v>2602</v>
      </c>
      <c r="C430" s="105"/>
      <c r="D430" s="106"/>
      <c r="E430" s="105"/>
    </row>
    <row r="431" spans="1:5" x14ac:dyDescent="0.15">
      <c r="A431" s="376"/>
      <c r="B431" s="171" t="s">
        <v>2603</v>
      </c>
      <c r="C431" s="105"/>
      <c r="D431" s="106"/>
      <c r="E431" s="105"/>
    </row>
    <row r="432" spans="1:5" x14ac:dyDescent="0.15">
      <c r="A432" s="376"/>
      <c r="B432" s="171" t="s">
        <v>2604</v>
      </c>
      <c r="C432" s="105"/>
      <c r="D432" s="106"/>
      <c r="E432" s="105"/>
    </row>
    <row r="433" spans="1:12" ht="15" thickBot="1" x14ac:dyDescent="0.2">
      <c r="A433" s="377"/>
      <c r="B433" s="172" t="s">
        <v>2605</v>
      </c>
      <c r="C433" s="105"/>
      <c r="D433" s="106"/>
      <c r="E433" s="105"/>
    </row>
    <row r="434" spans="1:12" x14ac:dyDescent="0.15">
      <c r="A434" s="77"/>
      <c r="B434" s="77"/>
      <c r="C434" s="77"/>
      <c r="D434" s="77"/>
      <c r="E434" s="77"/>
    </row>
    <row r="435" spans="1:12" ht="18" x14ac:dyDescent="0.15">
      <c r="A435" s="135" t="s">
        <v>2671</v>
      </c>
      <c r="B435" s="136"/>
      <c r="C435" s="136"/>
      <c r="D435" s="137"/>
      <c r="E435" s="136"/>
    </row>
    <row r="436" spans="1:12" x14ac:dyDescent="0.15">
      <c r="A436" s="136"/>
      <c r="B436" s="79" t="s">
        <v>47</v>
      </c>
      <c r="C436" s="113"/>
      <c r="D436" s="79"/>
      <c r="E436" s="79"/>
      <c r="F436" s="79"/>
      <c r="G436" s="79"/>
      <c r="H436" s="79"/>
      <c r="I436" s="79"/>
      <c r="J436" s="79"/>
      <c r="K436" s="79"/>
    </row>
    <row r="437" spans="1:12" x14ac:dyDescent="0.15">
      <c r="A437" s="136"/>
      <c r="B437" s="115" t="s">
        <v>1856</v>
      </c>
      <c r="C437" s="356" t="s">
        <v>47</v>
      </c>
      <c r="D437" s="136"/>
      <c r="E437" s="136"/>
      <c r="F437" s="136"/>
      <c r="G437" s="136"/>
      <c r="H437" s="136"/>
      <c r="I437" s="136"/>
      <c r="J437" s="136"/>
      <c r="K437" s="136"/>
      <c r="L437" s="136"/>
    </row>
    <row r="438" spans="1:12" x14ac:dyDescent="0.15">
      <c r="A438" s="136"/>
      <c r="B438" s="115" t="s">
        <v>1857</v>
      </c>
      <c r="C438" s="357"/>
      <c r="D438" s="136"/>
      <c r="E438" s="136"/>
      <c r="F438" s="136"/>
      <c r="G438" s="136"/>
      <c r="H438" s="136"/>
      <c r="I438" s="136"/>
      <c r="J438" s="136"/>
      <c r="K438" s="136"/>
      <c r="L438" s="136"/>
    </row>
    <row r="439" spans="1:12" x14ac:dyDescent="0.15">
      <c r="A439" s="136"/>
      <c r="B439" s="115" t="s">
        <v>1858</v>
      </c>
      <c r="C439" s="357"/>
      <c r="D439" s="136"/>
      <c r="E439" s="136"/>
      <c r="F439" s="136"/>
      <c r="G439" s="136"/>
      <c r="H439" s="136"/>
      <c r="I439" s="136"/>
      <c r="J439" s="136"/>
      <c r="K439" s="136"/>
      <c r="L439" s="136"/>
    </row>
    <row r="440" spans="1:12" x14ac:dyDescent="0.15">
      <c r="A440" s="136"/>
      <c r="B440" s="115" t="s">
        <v>1859</v>
      </c>
      <c r="C440" s="357"/>
      <c r="D440" s="136"/>
      <c r="E440" s="136"/>
      <c r="F440" s="136"/>
      <c r="G440" s="136"/>
      <c r="H440" s="136"/>
      <c r="I440" s="136"/>
      <c r="J440" s="136"/>
      <c r="K440" s="136"/>
      <c r="L440" s="136"/>
    </row>
    <row r="441" spans="1:12" x14ac:dyDescent="0.15">
      <c r="A441" s="136"/>
      <c r="B441" s="115" t="s">
        <v>8934</v>
      </c>
      <c r="C441" s="357"/>
      <c r="D441" s="136"/>
      <c r="E441" s="136"/>
      <c r="F441" s="136"/>
      <c r="G441" s="136"/>
      <c r="H441" s="136"/>
      <c r="I441" s="136"/>
      <c r="J441" s="136"/>
      <c r="K441" s="136"/>
      <c r="L441" s="136"/>
    </row>
    <row r="442" spans="1:12" x14ac:dyDescent="0.15">
      <c r="A442" s="136"/>
      <c r="B442" s="115" t="s">
        <v>1860</v>
      </c>
      <c r="C442" s="358"/>
      <c r="D442" s="136"/>
      <c r="E442" s="136"/>
      <c r="F442" s="136"/>
      <c r="G442" s="136"/>
      <c r="H442" s="136"/>
      <c r="I442" s="136"/>
      <c r="J442" s="136"/>
      <c r="K442" s="136"/>
      <c r="L442" s="136"/>
    </row>
    <row r="443" spans="1:12" x14ac:dyDescent="0.15">
      <c r="A443" s="136"/>
      <c r="B443" s="79" t="s">
        <v>2759</v>
      </c>
      <c r="C443" s="136"/>
      <c r="D443" s="136"/>
      <c r="E443" s="136"/>
      <c r="F443" s="136"/>
      <c r="G443" s="136"/>
      <c r="H443" s="136"/>
      <c r="I443" s="136"/>
      <c r="J443" s="136"/>
      <c r="K443" s="136"/>
      <c r="L443" s="136"/>
    </row>
    <row r="444" spans="1:12" x14ac:dyDescent="0.15">
      <c r="A444" s="136"/>
      <c r="B444" s="115" t="s">
        <v>2260</v>
      </c>
      <c r="C444" s="136"/>
      <c r="D444" s="115" t="s">
        <v>5860</v>
      </c>
      <c r="E444" s="136"/>
      <c r="F444" s="136"/>
      <c r="G444" s="136"/>
      <c r="H444" s="136"/>
      <c r="I444" s="136"/>
      <c r="J444" s="136"/>
      <c r="K444" s="136"/>
      <c r="L444" s="136"/>
    </row>
    <row r="445" spans="1:12" x14ac:dyDescent="0.15">
      <c r="A445" s="136"/>
      <c r="B445" s="115" t="s">
        <v>2261</v>
      </c>
      <c r="C445" s="136"/>
      <c r="D445" s="115" t="s">
        <v>5861</v>
      </c>
      <c r="E445" s="136"/>
      <c r="F445" s="136"/>
      <c r="G445" s="136"/>
      <c r="H445" s="136"/>
      <c r="I445" s="136"/>
      <c r="J445" s="136"/>
      <c r="K445" s="136"/>
      <c r="L445" s="136"/>
    </row>
    <row r="446" spans="1:12" x14ac:dyDescent="0.15">
      <c r="A446" s="136"/>
      <c r="B446" s="79" t="s">
        <v>27</v>
      </c>
      <c r="C446" s="136"/>
      <c r="D446" s="115" t="s">
        <v>7418</v>
      </c>
      <c r="E446" s="136"/>
      <c r="F446" s="136"/>
      <c r="G446" s="136"/>
      <c r="H446" s="136"/>
      <c r="I446" s="136"/>
      <c r="J446" s="136"/>
      <c r="K446" s="136"/>
      <c r="L446" s="136"/>
    </row>
    <row r="447" spans="1:12" x14ac:dyDescent="0.15">
      <c r="A447" s="136"/>
      <c r="B447" s="115" t="s">
        <v>55</v>
      </c>
      <c r="C447" s="136"/>
      <c r="D447" s="115" t="s">
        <v>55</v>
      </c>
      <c r="E447" s="136"/>
      <c r="F447" s="136"/>
      <c r="G447" s="136"/>
      <c r="H447" s="136"/>
      <c r="I447" s="136"/>
      <c r="J447" s="136"/>
      <c r="K447" s="136"/>
      <c r="L447" s="136"/>
    </row>
    <row r="448" spans="1:12" x14ac:dyDescent="0.15">
      <c r="A448" s="136"/>
      <c r="B448" s="115"/>
      <c r="C448" s="136"/>
      <c r="D448" s="115" t="s">
        <v>56</v>
      </c>
      <c r="E448" s="136"/>
      <c r="F448" s="136"/>
      <c r="G448" s="136"/>
      <c r="H448" s="136"/>
      <c r="I448" s="136"/>
      <c r="J448" s="136"/>
      <c r="K448" s="136"/>
      <c r="L448" s="136"/>
    </row>
    <row r="449" spans="1:12" x14ac:dyDescent="0.15">
      <c r="A449" s="136"/>
      <c r="B449" s="136"/>
      <c r="C449" s="136"/>
      <c r="D449" s="136"/>
      <c r="E449" s="136"/>
      <c r="F449" s="136"/>
      <c r="G449" s="136"/>
      <c r="H449" s="136"/>
      <c r="I449" s="136"/>
      <c r="J449" s="136"/>
      <c r="K449" s="136"/>
      <c r="L449" s="136"/>
    </row>
    <row r="450" spans="1:12" x14ac:dyDescent="0.15">
      <c r="A450" s="136"/>
      <c r="B450" s="79" t="s">
        <v>2686</v>
      </c>
      <c r="C450" s="79" t="s">
        <v>5399</v>
      </c>
      <c r="D450" s="299"/>
      <c r="E450" s="79" t="s">
        <v>3954</v>
      </c>
      <c r="F450" s="299">
        <v>2</v>
      </c>
      <c r="G450" s="79"/>
      <c r="H450" s="299"/>
      <c r="I450" s="79"/>
      <c r="J450" s="299"/>
      <c r="K450" s="79" t="s">
        <v>8938</v>
      </c>
      <c r="L450" s="299"/>
    </row>
    <row r="451" spans="1:12" x14ac:dyDescent="0.15">
      <c r="A451" s="136"/>
      <c r="B451" s="115"/>
      <c r="C451" s="136"/>
      <c r="D451" s="136"/>
      <c r="E451" s="136"/>
      <c r="F451" s="136"/>
      <c r="G451" s="136"/>
      <c r="H451" s="136"/>
      <c r="I451" s="136"/>
      <c r="J451" s="136"/>
      <c r="K451" s="115" t="s">
        <v>8939</v>
      </c>
      <c r="L451" s="136"/>
    </row>
    <row r="452" spans="1:12" x14ac:dyDescent="0.15">
      <c r="A452" s="136"/>
      <c r="B452" s="115" t="s">
        <v>2687</v>
      </c>
      <c r="C452" s="136"/>
      <c r="D452" s="136"/>
      <c r="E452" s="136"/>
      <c r="F452" s="136"/>
      <c r="G452" s="136"/>
      <c r="H452" s="136"/>
      <c r="I452" s="136"/>
      <c r="J452" s="136"/>
      <c r="K452" s="115" t="s">
        <v>8940</v>
      </c>
      <c r="L452" s="136"/>
    </row>
    <row r="453" spans="1:12" x14ac:dyDescent="0.15">
      <c r="A453" s="136"/>
      <c r="B453" s="115" t="s">
        <v>2684</v>
      </c>
      <c r="C453" s="136"/>
      <c r="D453" s="136"/>
      <c r="E453" s="136"/>
      <c r="F453" s="136"/>
      <c r="G453" s="136"/>
      <c r="H453" s="136"/>
      <c r="I453" s="136"/>
      <c r="J453" s="136"/>
      <c r="K453" s="115" t="s">
        <v>8941</v>
      </c>
      <c r="L453" s="136"/>
    </row>
    <row r="454" spans="1:12" x14ac:dyDescent="0.15">
      <c r="A454" s="136"/>
      <c r="B454" s="115" t="s">
        <v>2685</v>
      </c>
      <c r="C454" s="136"/>
      <c r="D454" s="136"/>
      <c r="E454" s="136"/>
      <c r="F454" s="136"/>
      <c r="G454" s="136"/>
      <c r="H454" s="136"/>
      <c r="I454" s="136"/>
      <c r="J454" s="136"/>
      <c r="K454" s="115" t="s">
        <v>8942</v>
      </c>
      <c r="L454" s="136"/>
    </row>
    <row r="455" spans="1:12" x14ac:dyDescent="0.15">
      <c r="A455" s="136"/>
      <c r="B455" s="115" t="s">
        <v>2688</v>
      </c>
      <c r="C455" s="136"/>
      <c r="D455" s="136"/>
      <c r="E455" s="136"/>
      <c r="F455" s="136"/>
      <c r="G455" s="136"/>
      <c r="H455" s="136"/>
      <c r="I455" s="136"/>
      <c r="J455" s="136"/>
      <c r="K455" s="115" t="s">
        <v>8943</v>
      </c>
      <c r="L455" s="136"/>
    </row>
    <row r="456" spans="1:12" x14ac:dyDescent="0.15">
      <c r="A456" s="136"/>
      <c r="B456" s="115" t="s">
        <v>2689</v>
      </c>
      <c r="C456" s="136"/>
      <c r="D456" s="136"/>
      <c r="E456" s="136"/>
      <c r="F456" s="136"/>
      <c r="G456" s="136"/>
      <c r="H456" s="136"/>
      <c r="I456" s="136"/>
      <c r="J456" s="136"/>
      <c r="K456" s="115" t="s">
        <v>8944</v>
      </c>
      <c r="L456" s="136"/>
    </row>
    <row r="457" spans="1:12" x14ac:dyDescent="0.15">
      <c r="A457" s="136"/>
      <c r="B457" s="115" t="s">
        <v>2690</v>
      </c>
      <c r="C457" s="136"/>
      <c r="D457" s="136"/>
      <c r="E457" s="136"/>
      <c r="F457" s="136"/>
      <c r="G457" s="136"/>
      <c r="H457" s="136"/>
      <c r="I457" s="136"/>
      <c r="J457" s="136"/>
      <c r="K457" s="115" t="s">
        <v>8945</v>
      </c>
      <c r="L457" s="136"/>
    </row>
    <row r="458" spans="1:12" x14ac:dyDescent="0.15">
      <c r="A458" s="136"/>
      <c r="B458" s="115" t="s">
        <v>2691</v>
      </c>
      <c r="C458" s="136"/>
      <c r="D458" s="136"/>
      <c r="E458" s="136"/>
      <c r="F458" s="136"/>
      <c r="G458" s="136"/>
      <c r="H458" s="136"/>
      <c r="I458" s="136"/>
      <c r="J458" s="136"/>
      <c r="K458" s="115" t="s">
        <v>8946</v>
      </c>
      <c r="L458" s="136"/>
    </row>
    <row r="459" spans="1:12" x14ac:dyDescent="0.15">
      <c r="A459" s="136"/>
      <c r="B459" s="115" t="s">
        <v>2692</v>
      </c>
      <c r="C459" s="136"/>
      <c r="D459" s="136"/>
      <c r="E459" s="136"/>
      <c r="F459" s="136"/>
      <c r="G459" s="136"/>
      <c r="H459" s="136"/>
      <c r="I459" s="136"/>
      <c r="J459" s="136"/>
      <c r="K459" s="115" t="s">
        <v>8947</v>
      </c>
      <c r="L459" s="136"/>
    </row>
    <row r="460" spans="1:12" x14ac:dyDescent="0.15">
      <c r="A460" s="136"/>
      <c r="B460" s="115" t="s">
        <v>2693</v>
      </c>
      <c r="C460" s="136"/>
      <c r="D460" s="136"/>
      <c r="E460" s="136"/>
      <c r="F460" s="136"/>
      <c r="G460" s="136"/>
      <c r="H460" s="136"/>
      <c r="I460" s="136"/>
      <c r="J460" s="136"/>
      <c r="K460" s="115" t="s">
        <v>8948</v>
      </c>
      <c r="L460" s="136"/>
    </row>
    <row r="461" spans="1:12" x14ac:dyDescent="0.15">
      <c r="A461" s="136"/>
      <c r="B461" s="115" t="s">
        <v>2694</v>
      </c>
      <c r="C461" s="136"/>
      <c r="D461" s="136"/>
      <c r="E461" s="136"/>
      <c r="F461" s="136"/>
      <c r="G461" s="136"/>
      <c r="H461" s="136"/>
      <c r="I461" s="136"/>
      <c r="J461" s="136"/>
      <c r="K461" s="115" t="s">
        <v>8949</v>
      </c>
      <c r="L461" s="136"/>
    </row>
    <row r="462" spans="1:12" x14ac:dyDescent="0.15">
      <c r="A462" s="136"/>
      <c r="B462" s="115" t="s">
        <v>2695</v>
      </c>
      <c r="C462" s="136"/>
      <c r="D462" s="136"/>
      <c r="E462" s="136"/>
      <c r="F462" s="136"/>
      <c r="G462" s="136"/>
      <c r="H462" s="136"/>
      <c r="I462" s="136"/>
      <c r="J462" s="136"/>
      <c r="K462" s="115" t="s">
        <v>8950</v>
      </c>
      <c r="L462" s="136"/>
    </row>
    <row r="463" spans="1:12" x14ac:dyDescent="0.15">
      <c r="A463" s="136"/>
      <c r="B463" s="115" t="s">
        <v>2696</v>
      </c>
      <c r="C463" s="136"/>
      <c r="D463" s="136"/>
      <c r="E463" s="136"/>
      <c r="F463" s="136"/>
      <c r="G463" s="136"/>
      <c r="H463" s="136"/>
      <c r="I463" s="136"/>
      <c r="J463" s="136"/>
      <c r="K463" s="115" t="s">
        <v>8951</v>
      </c>
      <c r="L463" s="136"/>
    </row>
    <row r="464" spans="1:12" x14ac:dyDescent="0.15">
      <c r="A464" s="136"/>
      <c r="B464" s="115" t="s">
        <v>2697</v>
      </c>
      <c r="C464" s="136"/>
      <c r="D464" s="136"/>
      <c r="E464" s="136"/>
      <c r="F464" s="136"/>
      <c r="G464" s="136"/>
      <c r="H464" s="136"/>
      <c r="I464" s="136"/>
      <c r="J464" s="136"/>
      <c r="K464" s="115" t="s">
        <v>8952</v>
      </c>
      <c r="L464" s="136"/>
    </row>
    <row r="465" spans="1:12" x14ac:dyDescent="0.15">
      <c r="A465" s="136"/>
      <c r="B465" s="115" t="s">
        <v>2698</v>
      </c>
      <c r="C465" s="136"/>
      <c r="D465" s="136"/>
      <c r="E465" s="136"/>
      <c r="F465" s="136"/>
      <c r="G465" s="136"/>
      <c r="H465" s="136"/>
      <c r="I465" s="136"/>
      <c r="J465" s="136"/>
      <c r="K465" s="115" t="s">
        <v>8953</v>
      </c>
      <c r="L465" s="136"/>
    </row>
    <row r="466" spans="1:12" x14ac:dyDescent="0.15">
      <c r="A466" s="136"/>
      <c r="B466" s="115" t="s">
        <v>2699</v>
      </c>
      <c r="C466" s="136"/>
      <c r="D466" s="136"/>
      <c r="E466" s="136"/>
      <c r="F466" s="136"/>
      <c r="G466" s="136"/>
      <c r="H466" s="136"/>
      <c r="I466" s="136"/>
      <c r="J466" s="136"/>
      <c r="K466" s="115" t="s">
        <v>8954</v>
      </c>
      <c r="L466" s="136"/>
    </row>
    <row r="467" spans="1:12" x14ac:dyDescent="0.15">
      <c r="A467" s="136"/>
      <c r="B467" s="115" t="s">
        <v>2700</v>
      </c>
      <c r="C467" s="136"/>
      <c r="D467" s="136"/>
      <c r="E467" s="136"/>
      <c r="F467" s="136"/>
      <c r="G467" s="136"/>
      <c r="H467" s="136"/>
      <c r="I467" s="136"/>
      <c r="J467" s="136"/>
      <c r="K467" s="115" t="s">
        <v>8955</v>
      </c>
      <c r="L467" s="136"/>
    </row>
    <row r="468" spans="1:12" x14ac:dyDescent="0.15">
      <c r="A468" s="136"/>
      <c r="B468" s="115" t="s">
        <v>2701</v>
      </c>
      <c r="C468" s="136"/>
      <c r="D468" s="136"/>
      <c r="E468" s="136"/>
      <c r="F468" s="136"/>
      <c r="G468" s="136"/>
      <c r="H468" s="136"/>
      <c r="I468" s="136"/>
      <c r="J468" s="136"/>
      <c r="K468" s="115" t="s">
        <v>8956</v>
      </c>
      <c r="L468" s="136"/>
    </row>
    <row r="469" spans="1:12" x14ac:dyDescent="0.15">
      <c r="A469" s="136"/>
      <c r="B469" s="115" t="s">
        <v>2702</v>
      </c>
      <c r="C469" s="136"/>
      <c r="D469" s="136"/>
      <c r="E469" s="136"/>
      <c r="F469" s="136"/>
      <c r="G469" s="136"/>
      <c r="H469" s="136"/>
      <c r="I469" s="136"/>
      <c r="J469" s="136"/>
      <c r="K469" s="115" t="s">
        <v>8957</v>
      </c>
      <c r="L469" s="136"/>
    </row>
    <row r="470" spans="1:12" x14ac:dyDescent="0.15">
      <c r="A470" s="136"/>
      <c r="B470" s="115" t="s">
        <v>2703</v>
      </c>
      <c r="C470" s="136"/>
      <c r="D470" s="136"/>
      <c r="E470" s="136"/>
      <c r="F470" s="136"/>
      <c r="G470" s="136"/>
      <c r="H470" s="136"/>
      <c r="I470" s="136"/>
      <c r="J470" s="136"/>
      <c r="K470" s="115" t="s">
        <v>8958</v>
      </c>
      <c r="L470" s="136"/>
    </row>
    <row r="471" spans="1:12" x14ac:dyDescent="0.15">
      <c r="A471" s="136"/>
      <c r="B471" s="115" t="s">
        <v>2704</v>
      </c>
      <c r="C471" s="136"/>
      <c r="D471" s="136"/>
      <c r="E471" s="136"/>
      <c r="F471" s="136"/>
      <c r="G471" s="136"/>
      <c r="H471" s="136"/>
      <c r="I471" s="136"/>
      <c r="J471" s="136"/>
      <c r="K471" s="115" t="s">
        <v>8959</v>
      </c>
      <c r="L471" s="136"/>
    </row>
    <row r="472" spans="1:12" x14ac:dyDescent="0.15">
      <c r="A472" s="136"/>
      <c r="B472" s="115" t="s">
        <v>2705</v>
      </c>
      <c r="C472" s="136"/>
      <c r="D472" s="136"/>
      <c r="E472" s="136"/>
      <c r="F472" s="136"/>
      <c r="G472" s="136"/>
      <c r="H472" s="136"/>
      <c r="I472" s="136"/>
      <c r="J472" s="136"/>
      <c r="K472" s="115" t="s">
        <v>8960</v>
      </c>
      <c r="L472" s="136"/>
    </row>
    <row r="473" spans="1:12" x14ac:dyDescent="0.15">
      <c r="A473" s="136"/>
      <c r="B473" s="115" t="s">
        <v>2706</v>
      </c>
      <c r="C473" s="136"/>
      <c r="D473" s="136"/>
      <c r="E473" s="136"/>
      <c r="F473" s="136"/>
      <c r="G473" s="136"/>
      <c r="H473" s="136"/>
      <c r="I473" s="136"/>
      <c r="J473" s="136"/>
      <c r="K473" s="115" t="s">
        <v>8961</v>
      </c>
      <c r="L473" s="136"/>
    </row>
    <row r="474" spans="1:12" x14ac:dyDescent="0.15">
      <c r="A474" s="136"/>
      <c r="B474" s="115" t="s">
        <v>2707</v>
      </c>
      <c r="C474" s="136"/>
      <c r="D474" s="136"/>
      <c r="E474" s="136"/>
      <c r="F474" s="136"/>
      <c r="G474" s="136"/>
      <c r="H474" s="136"/>
      <c r="I474" s="136"/>
      <c r="J474" s="136"/>
      <c r="K474" s="115" t="s">
        <v>8962</v>
      </c>
      <c r="L474" s="136"/>
    </row>
    <row r="475" spans="1:12" x14ac:dyDescent="0.15">
      <c r="A475" s="136"/>
      <c r="B475" s="115" t="s">
        <v>2708</v>
      </c>
      <c r="C475" s="136"/>
      <c r="D475" s="136"/>
      <c r="E475" s="136"/>
      <c r="F475" s="136"/>
      <c r="G475" s="136"/>
      <c r="H475" s="136"/>
      <c r="I475" s="136"/>
      <c r="J475" s="136"/>
      <c r="K475" s="115" t="s">
        <v>8963</v>
      </c>
      <c r="L475" s="136"/>
    </row>
    <row r="476" spans="1:12" x14ac:dyDescent="0.15">
      <c r="A476" s="136"/>
      <c r="B476" s="115" t="s">
        <v>2709</v>
      </c>
      <c r="C476" s="136"/>
      <c r="D476" s="136"/>
      <c r="E476" s="136"/>
      <c r="F476" s="136"/>
      <c r="G476" s="136"/>
      <c r="H476" s="136"/>
      <c r="I476" s="136"/>
      <c r="J476" s="136"/>
      <c r="K476" s="115" t="s">
        <v>8964</v>
      </c>
      <c r="L476" s="136"/>
    </row>
    <row r="477" spans="1:12" x14ac:dyDescent="0.15">
      <c r="A477" s="136"/>
      <c r="B477" s="115" t="s">
        <v>2710</v>
      </c>
      <c r="C477" s="136"/>
      <c r="D477" s="136"/>
      <c r="E477" s="136"/>
      <c r="F477" s="136"/>
      <c r="G477" s="136"/>
      <c r="H477" s="136"/>
      <c r="I477" s="136"/>
      <c r="J477" s="136"/>
      <c r="K477" s="115" t="s">
        <v>8965</v>
      </c>
      <c r="L477" s="136"/>
    </row>
    <row r="478" spans="1:12" x14ac:dyDescent="0.15">
      <c r="A478" s="136"/>
      <c r="B478" s="115" t="s">
        <v>2711</v>
      </c>
      <c r="C478" s="136"/>
      <c r="D478" s="136"/>
      <c r="E478" s="136"/>
      <c r="F478" s="136"/>
      <c r="G478" s="136"/>
      <c r="H478" s="136"/>
      <c r="I478" s="136"/>
      <c r="J478" s="136"/>
      <c r="K478" s="115" t="s">
        <v>8966</v>
      </c>
      <c r="L478" s="136"/>
    </row>
    <row r="479" spans="1:12" x14ac:dyDescent="0.15">
      <c r="A479" s="136"/>
      <c r="B479" s="115" t="s">
        <v>2712</v>
      </c>
      <c r="C479" s="136"/>
      <c r="D479" s="136"/>
      <c r="E479" s="136"/>
      <c r="F479" s="136"/>
      <c r="G479" s="136"/>
      <c r="H479" s="136"/>
      <c r="I479" s="136"/>
      <c r="J479" s="136"/>
      <c r="K479" s="115" t="s">
        <v>8967</v>
      </c>
      <c r="L479" s="136"/>
    </row>
    <row r="480" spans="1:12" x14ac:dyDescent="0.15">
      <c r="A480" s="136"/>
      <c r="B480" s="115" t="s">
        <v>2713</v>
      </c>
      <c r="C480" s="136"/>
      <c r="D480" s="136"/>
      <c r="E480" s="136"/>
      <c r="F480" s="136"/>
      <c r="G480" s="136"/>
      <c r="H480" s="136"/>
      <c r="I480" s="136"/>
      <c r="J480" s="136"/>
      <c r="K480" s="115" t="s">
        <v>8968</v>
      </c>
      <c r="L480" s="136"/>
    </row>
    <row r="481" spans="1:12" x14ac:dyDescent="0.15">
      <c r="A481" s="136"/>
      <c r="B481" s="115" t="s">
        <v>2714</v>
      </c>
      <c r="C481" s="136"/>
      <c r="D481" s="136"/>
      <c r="E481" s="136"/>
      <c r="F481" s="136"/>
      <c r="G481" s="136"/>
      <c r="H481" s="136"/>
      <c r="I481" s="136"/>
      <c r="J481" s="136"/>
      <c r="K481" s="115" t="s">
        <v>8969</v>
      </c>
      <c r="L481" s="136"/>
    </row>
    <row r="482" spans="1:12" x14ac:dyDescent="0.15">
      <c r="A482" s="136"/>
      <c r="B482" s="115" t="s">
        <v>2715</v>
      </c>
      <c r="C482" s="136"/>
      <c r="D482" s="136"/>
      <c r="E482" s="136"/>
      <c r="F482" s="136"/>
      <c r="G482" s="136"/>
      <c r="H482" s="136"/>
      <c r="I482" s="136"/>
      <c r="J482" s="136"/>
      <c r="K482" s="115" t="s">
        <v>8970</v>
      </c>
      <c r="L482" s="136"/>
    </row>
    <row r="483" spans="1:12" x14ac:dyDescent="0.15">
      <c r="A483" s="136"/>
      <c r="B483" s="115" t="s">
        <v>2716</v>
      </c>
      <c r="C483" s="136"/>
      <c r="D483" s="136"/>
      <c r="E483" s="136"/>
      <c r="F483" s="136"/>
      <c r="G483" s="136"/>
      <c r="H483" s="136"/>
      <c r="I483" s="136"/>
      <c r="J483" s="136"/>
      <c r="K483" s="115" t="s">
        <v>8971</v>
      </c>
      <c r="L483" s="136"/>
    </row>
    <row r="484" spans="1:12" x14ac:dyDescent="0.15">
      <c r="A484" s="136"/>
      <c r="B484" s="115" t="s">
        <v>2717</v>
      </c>
      <c r="C484" s="136"/>
      <c r="D484" s="136"/>
      <c r="E484" s="136"/>
      <c r="F484" s="136"/>
      <c r="G484" s="136"/>
      <c r="H484" s="136"/>
      <c r="I484" s="136"/>
      <c r="J484" s="136"/>
      <c r="K484" s="115" t="s">
        <v>8972</v>
      </c>
      <c r="L484" s="136"/>
    </row>
    <row r="485" spans="1:12" x14ac:dyDescent="0.15">
      <c r="A485" s="136"/>
      <c r="B485" s="115" t="s">
        <v>2718</v>
      </c>
      <c r="C485" s="136"/>
      <c r="D485" s="136"/>
      <c r="E485" s="136"/>
      <c r="F485" s="136"/>
      <c r="G485" s="136"/>
      <c r="H485" s="136"/>
      <c r="I485" s="136"/>
      <c r="J485" s="136"/>
      <c r="K485" s="115" t="s">
        <v>8973</v>
      </c>
      <c r="L485" s="136"/>
    </row>
    <row r="486" spans="1:12" x14ac:dyDescent="0.15">
      <c r="A486" s="136"/>
      <c r="B486" s="115" t="s">
        <v>2719</v>
      </c>
      <c r="C486" s="136"/>
      <c r="D486" s="136"/>
      <c r="E486" s="136"/>
      <c r="F486" s="136"/>
      <c r="G486" s="136"/>
      <c r="H486" s="136"/>
      <c r="I486" s="136"/>
      <c r="J486" s="136"/>
      <c r="K486" s="115" t="s">
        <v>8974</v>
      </c>
      <c r="L486" s="136"/>
    </row>
    <row r="487" spans="1:12" x14ac:dyDescent="0.15">
      <c r="A487" s="136"/>
      <c r="B487" s="115" t="s">
        <v>2720</v>
      </c>
      <c r="C487" s="136"/>
      <c r="D487" s="136"/>
      <c r="E487" s="136"/>
      <c r="F487" s="136"/>
      <c r="G487" s="136"/>
      <c r="H487" s="136"/>
      <c r="I487" s="136"/>
      <c r="J487" s="136"/>
      <c r="K487" s="115" t="s">
        <v>8975</v>
      </c>
      <c r="L487" s="136"/>
    </row>
    <row r="488" spans="1:12" x14ac:dyDescent="0.15">
      <c r="A488" s="136"/>
      <c r="B488" s="115" t="s">
        <v>2721</v>
      </c>
      <c r="C488" s="136"/>
      <c r="D488" s="136"/>
      <c r="E488" s="136"/>
      <c r="F488" s="136"/>
      <c r="G488" s="136"/>
      <c r="H488" s="136"/>
      <c r="I488" s="136"/>
      <c r="J488" s="136"/>
      <c r="K488" s="115" t="s">
        <v>8976</v>
      </c>
      <c r="L488" s="136"/>
    </row>
    <row r="489" spans="1:12" x14ac:dyDescent="0.15">
      <c r="A489" s="136"/>
      <c r="B489" s="115" t="s">
        <v>2722</v>
      </c>
      <c r="C489" s="136"/>
      <c r="D489" s="136"/>
      <c r="E489" s="136"/>
      <c r="F489" s="136"/>
      <c r="G489" s="136"/>
      <c r="H489" s="136"/>
      <c r="I489" s="136"/>
      <c r="J489" s="136"/>
      <c r="K489" s="115" t="s">
        <v>8977</v>
      </c>
      <c r="L489" s="136"/>
    </row>
    <row r="490" spans="1:12" x14ac:dyDescent="0.15">
      <c r="A490" s="136"/>
      <c r="B490" s="115" t="s">
        <v>2723</v>
      </c>
      <c r="C490" s="136"/>
      <c r="D490" s="136"/>
      <c r="E490" s="136"/>
      <c r="F490" s="136"/>
      <c r="G490" s="136"/>
      <c r="H490" s="136"/>
      <c r="I490" s="136"/>
      <c r="J490" s="136"/>
      <c r="K490" s="115" t="s">
        <v>8978</v>
      </c>
      <c r="L490" s="136"/>
    </row>
    <row r="491" spans="1:12" x14ac:dyDescent="0.15">
      <c r="A491" s="136"/>
      <c r="B491" s="115" t="s">
        <v>2724</v>
      </c>
      <c r="C491" s="136"/>
      <c r="D491" s="136"/>
      <c r="E491" s="136"/>
      <c r="F491" s="136"/>
      <c r="G491" s="136"/>
      <c r="H491" s="136"/>
      <c r="I491" s="136"/>
      <c r="J491" s="136"/>
      <c r="K491" s="115" t="s">
        <v>8979</v>
      </c>
      <c r="L491" s="136"/>
    </row>
    <row r="492" spans="1:12" x14ac:dyDescent="0.15">
      <c r="A492" s="136"/>
      <c r="B492" s="115" t="s">
        <v>2725</v>
      </c>
      <c r="C492" s="136"/>
      <c r="D492" s="136"/>
      <c r="E492" s="136"/>
      <c r="F492" s="136"/>
      <c r="G492" s="136"/>
      <c r="H492" s="136"/>
      <c r="I492" s="136"/>
      <c r="J492" s="136"/>
      <c r="K492" s="115" t="s">
        <v>8980</v>
      </c>
      <c r="L492" s="136"/>
    </row>
    <row r="493" spans="1:12" x14ac:dyDescent="0.15">
      <c r="A493" s="136"/>
      <c r="B493" s="115" t="s">
        <v>2726</v>
      </c>
      <c r="C493" s="136"/>
      <c r="D493" s="136"/>
      <c r="E493" s="136"/>
      <c r="F493" s="136"/>
      <c r="G493" s="136"/>
      <c r="H493" s="136"/>
      <c r="I493" s="136"/>
      <c r="J493" s="136"/>
      <c r="K493" s="115" t="s">
        <v>8981</v>
      </c>
      <c r="L493" s="136"/>
    </row>
    <row r="494" spans="1:12" x14ac:dyDescent="0.15">
      <c r="A494" s="136"/>
      <c r="B494" s="115" t="s">
        <v>2727</v>
      </c>
      <c r="C494" s="136"/>
      <c r="D494" s="136"/>
      <c r="E494" s="136"/>
      <c r="F494" s="136"/>
      <c r="G494" s="136"/>
      <c r="H494" s="136"/>
      <c r="I494" s="136"/>
      <c r="J494" s="136"/>
      <c r="K494" s="115" t="s">
        <v>8982</v>
      </c>
      <c r="L494" s="136"/>
    </row>
    <row r="495" spans="1:12" x14ac:dyDescent="0.15">
      <c r="A495" s="136"/>
      <c r="B495" s="115" t="s">
        <v>2728</v>
      </c>
      <c r="C495" s="136"/>
      <c r="D495" s="136"/>
      <c r="E495" s="136"/>
      <c r="F495" s="136"/>
      <c r="G495" s="136"/>
      <c r="H495" s="136"/>
      <c r="I495" s="136"/>
      <c r="J495" s="136"/>
      <c r="K495" s="115" t="s">
        <v>8983</v>
      </c>
      <c r="L495" s="136"/>
    </row>
    <row r="496" spans="1:12" x14ac:dyDescent="0.15">
      <c r="A496" s="136"/>
      <c r="B496" s="115" t="s">
        <v>2729</v>
      </c>
      <c r="C496" s="136"/>
      <c r="D496" s="136"/>
      <c r="E496" s="136"/>
      <c r="F496" s="136"/>
      <c r="G496" s="136"/>
      <c r="H496" s="136"/>
      <c r="I496" s="136"/>
      <c r="J496" s="136"/>
      <c r="K496" s="115" t="s">
        <v>8984</v>
      </c>
      <c r="L496" s="136"/>
    </row>
    <row r="497" spans="1:12" x14ac:dyDescent="0.15">
      <c r="A497" s="136"/>
      <c r="B497" s="115" t="s">
        <v>2730</v>
      </c>
      <c r="C497" s="136"/>
      <c r="D497" s="136"/>
      <c r="E497" s="136"/>
      <c r="F497" s="136"/>
      <c r="G497" s="136"/>
      <c r="H497" s="136"/>
      <c r="I497" s="136"/>
      <c r="J497" s="136"/>
      <c r="K497" s="115" t="s">
        <v>8985</v>
      </c>
      <c r="L497" s="136"/>
    </row>
    <row r="498" spans="1:12" x14ac:dyDescent="0.15">
      <c r="A498" s="136"/>
      <c r="B498" s="115" t="s">
        <v>2731</v>
      </c>
      <c r="C498" s="136"/>
      <c r="D498" s="136"/>
      <c r="E498" s="136"/>
      <c r="F498" s="136"/>
      <c r="G498" s="136"/>
      <c r="H498" s="136"/>
      <c r="I498" s="136"/>
      <c r="J498" s="136"/>
      <c r="K498" s="115" t="s">
        <v>8986</v>
      </c>
      <c r="L498" s="136"/>
    </row>
    <row r="499" spans="1:12" x14ac:dyDescent="0.15">
      <c r="A499" s="136"/>
      <c r="B499" s="115" t="s">
        <v>2732</v>
      </c>
      <c r="C499" s="136"/>
      <c r="D499" s="136"/>
      <c r="E499" s="136"/>
      <c r="F499" s="136"/>
      <c r="G499" s="136"/>
      <c r="H499" s="136"/>
      <c r="I499" s="136"/>
      <c r="J499" s="136"/>
      <c r="K499" s="115" t="s">
        <v>8987</v>
      </c>
      <c r="L499" s="136"/>
    </row>
    <row r="500" spans="1:12" x14ac:dyDescent="0.15">
      <c r="A500" s="136"/>
      <c r="B500" s="115" t="s">
        <v>2733</v>
      </c>
      <c r="C500" s="136"/>
      <c r="D500" s="136"/>
      <c r="E500" s="136"/>
      <c r="F500" s="136"/>
      <c r="G500" s="136"/>
      <c r="H500" s="136"/>
      <c r="I500" s="136"/>
      <c r="J500" s="136"/>
      <c r="K500" s="115" t="s">
        <v>8988</v>
      </c>
      <c r="L500" s="136"/>
    </row>
    <row r="501" spans="1:12" x14ac:dyDescent="0.15">
      <c r="A501" s="136"/>
      <c r="B501" s="115" t="s">
        <v>2734</v>
      </c>
      <c r="C501" s="136"/>
      <c r="D501" s="136"/>
      <c r="E501" s="136"/>
      <c r="F501" s="136"/>
      <c r="G501" s="136"/>
      <c r="H501" s="136"/>
      <c r="I501" s="136"/>
      <c r="J501" s="136"/>
      <c r="K501" s="115" t="s">
        <v>8989</v>
      </c>
      <c r="L501" s="136"/>
    </row>
    <row r="502" spans="1:12" x14ac:dyDescent="0.15">
      <c r="A502" s="136"/>
      <c r="B502" s="115" t="s">
        <v>2735</v>
      </c>
      <c r="C502" s="136"/>
      <c r="D502" s="136"/>
      <c r="E502" s="136"/>
      <c r="F502" s="136"/>
      <c r="G502" s="136"/>
      <c r="H502" s="136"/>
      <c r="I502" s="136"/>
      <c r="J502" s="136"/>
      <c r="K502" s="115" t="s">
        <v>8990</v>
      </c>
      <c r="L502" s="136"/>
    </row>
    <row r="503" spans="1:12" x14ac:dyDescent="0.15">
      <c r="A503" s="136"/>
      <c r="B503" s="115" t="s">
        <v>2736</v>
      </c>
      <c r="C503" s="136"/>
      <c r="D503" s="136"/>
      <c r="E503" s="136"/>
      <c r="F503" s="136"/>
      <c r="G503" s="136"/>
      <c r="H503" s="136"/>
      <c r="I503" s="136"/>
      <c r="J503" s="136"/>
      <c r="K503" s="115" t="s">
        <v>8991</v>
      </c>
      <c r="L503" s="136"/>
    </row>
    <row r="504" spans="1:12" x14ac:dyDescent="0.15">
      <c r="A504" s="136"/>
      <c r="B504" s="115" t="s">
        <v>2737</v>
      </c>
      <c r="C504" s="136"/>
      <c r="D504" s="136"/>
      <c r="E504" s="136"/>
      <c r="F504" s="136"/>
      <c r="G504" s="136"/>
      <c r="H504" s="136"/>
      <c r="I504" s="136"/>
      <c r="J504" s="136"/>
      <c r="K504" s="115" t="s">
        <v>8992</v>
      </c>
      <c r="L504" s="136"/>
    </row>
    <row r="505" spans="1:12" x14ac:dyDescent="0.15">
      <c r="A505" s="136"/>
      <c r="B505" s="115" t="s">
        <v>2738</v>
      </c>
      <c r="C505" s="136"/>
      <c r="D505" s="136"/>
      <c r="E505" s="136"/>
      <c r="F505" s="136"/>
      <c r="G505" s="136"/>
      <c r="H505" s="136"/>
      <c r="I505" s="136"/>
      <c r="J505" s="136"/>
      <c r="K505" s="115" t="s">
        <v>8993</v>
      </c>
      <c r="L505" s="136"/>
    </row>
    <row r="506" spans="1:12" x14ac:dyDescent="0.15">
      <c r="A506" s="136"/>
      <c r="B506" s="115" t="s">
        <v>2739</v>
      </c>
      <c r="C506" s="136"/>
      <c r="D506" s="136"/>
      <c r="E506" s="136"/>
      <c r="F506" s="136"/>
      <c r="G506" s="136"/>
      <c r="H506" s="136"/>
      <c r="I506" s="136"/>
      <c r="J506" s="136"/>
      <c r="K506" s="115" t="s">
        <v>8994</v>
      </c>
      <c r="L506" s="136"/>
    </row>
    <row r="507" spans="1:12" x14ac:dyDescent="0.15">
      <c r="A507" s="136"/>
      <c r="B507" s="115" t="s">
        <v>2740</v>
      </c>
      <c r="C507" s="136"/>
      <c r="D507" s="136"/>
      <c r="E507" s="136"/>
      <c r="F507" s="136"/>
      <c r="G507" s="136"/>
      <c r="H507" s="136"/>
      <c r="I507" s="136"/>
      <c r="J507" s="136"/>
      <c r="K507" s="115" t="s">
        <v>8995</v>
      </c>
      <c r="L507" s="136"/>
    </row>
    <row r="508" spans="1:12" x14ac:dyDescent="0.15">
      <c r="A508" s="136"/>
      <c r="B508" s="115" t="s">
        <v>2741</v>
      </c>
      <c r="C508" s="136"/>
      <c r="D508" s="136"/>
      <c r="E508" s="136"/>
      <c r="F508" s="136"/>
      <c r="G508" s="136"/>
      <c r="H508" s="136"/>
      <c r="I508" s="136"/>
      <c r="J508" s="136"/>
      <c r="K508" s="115" t="s">
        <v>8996</v>
      </c>
      <c r="L508" s="136"/>
    </row>
    <row r="509" spans="1:12" x14ac:dyDescent="0.15">
      <c r="A509" s="136"/>
      <c r="B509" s="115" t="s">
        <v>2742</v>
      </c>
      <c r="C509" s="136"/>
      <c r="D509" s="136"/>
      <c r="E509" s="136"/>
      <c r="F509" s="136"/>
      <c r="G509" s="136"/>
      <c r="H509" s="136"/>
      <c r="I509" s="136"/>
      <c r="J509" s="136"/>
      <c r="K509" s="136"/>
      <c r="L509" s="136"/>
    </row>
    <row r="510" spans="1:12" x14ac:dyDescent="0.15">
      <c r="A510" s="136"/>
      <c r="B510" s="115" t="s">
        <v>2743</v>
      </c>
      <c r="C510" s="136"/>
      <c r="D510" s="136"/>
      <c r="E510" s="136"/>
      <c r="F510" s="136"/>
      <c r="G510" s="136"/>
      <c r="H510" s="136"/>
      <c r="I510" s="136"/>
      <c r="J510" s="136"/>
      <c r="K510" s="136"/>
      <c r="L510" s="136"/>
    </row>
    <row r="511" spans="1:12" x14ac:dyDescent="0.15">
      <c r="A511" s="136"/>
      <c r="B511" s="115" t="s">
        <v>2744</v>
      </c>
      <c r="C511" s="136"/>
      <c r="D511" s="136"/>
      <c r="E511" s="136"/>
      <c r="F511" s="136"/>
      <c r="G511" s="136"/>
      <c r="H511" s="136"/>
      <c r="I511" s="136"/>
      <c r="J511" s="136"/>
      <c r="K511" s="136"/>
      <c r="L511" s="136"/>
    </row>
    <row r="512" spans="1:12" x14ac:dyDescent="0.15">
      <c r="A512" s="136"/>
      <c r="B512" s="79" t="s">
        <v>2746</v>
      </c>
      <c r="C512" s="136"/>
      <c r="D512" s="136"/>
      <c r="E512" s="136"/>
      <c r="F512" s="136"/>
      <c r="G512" s="136"/>
      <c r="H512" s="136"/>
      <c r="I512" s="136"/>
      <c r="J512" s="136"/>
      <c r="K512" s="136"/>
      <c r="L512" s="136"/>
    </row>
    <row r="513" spans="1:12" x14ac:dyDescent="0.15">
      <c r="A513" s="136"/>
      <c r="B513" s="115"/>
      <c r="C513" s="136"/>
      <c r="D513" s="136"/>
      <c r="E513" s="136"/>
      <c r="F513" s="136"/>
      <c r="G513" s="136"/>
      <c r="H513" s="136"/>
      <c r="I513" s="136"/>
      <c r="J513" s="136"/>
      <c r="K513" s="136"/>
      <c r="L513" s="136"/>
    </row>
    <row r="514" spans="1:12" x14ac:dyDescent="0.15">
      <c r="A514" s="136"/>
      <c r="B514" s="115" t="s">
        <v>2747</v>
      </c>
      <c r="C514" s="136"/>
      <c r="D514" s="136"/>
      <c r="E514" s="136"/>
      <c r="F514" s="136"/>
      <c r="G514" s="136"/>
      <c r="H514" s="136"/>
      <c r="I514" s="136"/>
      <c r="J514" s="136"/>
      <c r="K514" s="136"/>
      <c r="L514" s="136"/>
    </row>
    <row r="515" spans="1:12" x14ac:dyDescent="0.15">
      <c r="A515" s="136"/>
      <c r="B515" s="115" t="s">
        <v>2748</v>
      </c>
      <c r="C515" s="136"/>
      <c r="D515" s="136"/>
      <c r="E515" s="136"/>
      <c r="F515" s="136"/>
      <c r="G515" s="136"/>
      <c r="H515" s="136"/>
      <c r="I515" s="136"/>
      <c r="J515" s="136"/>
      <c r="K515" s="136"/>
      <c r="L515" s="136"/>
    </row>
    <row r="516" spans="1:12" x14ac:dyDescent="0.15">
      <c r="A516" s="136"/>
      <c r="B516" s="115"/>
      <c r="C516" s="136"/>
      <c r="D516" s="136"/>
      <c r="E516" s="136"/>
      <c r="F516" s="136"/>
      <c r="G516" s="136"/>
      <c r="H516" s="136"/>
      <c r="I516" s="136"/>
      <c r="J516" s="136"/>
      <c r="K516" s="136"/>
      <c r="L516" s="136"/>
    </row>
    <row r="517" spans="1:12" x14ac:dyDescent="0.15">
      <c r="A517" s="136"/>
      <c r="B517" s="115"/>
      <c r="C517" s="136"/>
      <c r="D517" s="136"/>
      <c r="E517" s="136"/>
      <c r="F517" s="136"/>
      <c r="G517" s="136"/>
      <c r="H517" s="136"/>
      <c r="I517" s="136"/>
      <c r="J517" s="136"/>
      <c r="K517" s="136"/>
      <c r="L517" s="136"/>
    </row>
    <row r="518" spans="1:12" x14ac:dyDescent="0.15">
      <c r="A518" s="136"/>
      <c r="B518" s="115"/>
      <c r="C518" s="136"/>
      <c r="D518" s="136"/>
      <c r="E518" s="136"/>
      <c r="F518" s="136"/>
      <c r="G518" s="136"/>
      <c r="H518" s="136"/>
      <c r="I518" s="136"/>
      <c r="J518" s="136"/>
      <c r="K518" s="136"/>
      <c r="L518" s="136"/>
    </row>
    <row r="519" spans="1:12" x14ac:dyDescent="0.15">
      <c r="A519" s="136"/>
      <c r="B519" s="115"/>
      <c r="C519" s="136"/>
      <c r="D519" s="136"/>
      <c r="E519" s="136"/>
      <c r="F519" s="136"/>
      <c r="G519" s="136"/>
      <c r="H519" s="136"/>
      <c r="I519" s="136"/>
      <c r="J519" s="136"/>
      <c r="K519" s="136"/>
      <c r="L519" s="136"/>
    </row>
    <row r="520" spans="1:12" x14ac:dyDescent="0.15">
      <c r="A520" s="136"/>
      <c r="B520" s="115"/>
      <c r="C520" s="136"/>
      <c r="D520" s="136"/>
      <c r="E520" s="136"/>
      <c r="F520" s="136"/>
      <c r="G520" s="136"/>
      <c r="H520" s="136"/>
      <c r="I520" s="136"/>
      <c r="J520" s="136"/>
      <c r="K520" s="136"/>
      <c r="L520" s="136"/>
    </row>
    <row r="521" spans="1:12" x14ac:dyDescent="0.15">
      <c r="A521" s="136"/>
      <c r="B521" s="115"/>
      <c r="C521" s="136"/>
      <c r="D521" s="136"/>
      <c r="E521" s="136"/>
      <c r="F521" s="136"/>
      <c r="G521" s="136"/>
      <c r="H521" s="136"/>
      <c r="I521" s="136"/>
      <c r="J521" s="136"/>
      <c r="K521" s="136"/>
      <c r="L521" s="136"/>
    </row>
    <row r="522" spans="1:12" x14ac:dyDescent="0.15">
      <c r="A522" s="136"/>
      <c r="B522" s="115"/>
      <c r="C522" s="136"/>
      <c r="D522" s="136"/>
      <c r="E522" s="136"/>
      <c r="F522" s="136"/>
      <c r="G522" s="136"/>
      <c r="H522" s="136"/>
      <c r="I522" s="136"/>
      <c r="J522" s="136"/>
      <c r="K522" s="136"/>
      <c r="L522" s="136"/>
    </row>
    <row r="523" spans="1:12" x14ac:dyDescent="0.15">
      <c r="A523" s="136"/>
      <c r="B523" s="115"/>
      <c r="C523" s="136"/>
      <c r="D523" s="136"/>
      <c r="E523" s="136"/>
      <c r="F523" s="136"/>
      <c r="G523" s="136"/>
      <c r="H523" s="136"/>
      <c r="I523" s="136"/>
      <c r="J523" s="136"/>
      <c r="K523" s="136"/>
      <c r="L523" s="136"/>
    </row>
    <row r="524" spans="1:12" x14ac:dyDescent="0.15">
      <c r="A524" s="136"/>
      <c r="B524" s="79" t="s">
        <v>2760</v>
      </c>
      <c r="C524" s="136"/>
      <c r="D524" s="136"/>
      <c r="E524" s="136"/>
      <c r="F524" s="136"/>
      <c r="G524" s="136"/>
      <c r="H524" s="136"/>
      <c r="I524" s="136"/>
      <c r="J524" s="136"/>
      <c r="K524" s="136"/>
      <c r="L524" s="136"/>
    </row>
    <row r="525" spans="1:12" x14ac:dyDescent="0.15">
      <c r="A525" s="136"/>
      <c r="B525" s="115" t="str">
        <f>'1. Informations administratives'!C20</f>
        <v>U LORRAINE</v>
      </c>
      <c r="C525" s="136"/>
      <c r="D525" s="136"/>
      <c r="E525" s="136"/>
      <c r="F525" s="136"/>
      <c r="G525" s="136"/>
      <c r="H525" s="136"/>
      <c r="I525" s="136"/>
      <c r="J525" s="136"/>
      <c r="K525" s="136"/>
      <c r="L525" s="136"/>
    </row>
    <row r="526" spans="1:12" x14ac:dyDescent="0.15">
      <c r="A526" s="136"/>
      <c r="B526" s="115">
        <f>'1. Informations administratives'!C21</f>
        <v>0</v>
      </c>
      <c r="C526" s="136"/>
      <c r="D526" s="136"/>
      <c r="E526" s="136"/>
      <c r="F526" s="136"/>
      <c r="G526" s="136"/>
      <c r="H526" s="136"/>
      <c r="I526" s="136"/>
      <c r="J526" s="136"/>
      <c r="K526" s="136"/>
      <c r="L526" s="136"/>
    </row>
    <row r="527" spans="1:12" x14ac:dyDescent="0.15">
      <c r="A527" s="136"/>
      <c r="B527" s="115">
        <f>'1. Informations administratives'!C22</f>
        <v>0</v>
      </c>
      <c r="C527" s="136"/>
      <c r="D527" s="136"/>
      <c r="E527" s="136"/>
      <c r="F527" s="136"/>
      <c r="G527" s="136"/>
      <c r="H527" s="136"/>
      <c r="I527" s="136"/>
      <c r="J527" s="136"/>
      <c r="K527" s="136"/>
      <c r="L527" s="136"/>
    </row>
    <row r="528" spans="1:12" x14ac:dyDescent="0.15">
      <c r="A528" s="136"/>
      <c r="B528" s="115">
        <f>'1. Informations administratives'!C23</f>
        <v>0</v>
      </c>
      <c r="C528" s="136"/>
      <c r="D528" s="136"/>
      <c r="E528" s="136"/>
      <c r="F528" s="136"/>
      <c r="G528" s="136"/>
      <c r="H528" s="136"/>
      <c r="I528" s="136"/>
      <c r="J528" s="136"/>
      <c r="K528" s="136"/>
      <c r="L528" s="136"/>
    </row>
    <row r="529" spans="1:12" x14ac:dyDescent="0.15">
      <c r="A529" s="136"/>
      <c r="B529" s="115">
        <f>'1. Informations administratives'!C24</f>
        <v>0</v>
      </c>
      <c r="C529" s="136"/>
      <c r="D529" s="136"/>
      <c r="E529" s="136"/>
      <c r="F529" s="136"/>
      <c r="G529" s="136"/>
      <c r="H529" s="136"/>
      <c r="I529" s="136"/>
      <c r="J529" s="136"/>
      <c r="K529" s="136"/>
      <c r="L529" s="136"/>
    </row>
    <row r="530" spans="1:12" x14ac:dyDescent="0.15">
      <c r="A530" s="136"/>
      <c r="B530" s="115">
        <f>'1. Informations administratives'!C25</f>
        <v>0</v>
      </c>
      <c r="C530" s="136"/>
      <c r="D530" s="136"/>
      <c r="E530" s="136"/>
      <c r="F530" s="136"/>
      <c r="G530" s="136"/>
      <c r="H530" s="136"/>
      <c r="I530" s="136"/>
      <c r="J530" s="136"/>
      <c r="K530" s="136"/>
      <c r="L530" s="136"/>
    </row>
    <row r="531" spans="1:12" x14ac:dyDescent="0.15">
      <c r="A531" s="136"/>
      <c r="B531" s="115">
        <f>'1. Informations administratives'!C26</f>
        <v>0</v>
      </c>
      <c r="C531" s="136"/>
      <c r="D531" s="136"/>
      <c r="E531" s="136"/>
      <c r="F531" s="136"/>
      <c r="G531" s="136"/>
      <c r="H531" s="136"/>
      <c r="I531" s="136"/>
      <c r="J531" s="136"/>
      <c r="K531" s="136"/>
      <c r="L531" s="136"/>
    </row>
    <row r="532" spans="1:12" x14ac:dyDescent="0.15">
      <c r="A532" s="136"/>
      <c r="B532" s="115">
        <f>'1. Informations administratives'!C27</f>
        <v>0</v>
      </c>
      <c r="C532" s="136"/>
      <c r="D532" s="136"/>
      <c r="E532" s="136"/>
      <c r="F532" s="136"/>
      <c r="G532" s="136"/>
      <c r="H532" s="136"/>
      <c r="I532" s="136"/>
      <c r="J532" s="136"/>
      <c r="K532" s="136"/>
      <c r="L532" s="136"/>
    </row>
    <row r="533" spans="1:12" x14ac:dyDescent="0.15">
      <c r="A533" s="136"/>
      <c r="B533" s="136"/>
      <c r="C533" s="136"/>
      <c r="D533" s="136"/>
      <c r="E533" s="136"/>
      <c r="F533" s="136"/>
      <c r="G533" s="136"/>
      <c r="H533" s="136"/>
      <c r="I533" s="136"/>
      <c r="J533" s="136"/>
      <c r="K533" s="136"/>
      <c r="L533" s="136"/>
    </row>
    <row r="534" spans="1:12" x14ac:dyDescent="0.15">
      <c r="A534" s="77"/>
      <c r="B534" s="77"/>
      <c r="C534" s="77"/>
      <c r="D534" s="77"/>
      <c r="E534" s="77"/>
    </row>
    <row r="535" spans="1:12" ht="18" x14ac:dyDescent="0.15">
      <c r="A535" s="81" t="s">
        <v>2672</v>
      </c>
      <c r="B535" s="82"/>
      <c r="C535" s="82"/>
      <c r="D535" s="83" t="s">
        <v>1412</v>
      </c>
      <c r="E535" s="82"/>
    </row>
    <row r="536" spans="1:12" x14ac:dyDescent="0.15">
      <c r="A536" s="148" t="s">
        <v>74</v>
      </c>
      <c r="B536" s="148" t="s">
        <v>75</v>
      </c>
      <c r="C536" s="148" t="s">
        <v>76</v>
      </c>
      <c r="D536" s="80" t="s">
        <v>77</v>
      </c>
      <c r="E536" s="80"/>
    </row>
    <row r="537" spans="1:12" ht="20" customHeight="1" x14ac:dyDescent="0.15">
      <c r="A537" s="84"/>
      <c r="B537" s="80" t="s">
        <v>2247</v>
      </c>
      <c r="C537" s="80"/>
      <c r="D537" s="85"/>
      <c r="E537" s="82"/>
    </row>
    <row r="538" spans="1:12" ht="20" customHeight="1" x14ac:dyDescent="0.15">
      <c r="A538" s="86" t="s">
        <v>78</v>
      </c>
      <c r="B538" s="87" t="s">
        <v>5834</v>
      </c>
      <c r="C538" s="87" t="s">
        <v>80</v>
      </c>
      <c r="D538" s="87" t="s">
        <v>1488</v>
      </c>
      <c r="E538" s="82" t="s">
        <v>2677</v>
      </c>
    </row>
    <row r="539" spans="1:12" ht="20" customHeight="1" x14ac:dyDescent="0.15">
      <c r="A539" s="86" t="s">
        <v>78</v>
      </c>
      <c r="B539" s="87" t="s">
        <v>5831</v>
      </c>
      <c r="C539" s="87" t="s">
        <v>153</v>
      </c>
      <c r="D539" s="87" t="s">
        <v>1563</v>
      </c>
      <c r="E539" s="82" t="s">
        <v>2768</v>
      </c>
    </row>
    <row r="540" spans="1:12" ht="20" customHeight="1" x14ac:dyDescent="0.15">
      <c r="A540" s="86" t="s">
        <v>78</v>
      </c>
      <c r="B540" s="87" t="s">
        <v>5843</v>
      </c>
      <c r="C540" s="87" t="s">
        <v>155</v>
      </c>
      <c r="D540" s="87" t="s">
        <v>1562</v>
      </c>
      <c r="E540" s="82"/>
    </row>
    <row r="541" spans="1:12" ht="20" customHeight="1" x14ac:dyDescent="0.15">
      <c r="A541" s="86" t="s">
        <v>78</v>
      </c>
      <c r="B541" s="87" t="s">
        <v>120</v>
      </c>
      <c r="C541" s="87" t="s">
        <v>121</v>
      </c>
      <c r="D541" s="87" t="s">
        <v>1571</v>
      </c>
      <c r="E541" s="82"/>
    </row>
    <row r="542" spans="1:12" ht="20" customHeight="1" x14ac:dyDescent="0.15">
      <c r="A542" s="86" t="s">
        <v>78</v>
      </c>
      <c r="B542" s="87" t="s">
        <v>123</v>
      </c>
      <c r="C542" s="87" t="s">
        <v>124</v>
      </c>
      <c r="D542" s="87" t="s">
        <v>1487</v>
      </c>
      <c r="E542" s="82"/>
    </row>
    <row r="543" spans="1:12" ht="20" customHeight="1" x14ac:dyDescent="0.15">
      <c r="A543" s="86" t="s">
        <v>78</v>
      </c>
      <c r="B543" s="87" t="s">
        <v>5836</v>
      </c>
      <c r="C543" s="87" t="s">
        <v>126</v>
      </c>
      <c r="D543" s="87" t="s">
        <v>1570</v>
      </c>
      <c r="E543" s="82"/>
    </row>
    <row r="544" spans="1:12" ht="20" customHeight="1" x14ac:dyDescent="0.15">
      <c r="A544" s="86" t="s">
        <v>78</v>
      </c>
      <c r="B544" s="87" t="s">
        <v>5837</v>
      </c>
      <c r="C544" s="87" t="s">
        <v>129</v>
      </c>
      <c r="D544" s="87" t="s">
        <v>1567</v>
      </c>
      <c r="E544" s="82"/>
    </row>
    <row r="545" spans="1:5" ht="20" customHeight="1" x14ac:dyDescent="0.15">
      <c r="A545" s="86" t="s">
        <v>78</v>
      </c>
      <c r="B545" s="87" t="s">
        <v>5838</v>
      </c>
      <c r="C545" s="87" t="s">
        <v>132</v>
      </c>
      <c r="D545" s="87" t="s">
        <v>1568</v>
      </c>
      <c r="E545" s="82"/>
    </row>
    <row r="546" spans="1:5" ht="20" customHeight="1" x14ac:dyDescent="0.15">
      <c r="A546" s="88" t="s">
        <v>78</v>
      </c>
      <c r="B546" s="87" t="s">
        <v>134</v>
      </c>
      <c r="C546" s="87" t="s">
        <v>135</v>
      </c>
      <c r="D546" s="87" t="s">
        <v>1569</v>
      </c>
      <c r="E546" s="82"/>
    </row>
    <row r="547" spans="1:5" ht="20" customHeight="1" x14ac:dyDescent="0.15">
      <c r="A547" s="84" t="s">
        <v>78</v>
      </c>
      <c r="B547" s="87" t="s">
        <v>5839</v>
      </c>
      <c r="C547" s="87" t="s">
        <v>1413</v>
      </c>
      <c r="D547" s="87" t="s">
        <v>1566</v>
      </c>
      <c r="E547" s="82"/>
    </row>
    <row r="548" spans="1:5" ht="20" customHeight="1" x14ac:dyDescent="0.15">
      <c r="A548" s="86" t="s">
        <v>78</v>
      </c>
      <c r="B548" s="87" t="s">
        <v>1291</v>
      </c>
      <c r="C548" s="87" t="s">
        <v>1292</v>
      </c>
      <c r="D548" s="87" t="s">
        <v>1293</v>
      </c>
      <c r="E548" s="82"/>
    </row>
    <row r="549" spans="1:5" ht="20" customHeight="1" x14ac:dyDescent="0.15">
      <c r="A549" s="86" t="s">
        <v>78</v>
      </c>
      <c r="B549" s="87" t="s">
        <v>5840</v>
      </c>
      <c r="C549" s="87" t="s">
        <v>138</v>
      </c>
      <c r="D549" s="87" t="s">
        <v>139</v>
      </c>
      <c r="E549" s="82"/>
    </row>
    <row r="550" spans="1:5" ht="20" customHeight="1" x14ac:dyDescent="0.15">
      <c r="A550" s="86" t="s">
        <v>78</v>
      </c>
      <c r="B550" s="87" t="s">
        <v>2765</v>
      </c>
      <c r="C550" s="87" t="s">
        <v>143</v>
      </c>
      <c r="D550" s="87" t="s">
        <v>1565</v>
      </c>
      <c r="E550" s="82"/>
    </row>
    <row r="551" spans="1:5" ht="20" customHeight="1" x14ac:dyDescent="0.15">
      <c r="A551" s="86" t="s">
        <v>78</v>
      </c>
      <c r="B551" s="87" t="s">
        <v>145</v>
      </c>
      <c r="C551" s="87" t="s">
        <v>146</v>
      </c>
      <c r="D551" s="87" t="s">
        <v>1564</v>
      </c>
      <c r="E551" s="82"/>
    </row>
    <row r="552" spans="1:5" ht="20" customHeight="1" x14ac:dyDescent="0.15">
      <c r="A552" s="86" t="s">
        <v>78</v>
      </c>
      <c r="B552" s="87" t="s">
        <v>5841</v>
      </c>
      <c r="C552" s="87" t="s">
        <v>151</v>
      </c>
      <c r="D552" s="87" t="s">
        <v>152</v>
      </c>
      <c r="E552" s="82"/>
    </row>
    <row r="553" spans="1:5" ht="20" customHeight="1" x14ac:dyDescent="0.15">
      <c r="A553" s="86" t="s">
        <v>78</v>
      </c>
      <c r="B553" s="87" t="s">
        <v>5852</v>
      </c>
      <c r="C553" s="87" t="s">
        <v>175</v>
      </c>
      <c r="D553" s="87" t="s">
        <v>1554</v>
      </c>
      <c r="E553" s="82"/>
    </row>
    <row r="554" spans="1:5" ht="20" customHeight="1" x14ac:dyDescent="0.15">
      <c r="A554" s="86" t="s">
        <v>78</v>
      </c>
      <c r="B554" s="87" t="s">
        <v>5846</v>
      </c>
      <c r="C554" s="87" t="s">
        <v>162</v>
      </c>
      <c r="D554" s="87" t="s">
        <v>1559</v>
      </c>
      <c r="E554" s="82"/>
    </row>
    <row r="555" spans="1:5" ht="20" customHeight="1" x14ac:dyDescent="0.15">
      <c r="A555" s="86" t="s">
        <v>78</v>
      </c>
      <c r="B555" s="87" t="s">
        <v>5847</v>
      </c>
      <c r="C555" s="87" t="s">
        <v>160</v>
      </c>
      <c r="D555" s="87" t="s">
        <v>1560</v>
      </c>
      <c r="E555" s="82"/>
    </row>
    <row r="556" spans="1:5" ht="20" customHeight="1" x14ac:dyDescent="0.15">
      <c r="A556" s="86" t="s">
        <v>78</v>
      </c>
      <c r="B556" s="87" t="s">
        <v>5844</v>
      </c>
      <c r="C556" s="87" t="s">
        <v>157</v>
      </c>
      <c r="D556" s="87" t="s">
        <v>1561</v>
      </c>
      <c r="E556" s="82" t="s">
        <v>2681</v>
      </c>
    </row>
    <row r="557" spans="1:5" ht="20" customHeight="1" x14ac:dyDescent="0.15">
      <c r="A557" s="86" t="s">
        <v>78</v>
      </c>
      <c r="B557" s="87" t="s">
        <v>5849</v>
      </c>
      <c r="C557" s="87" t="s">
        <v>167</v>
      </c>
      <c r="D557" s="87" t="s">
        <v>1557</v>
      </c>
      <c r="E557" s="82" t="s">
        <v>2682</v>
      </c>
    </row>
    <row r="558" spans="1:5" ht="20" customHeight="1" x14ac:dyDescent="0.15">
      <c r="A558" s="86" t="s">
        <v>78</v>
      </c>
      <c r="B558" s="87" t="s">
        <v>5848</v>
      </c>
      <c r="C558" s="87" t="s">
        <v>169</v>
      </c>
      <c r="D558" s="87" t="s">
        <v>1556</v>
      </c>
      <c r="E558" s="82" t="s">
        <v>2679</v>
      </c>
    </row>
    <row r="559" spans="1:5" ht="20" customHeight="1" x14ac:dyDescent="0.15">
      <c r="A559" s="86" t="s">
        <v>78</v>
      </c>
      <c r="B559" s="87" t="s">
        <v>5851</v>
      </c>
      <c r="C559" s="87" t="s">
        <v>172</v>
      </c>
      <c r="D559" s="87" t="s">
        <v>1555</v>
      </c>
      <c r="E559" s="82"/>
    </row>
    <row r="560" spans="1:5" ht="20" customHeight="1" x14ac:dyDescent="0.15">
      <c r="A560" s="84" t="s">
        <v>78</v>
      </c>
      <c r="B560" s="87" t="s">
        <v>5853</v>
      </c>
      <c r="C560" s="87" t="s">
        <v>178</v>
      </c>
      <c r="D560" s="87" t="s">
        <v>1553</v>
      </c>
      <c r="E560" s="82"/>
    </row>
    <row r="561" spans="1:5" ht="20" customHeight="1" x14ac:dyDescent="0.15">
      <c r="A561" s="86" t="s">
        <v>78</v>
      </c>
      <c r="B561" s="87" t="s">
        <v>5850</v>
      </c>
      <c r="C561" s="87" t="s">
        <v>165</v>
      </c>
      <c r="D561" s="87" t="s">
        <v>1558</v>
      </c>
      <c r="E561" s="82"/>
    </row>
    <row r="562" spans="1:5" ht="20" customHeight="1" x14ac:dyDescent="0.15">
      <c r="A562" s="86" t="s">
        <v>78</v>
      </c>
      <c r="B562" s="87" t="s">
        <v>5854</v>
      </c>
      <c r="C562" s="87" t="s">
        <v>181</v>
      </c>
      <c r="D562" s="87" t="s">
        <v>1552</v>
      </c>
      <c r="E562" s="82"/>
    </row>
    <row r="563" spans="1:5" ht="20" customHeight="1" x14ac:dyDescent="0.15">
      <c r="A563" s="86" t="s">
        <v>78</v>
      </c>
      <c r="B563" s="87" t="s">
        <v>5855</v>
      </c>
      <c r="C563" s="87" t="s">
        <v>183</v>
      </c>
      <c r="D563" s="87" t="s">
        <v>1551</v>
      </c>
      <c r="E563" s="82"/>
    </row>
    <row r="564" spans="1:5" ht="20" customHeight="1" x14ac:dyDescent="0.15">
      <c r="A564" s="84" t="s">
        <v>78</v>
      </c>
      <c r="B564" s="87" t="s">
        <v>5856</v>
      </c>
      <c r="C564" s="87" t="s">
        <v>186</v>
      </c>
      <c r="D564" s="87" t="s">
        <v>1550</v>
      </c>
      <c r="E564" s="82"/>
    </row>
    <row r="565" spans="1:5" ht="20" customHeight="1" x14ac:dyDescent="0.15">
      <c r="A565" s="84" t="s">
        <v>78</v>
      </c>
      <c r="B565" s="87" t="s">
        <v>5857</v>
      </c>
      <c r="C565" s="87" t="s">
        <v>189</v>
      </c>
      <c r="D565" s="87" t="s">
        <v>1549</v>
      </c>
      <c r="E565" s="82"/>
    </row>
    <row r="566" spans="1:5" ht="20" customHeight="1" x14ac:dyDescent="0.15">
      <c r="A566" s="84" t="s">
        <v>78</v>
      </c>
      <c r="B566" s="87" t="s">
        <v>5858</v>
      </c>
      <c r="C566" s="87" t="s">
        <v>192</v>
      </c>
      <c r="D566" s="87" t="s">
        <v>1548</v>
      </c>
      <c r="E566" s="82"/>
    </row>
    <row r="567" spans="1:5" ht="20" customHeight="1" x14ac:dyDescent="0.15">
      <c r="A567" s="84" t="s">
        <v>78</v>
      </c>
      <c r="B567" s="87" t="s">
        <v>5859</v>
      </c>
      <c r="C567" s="87" t="s">
        <v>195</v>
      </c>
      <c r="D567" s="87" t="s">
        <v>1547</v>
      </c>
      <c r="E567" s="82"/>
    </row>
    <row r="568" spans="1:5" ht="20" customHeight="1" x14ac:dyDescent="0.15">
      <c r="A568" s="86" t="s">
        <v>78</v>
      </c>
      <c r="B568" s="87" t="s">
        <v>81</v>
      </c>
      <c r="C568" s="87" t="s">
        <v>82</v>
      </c>
      <c r="D568" s="87" t="s">
        <v>1546</v>
      </c>
      <c r="E568" s="82"/>
    </row>
    <row r="569" spans="1:5" ht="20" customHeight="1" x14ac:dyDescent="0.15">
      <c r="A569" s="86" t="s">
        <v>78</v>
      </c>
      <c r="B569" s="87" t="s">
        <v>207</v>
      </c>
      <c r="C569" s="87" t="s">
        <v>208</v>
      </c>
      <c r="D569" s="87" t="s">
        <v>209</v>
      </c>
      <c r="E569" s="82"/>
    </row>
    <row r="570" spans="1:5" ht="20" customHeight="1" x14ac:dyDescent="0.15">
      <c r="A570" s="86" t="s">
        <v>78</v>
      </c>
      <c r="B570" s="87" t="s">
        <v>201</v>
      </c>
      <c r="C570" s="87" t="s">
        <v>202</v>
      </c>
      <c r="D570" s="87" t="s">
        <v>203</v>
      </c>
      <c r="E570" s="82"/>
    </row>
    <row r="571" spans="1:5" ht="20" customHeight="1" x14ac:dyDescent="0.15">
      <c r="A571" s="86" t="s">
        <v>78</v>
      </c>
      <c r="B571" s="87" t="s">
        <v>140</v>
      </c>
      <c r="C571" s="87" t="s">
        <v>141</v>
      </c>
      <c r="D571" s="87" t="s">
        <v>142</v>
      </c>
      <c r="E571" s="82"/>
    </row>
    <row r="572" spans="1:5" ht="20" customHeight="1" x14ac:dyDescent="0.15">
      <c r="A572" s="86" t="s">
        <v>78</v>
      </c>
      <c r="B572" s="87" t="s">
        <v>204</v>
      </c>
      <c r="C572" s="87" t="s">
        <v>205</v>
      </c>
      <c r="D572" s="87" t="s">
        <v>1545</v>
      </c>
      <c r="E572" s="82"/>
    </row>
    <row r="573" spans="1:5" ht="20" customHeight="1" x14ac:dyDescent="0.15">
      <c r="A573" s="86" t="s">
        <v>78</v>
      </c>
      <c r="B573" s="87" t="s">
        <v>198</v>
      </c>
      <c r="C573" s="87" t="s">
        <v>199</v>
      </c>
      <c r="D573" s="87" t="s">
        <v>200</v>
      </c>
      <c r="E573" s="82"/>
    </row>
    <row r="574" spans="1:5" ht="20" customHeight="1" x14ac:dyDescent="0.15">
      <c r="A574" s="86" t="s">
        <v>78</v>
      </c>
      <c r="B574" s="87" t="s">
        <v>148</v>
      </c>
      <c r="C574" s="87" t="s">
        <v>149</v>
      </c>
      <c r="D574" s="87" t="s">
        <v>1544</v>
      </c>
      <c r="E574" s="82"/>
    </row>
    <row r="575" spans="1:5" ht="20" customHeight="1" x14ac:dyDescent="0.15">
      <c r="A575" s="86" t="s">
        <v>78</v>
      </c>
      <c r="B575" s="87" t="s">
        <v>84</v>
      </c>
      <c r="C575" s="87" t="s">
        <v>85</v>
      </c>
      <c r="D575" s="87" t="s">
        <v>1474</v>
      </c>
      <c r="E575" s="82"/>
    </row>
    <row r="576" spans="1:5" ht="20" customHeight="1" x14ac:dyDescent="0.15">
      <c r="A576" s="86" t="s">
        <v>78</v>
      </c>
      <c r="B576" s="87" t="s">
        <v>87</v>
      </c>
      <c r="C576" s="87" t="s">
        <v>88</v>
      </c>
      <c r="D576" s="87" t="s">
        <v>1475</v>
      </c>
      <c r="E576" s="82"/>
    </row>
    <row r="577" spans="1:5" ht="20" customHeight="1" x14ac:dyDescent="0.15">
      <c r="A577" s="86" t="s">
        <v>78</v>
      </c>
      <c r="B577" s="87" t="s">
        <v>90</v>
      </c>
      <c r="C577" s="87" t="s">
        <v>91</v>
      </c>
      <c r="D577" s="87" t="s">
        <v>92</v>
      </c>
      <c r="E577" s="82"/>
    </row>
    <row r="578" spans="1:5" ht="20" customHeight="1" x14ac:dyDescent="0.15">
      <c r="A578" s="86" t="s">
        <v>78</v>
      </c>
      <c r="B578" s="87" t="s">
        <v>93</v>
      </c>
      <c r="C578" s="87" t="s">
        <v>94</v>
      </c>
      <c r="D578" s="87" t="s">
        <v>95</v>
      </c>
      <c r="E578" s="82"/>
    </row>
    <row r="579" spans="1:5" ht="20" customHeight="1" x14ac:dyDescent="0.15">
      <c r="A579" s="86" t="s">
        <v>78</v>
      </c>
      <c r="B579" s="87" t="s">
        <v>96</v>
      </c>
      <c r="C579" s="87" t="s">
        <v>97</v>
      </c>
      <c r="D579" s="87" t="s">
        <v>98</v>
      </c>
      <c r="E579" s="82"/>
    </row>
    <row r="580" spans="1:5" ht="20" customHeight="1" x14ac:dyDescent="0.15">
      <c r="A580" s="86" t="s">
        <v>78</v>
      </c>
      <c r="B580" s="87" t="s">
        <v>99</v>
      </c>
      <c r="C580" s="87" t="s">
        <v>100</v>
      </c>
      <c r="D580" s="87" t="s">
        <v>101</v>
      </c>
      <c r="E580" s="82"/>
    </row>
    <row r="581" spans="1:5" ht="20" customHeight="1" x14ac:dyDescent="0.15">
      <c r="A581" s="86" t="s">
        <v>78</v>
      </c>
      <c r="B581" s="87" t="s">
        <v>102</v>
      </c>
      <c r="C581" s="87" t="s">
        <v>103</v>
      </c>
      <c r="D581" s="87" t="s">
        <v>104</v>
      </c>
      <c r="E581" s="82"/>
    </row>
    <row r="582" spans="1:5" ht="20" customHeight="1" x14ac:dyDescent="0.15">
      <c r="A582" s="86" t="s">
        <v>78</v>
      </c>
      <c r="B582" s="87" t="s">
        <v>105</v>
      </c>
      <c r="C582" s="87" t="s">
        <v>106</v>
      </c>
      <c r="D582" s="87" t="s">
        <v>107</v>
      </c>
      <c r="E582" s="82"/>
    </row>
    <row r="583" spans="1:5" ht="20" customHeight="1" x14ac:dyDescent="0.15">
      <c r="A583" s="86" t="s">
        <v>78</v>
      </c>
      <c r="B583" s="87" t="s">
        <v>108</v>
      </c>
      <c r="C583" s="87" t="s">
        <v>109</v>
      </c>
      <c r="D583" s="87" t="s">
        <v>1574</v>
      </c>
      <c r="E583" s="82"/>
    </row>
    <row r="584" spans="1:5" ht="20" customHeight="1" x14ac:dyDescent="0.15">
      <c r="A584" s="86" t="s">
        <v>78</v>
      </c>
      <c r="B584" s="87" t="s">
        <v>111</v>
      </c>
      <c r="C584" s="87" t="s">
        <v>112</v>
      </c>
      <c r="D584" s="87" t="s">
        <v>1573</v>
      </c>
      <c r="E584" s="82"/>
    </row>
    <row r="585" spans="1:5" ht="20" customHeight="1" x14ac:dyDescent="0.15">
      <c r="A585" s="86" t="s">
        <v>78</v>
      </c>
      <c r="B585" s="87" t="s">
        <v>114</v>
      </c>
      <c r="C585" s="87" t="s">
        <v>115</v>
      </c>
      <c r="D585" s="87" t="s">
        <v>116</v>
      </c>
      <c r="E585" s="82"/>
    </row>
    <row r="586" spans="1:5" ht="20" customHeight="1" x14ac:dyDescent="0.15">
      <c r="A586" s="86" t="s">
        <v>78</v>
      </c>
      <c r="B586" s="87" t="s">
        <v>117</v>
      </c>
      <c r="C586" s="87" t="s">
        <v>118</v>
      </c>
      <c r="D586" s="87" t="s">
        <v>1572</v>
      </c>
      <c r="E586" s="82"/>
    </row>
    <row r="587" spans="1:5" ht="20" customHeight="1" x14ac:dyDescent="0.15">
      <c r="A587" s="86" t="s">
        <v>78</v>
      </c>
      <c r="B587" s="87" t="s">
        <v>2117</v>
      </c>
      <c r="C587" s="87" t="s">
        <v>1101</v>
      </c>
      <c r="D587" s="87" t="s">
        <v>2118</v>
      </c>
      <c r="E587" s="82"/>
    </row>
    <row r="588" spans="1:5" ht="20" customHeight="1" x14ac:dyDescent="0.15">
      <c r="A588" s="86" t="s">
        <v>78</v>
      </c>
      <c r="B588" s="87" t="s">
        <v>1106</v>
      </c>
      <c r="C588" s="87" t="s">
        <v>1107</v>
      </c>
      <c r="D588" s="87" t="s">
        <v>1108</v>
      </c>
      <c r="E588" s="82"/>
    </row>
    <row r="589" spans="1:5" ht="20" customHeight="1" x14ac:dyDescent="0.15">
      <c r="A589" s="86" t="s">
        <v>78</v>
      </c>
      <c r="B589" s="87" t="s">
        <v>1123</v>
      </c>
      <c r="C589" s="87" t="s">
        <v>1124</v>
      </c>
      <c r="D589" s="87" t="s">
        <v>2120</v>
      </c>
      <c r="E589" s="82"/>
    </row>
    <row r="590" spans="1:5" ht="20" customHeight="1" x14ac:dyDescent="0.15">
      <c r="A590" s="86"/>
      <c r="B590" s="87" t="s">
        <v>2274</v>
      </c>
      <c r="C590" s="87"/>
      <c r="D590" s="87" t="s">
        <v>2275</v>
      </c>
      <c r="E590" s="82"/>
    </row>
    <row r="591" spans="1:5" ht="20" customHeight="1" x14ac:dyDescent="0.15">
      <c r="A591" s="86"/>
      <c r="B591" s="80" t="s">
        <v>2248</v>
      </c>
      <c r="C591" s="80"/>
      <c r="D591" s="87"/>
      <c r="E591" s="82"/>
    </row>
    <row r="592" spans="1:5" ht="20" customHeight="1" x14ac:dyDescent="0.15">
      <c r="A592" s="86" t="s">
        <v>78</v>
      </c>
      <c r="B592" s="87" t="s">
        <v>79</v>
      </c>
      <c r="C592" s="87" t="s">
        <v>80</v>
      </c>
      <c r="D592" s="87" t="s">
        <v>1488</v>
      </c>
      <c r="E592" s="82" t="s">
        <v>2677</v>
      </c>
    </row>
    <row r="593" spans="1:5" ht="20" customHeight="1" x14ac:dyDescent="0.15">
      <c r="A593" s="86" t="s">
        <v>78</v>
      </c>
      <c r="B593" s="87" t="s">
        <v>2768</v>
      </c>
      <c r="C593" s="87" t="s">
        <v>153</v>
      </c>
      <c r="D593" s="87" t="s">
        <v>1563</v>
      </c>
      <c r="E593" s="82"/>
    </row>
    <row r="594" spans="1:5" ht="20" customHeight="1" x14ac:dyDescent="0.15">
      <c r="A594" s="86" t="s">
        <v>78</v>
      </c>
      <c r="B594" s="87" t="s">
        <v>7420</v>
      </c>
      <c r="C594" s="87" t="s">
        <v>155</v>
      </c>
      <c r="D594" s="87" t="s">
        <v>1562</v>
      </c>
      <c r="E594" s="82"/>
    </row>
    <row r="595" spans="1:5" ht="20" customHeight="1" x14ac:dyDescent="0.15">
      <c r="A595" s="86" t="s">
        <v>78</v>
      </c>
      <c r="B595" s="87" t="s">
        <v>120</v>
      </c>
      <c r="C595" s="87" t="s">
        <v>121</v>
      </c>
      <c r="D595" s="87" t="s">
        <v>1571</v>
      </c>
      <c r="E595" s="82"/>
    </row>
    <row r="596" spans="1:5" ht="20" customHeight="1" x14ac:dyDescent="0.15">
      <c r="A596" s="86" t="s">
        <v>78</v>
      </c>
      <c r="B596" s="87" t="s">
        <v>123</v>
      </c>
      <c r="C596" s="87" t="s">
        <v>124</v>
      </c>
      <c r="D596" s="87" t="s">
        <v>1487</v>
      </c>
      <c r="E596" s="82"/>
    </row>
    <row r="597" spans="1:5" ht="20" customHeight="1" x14ac:dyDescent="0.15">
      <c r="A597" s="86" t="s">
        <v>78</v>
      </c>
      <c r="B597" s="87" t="s">
        <v>125</v>
      </c>
      <c r="C597" s="87" t="s">
        <v>126</v>
      </c>
      <c r="D597" s="87" t="s">
        <v>1570</v>
      </c>
      <c r="E597" s="82"/>
    </row>
    <row r="598" spans="1:5" ht="20" customHeight="1" x14ac:dyDescent="0.15">
      <c r="A598" s="86" t="s">
        <v>78</v>
      </c>
      <c r="B598" s="87" t="s">
        <v>128</v>
      </c>
      <c r="C598" s="87" t="s">
        <v>129</v>
      </c>
      <c r="D598" s="87" t="s">
        <v>1567</v>
      </c>
      <c r="E598" s="82"/>
    </row>
    <row r="599" spans="1:5" ht="20" customHeight="1" x14ac:dyDescent="0.15">
      <c r="A599" s="86" t="s">
        <v>78</v>
      </c>
      <c r="B599" s="87" t="s">
        <v>131</v>
      </c>
      <c r="C599" s="87" t="s">
        <v>132</v>
      </c>
      <c r="D599" s="87" t="s">
        <v>1568</v>
      </c>
      <c r="E599" s="82"/>
    </row>
    <row r="600" spans="1:5" ht="20" customHeight="1" x14ac:dyDescent="0.15">
      <c r="A600" s="88" t="s">
        <v>78</v>
      </c>
      <c r="B600" s="87" t="s">
        <v>134</v>
      </c>
      <c r="C600" s="87" t="s">
        <v>135</v>
      </c>
      <c r="D600" s="87" t="s">
        <v>1569</v>
      </c>
      <c r="E600" s="82"/>
    </row>
    <row r="601" spans="1:5" ht="20" customHeight="1" x14ac:dyDescent="0.15">
      <c r="A601" s="84" t="s">
        <v>78</v>
      </c>
      <c r="B601" s="87" t="s">
        <v>197</v>
      </c>
      <c r="C601" s="87" t="s">
        <v>1413</v>
      </c>
      <c r="D601" s="87" t="s">
        <v>1566</v>
      </c>
      <c r="E601" s="82"/>
    </row>
    <row r="602" spans="1:5" ht="20" customHeight="1" x14ac:dyDescent="0.15">
      <c r="A602" s="86" t="s">
        <v>78</v>
      </c>
      <c r="B602" s="87" t="s">
        <v>137</v>
      </c>
      <c r="C602" s="87" t="s">
        <v>138</v>
      </c>
      <c r="D602" s="87" t="s">
        <v>139</v>
      </c>
      <c r="E602" s="82"/>
    </row>
    <row r="603" spans="1:5" ht="20" customHeight="1" x14ac:dyDescent="0.15">
      <c r="A603" s="86" t="s">
        <v>78</v>
      </c>
      <c r="B603" s="87" t="s">
        <v>1291</v>
      </c>
      <c r="C603" s="87" t="s">
        <v>1292</v>
      </c>
      <c r="D603" s="87" t="s">
        <v>1293</v>
      </c>
      <c r="E603" s="82"/>
    </row>
    <row r="604" spans="1:5" ht="20" customHeight="1" x14ac:dyDescent="0.15">
      <c r="A604" s="86" t="s">
        <v>78</v>
      </c>
      <c r="B604" s="87" t="s">
        <v>2766</v>
      </c>
      <c r="C604" s="87" t="s">
        <v>143</v>
      </c>
      <c r="D604" s="87" t="s">
        <v>1565</v>
      </c>
      <c r="E604" s="82"/>
    </row>
    <row r="605" spans="1:5" ht="20" customHeight="1" x14ac:dyDescent="0.15">
      <c r="A605" s="86" t="s">
        <v>78</v>
      </c>
      <c r="B605" s="87" t="s">
        <v>145</v>
      </c>
      <c r="C605" s="87" t="s">
        <v>146</v>
      </c>
      <c r="D605" s="87" t="s">
        <v>1564</v>
      </c>
      <c r="E605" s="82"/>
    </row>
    <row r="606" spans="1:5" ht="20" customHeight="1" x14ac:dyDescent="0.15">
      <c r="A606" s="86" t="s">
        <v>78</v>
      </c>
      <c r="B606" s="87" t="s">
        <v>2767</v>
      </c>
      <c r="C606" s="87" t="s">
        <v>151</v>
      </c>
      <c r="D606" s="87" t="s">
        <v>152</v>
      </c>
      <c r="E606" s="82"/>
    </row>
    <row r="607" spans="1:5" ht="20" customHeight="1" x14ac:dyDescent="0.15">
      <c r="A607" s="86" t="s">
        <v>78</v>
      </c>
      <c r="B607" s="87" t="s">
        <v>2678</v>
      </c>
      <c r="C607" s="87" t="s">
        <v>162</v>
      </c>
      <c r="D607" s="87" t="s">
        <v>1559</v>
      </c>
      <c r="E607" s="82"/>
    </row>
    <row r="608" spans="1:5" ht="20" customHeight="1" x14ac:dyDescent="0.15">
      <c r="A608" s="86" t="s">
        <v>78</v>
      </c>
      <c r="B608" s="87" t="s">
        <v>159</v>
      </c>
      <c r="C608" s="87" t="s">
        <v>160</v>
      </c>
      <c r="D608" s="87" t="s">
        <v>1560</v>
      </c>
      <c r="E608" s="82"/>
    </row>
    <row r="609" spans="1:5" ht="20" customHeight="1" x14ac:dyDescent="0.15">
      <c r="A609" s="86" t="s">
        <v>78</v>
      </c>
      <c r="B609" s="87" t="s">
        <v>2680</v>
      </c>
      <c r="C609" s="87" t="s">
        <v>169</v>
      </c>
      <c r="D609" s="87" t="s">
        <v>1556</v>
      </c>
      <c r="E609" s="82" t="s">
        <v>2679</v>
      </c>
    </row>
    <row r="610" spans="1:5" ht="20" customHeight="1" x14ac:dyDescent="0.15">
      <c r="A610" s="86" t="s">
        <v>78</v>
      </c>
      <c r="B610" s="87" t="s">
        <v>2770</v>
      </c>
      <c r="C610" s="87" t="s">
        <v>157</v>
      </c>
      <c r="D610" s="87" t="s">
        <v>1561</v>
      </c>
      <c r="E610" s="82"/>
    </row>
    <row r="611" spans="1:5" ht="20" customHeight="1" x14ac:dyDescent="0.15">
      <c r="A611" s="86" t="s">
        <v>78</v>
      </c>
      <c r="B611" s="87" t="s">
        <v>2683</v>
      </c>
      <c r="C611" s="87" t="s">
        <v>167</v>
      </c>
      <c r="D611" s="87" t="s">
        <v>1557</v>
      </c>
      <c r="E611" s="82"/>
    </row>
    <row r="612" spans="1:5" ht="20" customHeight="1" x14ac:dyDescent="0.15">
      <c r="A612" s="86" t="s">
        <v>78</v>
      </c>
      <c r="B612" s="87" t="s">
        <v>164</v>
      </c>
      <c r="C612" s="87" t="s">
        <v>165</v>
      </c>
      <c r="D612" s="87" t="s">
        <v>1558</v>
      </c>
      <c r="E612" s="82"/>
    </row>
    <row r="613" spans="1:5" ht="20" customHeight="1" x14ac:dyDescent="0.15">
      <c r="A613" s="86" t="s">
        <v>78</v>
      </c>
      <c r="B613" s="87" t="s">
        <v>171</v>
      </c>
      <c r="C613" s="87" t="s">
        <v>172</v>
      </c>
      <c r="D613" s="87" t="s">
        <v>1555</v>
      </c>
      <c r="E613" s="82"/>
    </row>
    <row r="614" spans="1:5" ht="20" customHeight="1" x14ac:dyDescent="0.15">
      <c r="A614" s="86" t="s">
        <v>78</v>
      </c>
      <c r="B614" s="87" t="s">
        <v>174</v>
      </c>
      <c r="C614" s="87" t="s">
        <v>175</v>
      </c>
      <c r="D614" s="87" t="s">
        <v>1554</v>
      </c>
      <c r="E614" s="82"/>
    </row>
    <row r="615" spans="1:5" ht="20" customHeight="1" x14ac:dyDescent="0.15">
      <c r="A615" s="84" t="s">
        <v>78</v>
      </c>
      <c r="B615" s="87" t="s">
        <v>177</v>
      </c>
      <c r="C615" s="87" t="s">
        <v>178</v>
      </c>
      <c r="D615" s="87" t="s">
        <v>1553</v>
      </c>
      <c r="E615" s="82"/>
    </row>
    <row r="616" spans="1:5" ht="20" customHeight="1" x14ac:dyDescent="0.15">
      <c r="A616" s="86" t="s">
        <v>78</v>
      </c>
      <c r="B616" s="87" t="s">
        <v>180</v>
      </c>
      <c r="C616" s="87" t="s">
        <v>181</v>
      </c>
      <c r="D616" s="87" t="s">
        <v>1552</v>
      </c>
      <c r="E616" s="82"/>
    </row>
    <row r="617" spans="1:5" ht="20" customHeight="1" x14ac:dyDescent="0.15">
      <c r="A617" s="86" t="s">
        <v>78</v>
      </c>
      <c r="B617" s="87" t="s">
        <v>2771</v>
      </c>
      <c r="C617" s="87" t="s">
        <v>183</v>
      </c>
      <c r="D617" s="87" t="s">
        <v>1551</v>
      </c>
      <c r="E617" s="82"/>
    </row>
    <row r="618" spans="1:5" ht="20" customHeight="1" x14ac:dyDescent="0.15">
      <c r="A618" s="84" t="s">
        <v>78</v>
      </c>
      <c r="B618" s="87" t="s">
        <v>185</v>
      </c>
      <c r="C618" s="87" t="s">
        <v>186</v>
      </c>
      <c r="D618" s="87" t="s">
        <v>1550</v>
      </c>
      <c r="E618" s="82"/>
    </row>
    <row r="619" spans="1:5" ht="20" customHeight="1" x14ac:dyDescent="0.15">
      <c r="A619" s="84" t="s">
        <v>78</v>
      </c>
      <c r="B619" s="87" t="s">
        <v>188</v>
      </c>
      <c r="C619" s="87" t="s">
        <v>189</v>
      </c>
      <c r="D619" s="87" t="s">
        <v>1549</v>
      </c>
      <c r="E619" s="82"/>
    </row>
    <row r="620" spans="1:5" ht="20" customHeight="1" x14ac:dyDescent="0.15">
      <c r="A620" s="84" t="s">
        <v>78</v>
      </c>
      <c r="B620" s="87" t="s">
        <v>191</v>
      </c>
      <c r="C620" s="87" t="s">
        <v>192</v>
      </c>
      <c r="D620" s="87" t="s">
        <v>1548</v>
      </c>
      <c r="E620" s="82"/>
    </row>
    <row r="621" spans="1:5" ht="20" customHeight="1" x14ac:dyDescent="0.15">
      <c r="A621" s="84" t="s">
        <v>78</v>
      </c>
      <c r="B621" s="87" t="s">
        <v>194</v>
      </c>
      <c r="C621" s="87" t="s">
        <v>195</v>
      </c>
      <c r="D621" s="87" t="s">
        <v>1547</v>
      </c>
      <c r="E621" s="82"/>
    </row>
    <row r="622" spans="1:5" ht="20" customHeight="1" x14ac:dyDescent="0.15">
      <c r="A622" s="84" t="s">
        <v>213</v>
      </c>
      <c r="B622" s="87" t="s">
        <v>214</v>
      </c>
      <c r="C622" s="87" t="s">
        <v>215</v>
      </c>
      <c r="D622" s="87" t="s">
        <v>1489</v>
      </c>
      <c r="E622" s="82"/>
    </row>
    <row r="623" spans="1:5" ht="20" customHeight="1" x14ac:dyDescent="0.15">
      <c r="A623" s="84" t="s">
        <v>862</v>
      </c>
      <c r="B623" s="87" t="s">
        <v>863</v>
      </c>
      <c r="C623" s="87" t="s">
        <v>864</v>
      </c>
      <c r="D623" s="87" t="s">
        <v>865</v>
      </c>
      <c r="E623" s="82"/>
    </row>
    <row r="624" spans="1:5" ht="20" customHeight="1" x14ac:dyDescent="0.15">
      <c r="A624" s="88" t="s">
        <v>213</v>
      </c>
      <c r="B624" s="87" t="s">
        <v>242</v>
      </c>
      <c r="C624" s="87" t="s">
        <v>243</v>
      </c>
      <c r="D624" s="87" t="s">
        <v>1532</v>
      </c>
      <c r="E624" s="82"/>
    </row>
    <row r="625" spans="1:5" ht="20" customHeight="1" x14ac:dyDescent="0.15">
      <c r="A625" s="86" t="s">
        <v>213</v>
      </c>
      <c r="B625" s="87" t="s">
        <v>216</v>
      </c>
      <c r="C625" s="87" t="s">
        <v>217</v>
      </c>
      <c r="D625" s="87" t="s">
        <v>218</v>
      </c>
      <c r="E625" s="82"/>
    </row>
    <row r="626" spans="1:5" ht="20" customHeight="1" x14ac:dyDescent="0.15">
      <c r="A626" s="86" t="s">
        <v>213</v>
      </c>
      <c r="B626" s="87" t="s">
        <v>219</v>
      </c>
      <c r="C626" s="87" t="s">
        <v>220</v>
      </c>
      <c r="D626" s="87" t="s">
        <v>219</v>
      </c>
      <c r="E626" s="82"/>
    </row>
    <row r="627" spans="1:5" ht="20" customHeight="1" x14ac:dyDescent="0.15">
      <c r="A627" s="84" t="s">
        <v>862</v>
      </c>
      <c r="B627" s="87" t="s">
        <v>866</v>
      </c>
      <c r="C627" s="87" t="s">
        <v>867</v>
      </c>
      <c r="D627" s="87" t="s">
        <v>866</v>
      </c>
      <c r="E627" s="82"/>
    </row>
    <row r="628" spans="1:5" ht="20" customHeight="1" x14ac:dyDescent="0.15">
      <c r="A628" s="84" t="s">
        <v>728</v>
      </c>
      <c r="B628" s="87" t="s">
        <v>731</v>
      </c>
      <c r="C628" s="87" t="s">
        <v>732</v>
      </c>
      <c r="D628" s="87" t="s">
        <v>733</v>
      </c>
      <c r="E628" s="82"/>
    </row>
    <row r="629" spans="1:5" ht="20" customHeight="1" x14ac:dyDescent="0.15">
      <c r="A629" s="84" t="s">
        <v>728</v>
      </c>
      <c r="B629" s="87" t="s">
        <v>734</v>
      </c>
      <c r="C629" s="87" t="s">
        <v>735</v>
      </c>
      <c r="D629" s="87" t="s">
        <v>736</v>
      </c>
      <c r="E629" s="82"/>
    </row>
    <row r="630" spans="1:5" ht="20" customHeight="1" x14ac:dyDescent="0.15">
      <c r="A630" s="86"/>
      <c r="B630" s="87" t="s">
        <v>1137</v>
      </c>
      <c r="C630" s="87" t="s">
        <v>1138</v>
      </c>
      <c r="D630" s="87" t="s">
        <v>1139</v>
      </c>
      <c r="E630" s="82"/>
    </row>
    <row r="631" spans="1:5" ht="20" customHeight="1" x14ac:dyDescent="0.15">
      <c r="A631" s="86" t="s">
        <v>471</v>
      </c>
      <c r="B631" s="87" t="s">
        <v>514</v>
      </c>
      <c r="C631" s="87" t="s">
        <v>515</v>
      </c>
      <c r="D631" s="87" t="s">
        <v>1615</v>
      </c>
      <c r="E631" s="82"/>
    </row>
    <row r="632" spans="1:5" ht="20" customHeight="1" x14ac:dyDescent="0.15">
      <c r="A632" s="84" t="s">
        <v>862</v>
      </c>
      <c r="B632" s="87" t="s">
        <v>885</v>
      </c>
      <c r="C632" s="87" t="s">
        <v>886</v>
      </c>
      <c r="D632" s="87" t="s">
        <v>887</v>
      </c>
      <c r="E632" s="82"/>
    </row>
    <row r="633" spans="1:5" ht="20" customHeight="1" x14ac:dyDescent="0.15">
      <c r="A633" s="86"/>
      <c r="B633" s="87" t="s">
        <v>1166</v>
      </c>
      <c r="C633" s="87" t="s">
        <v>1167</v>
      </c>
      <c r="D633" s="87" t="s">
        <v>1614</v>
      </c>
      <c r="E633" s="82"/>
    </row>
    <row r="634" spans="1:5" ht="20" customHeight="1" x14ac:dyDescent="0.15">
      <c r="A634" s="84" t="s">
        <v>862</v>
      </c>
      <c r="B634" s="87" t="s">
        <v>888</v>
      </c>
      <c r="C634" s="87" t="s">
        <v>889</v>
      </c>
      <c r="D634" s="87" t="s">
        <v>890</v>
      </c>
      <c r="E634" s="82"/>
    </row>
    <row r="635" spans="1:5" ht="20" customHeight="1" x14ac:dyDescent="0.15">
      <c r="A635" s="84" t="s">
        <v>862</v>
      </c>
      <c r="B635" s="87" t="s">
        <v>891</v>
      </c>
      <c r="C635" s="87" t="s">
        <v>892</v>
      </c>
      <c r="D635" s="87" t="s">
        <v>1613</v>
      </c>
      <c r="E635" s="82"/>
    </row>
    <row r="636" spans="1:5" ht="20" customHeight="1" x14ac:dyDescent="0.15">
      <c r="A636" s="86" t="s">
        <v>471</v>
      </c>
      <c r="B636" s="87" t="s">
        <v>516</v>
      </c>
      <c r="C636" s="87" t="s">
        <v>517</v>
      </c>
      <c r="D636" s="87" t="s">
        <v>1612</v>
      </c>
      <c r="E636" s="82"/>
    </row>
    <row r="637" spans="1:5" ht="20" customHeight="1" x14ac:dyDescent="0.15">
      <c r="A637" s="84" t="s">
        <v>213</v>
      </c>
      <c r="B637" s="87" t="s">
        <v>279</v>
      </c>
      <c r="C637" s="87" t="s">
        <v>280</v>
      </c>
      <c r="D637" s="87" t="s">
        <v>1476</v>
      </c>
      <c r="E637" s="82"/>
    </row>
    <row r="638" spans="1:5" ht="20" customHeight="1" x14ac:dyDescent="0.15">
      <c r="A638" s="84"/>
      <c r="B638" s="87" t="s">
        <v>1169</v>
      </c>
      <c r="C638" s="87" t="s">
        <v>1170</v>
      </c>
      <c r="D638" s="87" t="s">
        <v>1524</v>
      </c>
      <c r="E638" s="82"/>
    </row>
    <row r="639" spans="1:5" ht="20" customHeight="1" x14ac:dyDescent="0.15">
      <c r="A639" s="84" t="s">
        <v>862</v>
      </c>
      <c r="B639" s="87" t="s">
        <v>897</v>
      </c>
      <c r="C639" s="87" t="s">
        <v>898</v>
      </c>
      <c r="D639" s="87" t="s">
        <v>1610</v>
      </c>
      <c r="E639" s="82"/>
    </row>
    <row r="640" spans="1:5" ht="20" customHeight="1" x14ac:dyDescent="0.15">
      <c r="A640" s="86" t="s">
        <v>471</v>
      </c>
      <c r="B640" s="87" t="s">
        <v>519</v>
      </c>
      <c r="C640" s="87" t="s">
        <v>520</v>
      </c>
      <c r="D640" s="87" t="s">
        <v>521</v>
      </c>
      <c r="E640" s="82"/>
    </row>
    <row r="641" spans="1:5" ht="20" customHeight="1" x14ac:dyDescent="0.15">
      <c r="A641" s="86" t="s">
        <v>213</v>
      </c>
      <c r="B641" s="87" t="s">
        <v>282</v>
      </c>
      <c r="C641" s="87" t="s">
        <v>283</v>
      </c>
      <c r="D641" s="87" t="s">
        <v>284</v>
      </c>
      <c r="E641" s="82"/>
    </row>
    <row r="642" spans="1:5" ht="20" customHeight="1" x14ac:dyDescent="0.15">
      <c r="A642" s="84" t="s">
        <v>862</v>
      </c>
      <c r="B642" s="87" t="s">
        <v>900</v>
      </c>
      <c r="C642" s="87" t="s">
        <v>901</v>
      </c>
      <c r="D642" s="87" t="s">
        <v>902</v>
      </c>
      <c r="E642" s="82"/>
    </row>
    <row r="643" spans="1:5" ht="20" customHeight="1" x14ac:dyDescent="0.15">
      <c r="A643" s="93"/>
      <c r="B643" s="87" t="s">
        <v>1185</v>
      </c>
      <c r="C643" s="87"/>
      <c r="D643" s="87" t="s">
        <v>1502</v>
      </c>
      <c r="E643" s="82"/>
    </row>
    <row r="644" spans="1:5" ht="20" customHeight="1" x14ac:dyDescent="0.15">
      <c r="A644" s="86" t="s">
        <v>213</v>
      </c>
      <c r="B644" s="87" t="s">
        <v>288</v>
      </c>
      <c r="C644" s="87" t="s">
        <v>289</v>
      </c>
      <c r="D644" s="87" t="s">
        <v>1478</v>
      </c>
      <c r="E644" s="82"/>
    </row>
    <row r="645" spans="1:5" ht="20" customHeight="1" x14ac:dyDescent="0.15">
      <c r="A645" s="86"/>
      <c r="B645" s="87" t="s">
        <v>1186</v>
      </c>
      <c r="C645" s="87" t="s">
        <v>1187</v>
      </c>
      <c r="D645" s="87" t="s">
        <v>1530</v>
      </c>
      <c r="E645" s="82"/>
    </row>
    <row r="646" spans="1:5" ht="20" customHeight="1" x14ac:dyDescent="0.15">
      <c r="A646" s="88"/>
      <c r="B646" s="87" t="s">
        <v>1188</v>
      </c>
      <c r="C646" s="87" t="s">
        <v>1189</v>
      </c>
      <c r="D646" s="87" t="s">
        <v>1529</v>
      </c>
      <c r="E646" s="82"/>
    </row>
    <row r="647" spans="1:5" ht="20" customHeight="1" x14ac:dyDescent="0.15">
      <c r="A647" s="84" t="s">
        <v>728</v>
      </c>
      <c r="B647" s="87" t="s">
        <v>747</v>
      </c>
      <c r="C647" s="87" t="s">
        <v>748</v>
      </c>
      <c r="D647" s="87" t="s">
        <v>1622</v>
      </c>
      <c r="E647" s="82"/>
    </row>
    <row r="648" spans="1:5" ht="20" customHeight="1" x14ac:dyDescent="0.15">
      <c r="A648" s="84" t="s">
        <v>728</v>
      </c>
      <c r="B648" s="87" t="s">
        <v>750</v>
      </c>
      <c r="C648" s="87" t="s">
        <v>751</v>
      </c>
      <c r="D648" s="87" t="s">
        <v>1623</v>
      </c>
      <c r="E648" s="82"/>
    </row>
    <row r="649" spans="1:5" ht="20" customHeight="1" x14ac:dyDescent="0.15">
      <c r="A649" s="89" t="s">
        <v>213</v>
      </c>
      <c r="B649" s="87" t="s">
        <v>291</v>
      </c>
      <c r="C649" s="87" t="s">
        <v>292</v>
      </c>
      <c r="D649" s="87" t="s">
        <v>1479</v>
      </c>
      <c r="E649" s="82"/>
    </row>
    <row r="650" spans="1:5" ht="20" customHeight="1" x14ac:dyDescent="0.15">
      <c r="A650" s="84" t="s">
        <v>862</v>
      </c>
      <c r="B650" s="87" t="s">
        <v>903</v>
      </c>
      <c r="C650" s="87" t="s">
        <v>904</v>
      </c>
      <c r="D650" s="87" t="s">
        <v>1522</v>
      </c>
      <c r="E650" s="82"/>
    </row>
    <row r="651" spans="1:5" ht="20" customHeight="1" x14ac:dyDescent="0.15">
      <c r="A651" s="84" t="s">
        <v>862</v>
      </c>
      <c r="B651" s="87" t="s">
        <v>905</v>
      </c>
      <c r="C651" s="87" t="s">
        <v>906</v>
      </c>
      <c r="D651" s="87" t="s">
        <v>1624</v>
      </c>
      <c r="E651" s="82"/>
    </row>
    <row r="652" spans="1:5" ht="20" customHeight="1" x14ac:dyDescent="0.15">
      <c r="A652" s="86" t="s">
        <v>471</v>
      </c>
      <c r="B652" s="87" t="s">
        <v>522</v>
      </c>
      <c r="C652" s="87" t="s">
        <v>523</v>
      </c>
      <c r="D652" s="87" t="s">
        <v>524</v>
      </c>
      <c r="E652" s="82"/>
    </row>
    <row r="653" spans="1:5" ht="20" customHeight="1" x14ac:dyDescent="0.15">
      <c r="A653" s="86" t="s">
        <v>471</v>
      </c>
      <c r="B653" s="87" t="s">
        <v>525</v>
      </c>
      <c r="C653" s="87"/>
      <c r="D653" s="87" t="s">
        <v>526</v>
      </c>
      <c r="E653" s="82"/>
    </row>
    <row r="654" spans="1:5" ht="20" customHeight="1" x14ac:dyDescent="0.15">
      <c r="A654" s="88" t="s">
        <v>213</v>
      </c>
      <c r="B654" s="87" t="s">
        <v>293</v>
      </c>
      <c r="C654" s="87" t="s">
        <v>294</v>
      </c>
      <c r="D654" s="87" t="s">
        <v>1480</v>
      </c>
      <c r="E654" s="82"/>
    </row>
    <row r="655" spans="1:5" ht="20" customHeight="1" x14ac:dyDescent="0.15">
      <c r="A655" s="86" t="s">
        <v>471</v>
      </c>
      <c r="B655" s="87" t="s">
        <v>527</v>
      </c>
      <c r="C655" s="87" t="s">
        <v>528</v>
      </c>
      <c r="D655" s="87" t="s">
        <v>1625</v>
      </c>
      <c r="E655" s="82"/>
    </row>
    <row r="656" spans="1:5" ht="20" customHeight="1" x14ac:dyDescent="0.15">
      <c r="A656" s="86" t="s">
        <v>471</v>
      </c>
      <c r="B656" s="87" t="s">
        <v>530</v>
      </c>
      <c r="C656" s="87" t="s">
        <v>531</v>
      </c>
      <c r="D656" s="87" t="s">
        <v>1626</v>
      </c>
      <c r="E656" s="82"/>
    </row>
    <row r="657" spans="1:5" ht="20" customHeight="1" x14ac:dyDescent="0.15">
      <c r="A657" s="84" t="s">
        <v>728</v>
      </c>
      <c r="B657" s="87" t="s">
        <v>753</v>
      </c>
      <c r="C657" s="87" t="s">
        <v>754</v>
      </c>
      <c r="D657" s="87" t="s">
        <v>1627</v>
      </c>
      <c r="E657" s="82"/>
    </row>
    <row r="658" spans="1:5" ht="20" customHeight="1" x14ac:dyDescent="0.15">
      <c r="A658" s="86" t="s">
        <v>471</v>
      </c>
      <c r="B658" s="87" t="s">
        <v>532</v>
      </c>
      <c r="C658" s="87" t="s">
        <v>533</v>
      </c>
      <c r="D658" s="87" t="s">
        <v>1628</v>
      </c>
      <c r="E658" s="82"/>
    </row>
    <row r="659" spans="1:5" ht="20" customHeight="1" x14ac:dyDescent="0.15">
      <c r="A659" s="84" t="s">
        <v>213</v>
      </c>
      <c r="B659" s="87" t="s">
        <v>296</v>
      </c>
      <c r="C659" s="87" t="s">
        <v>297</v>
      </c>
      <c r="D659" s="87" t="s">
        <v>1481</v>
      </c>
      <c r="E659" s="82"/>
    </row>
    <row r="660" spans="1:5" ht="20" customHeight="1" x14ac:dyDescent="0.15">
      <c r="A660" s="84"/>
      <c r="B660" s="87" t="s">
        <v>1190</v>
      </c>
      <c r="C660" s="87" t="s">
        <v>1191</v>
      </c>
      <c r="D660" s="87" t="s">
        <v>1630</v>
      </c>
      <c r="E660" s="82"/>
    </row>
    <row r="661" spans="1:5" ht="20" customHeight="1" x14ac:dyDescent="0.15">
      <c r="A661" s="86" t="s">
        <v>471</v>
      </c>
      <c r="B661" s="87" t="s">
        <v>535</v>
      </c>
      <c r="C661" s="87" t="s">
        <v>536</v>
      </c>
      <c r="D661" s="87" t="s">
        <v>1629</v>
      </c>
      <c r="E661" s="82"/>
    </row>
    <row r="662" spans="1:5" ht="20" customHeight="1" x14ac:dyDescent="0.15">
      <c r="A662" s="86" t="s">
        <v>471</v>
      </c>
      <c r="B662" s="87" t="s">
        <v>538</v>
      </c>
      <c r="C662" s="87" t="s">
        <v>539</v>
      </c>
      <c r="D662" s="87" t="s">
        <v>1631</v>
      </c>
      <c r="E662" s="82"/>
    </row>
    <row r="663" spans="1:5" ht="20" customHeight="1" x14ac:dyDescent="0.15">
      <c r="A663" s="86" t="s">
        <v>471</v>
      </c>
      <c r="B663" s="87" t="s">
        <v>541</v>
      </c>
      <c r="C663" s="87" t="s">
        <v>542</v>
      </c>
      <c r="D663" s="87" t="s">
        <v>1632</v>
      </c>
      <c r="E663" s="82"/>
    </row>
    <row r="664" spans="1:5" ht="20" customHeight="1" x14ac:dyDescent="0.15">
      <c r="A664" s="84" t="s">
        <v>862</v>
      </c>
      <c r="B664" s="87" t="s">
        <v>908</v>
      </c>
      <c r="C664" s="87" t="s">
        <v>909</v>
      </c>
      <c r="D664" s="87" t="s">
        <v>1633</v>
      </c>
      <c r="E664" s="82"/>
    </row>
    <row r="665" spans="1:5" ht="20" customHeight="1" x14ac:dyDescent="0.15">
      <c r="A665" s="84" t="s">
        <v>862</v>
      </c>
      <c r="B665" s="87" t="s">
        <v>913</v>
      </c>
      <c r="C665" s="87" t="s">
        <v>914</v>
      </c>
      <c r="D665" s="87" t="s">
        <v>913</v>
      </c>
      <c r="E665" s="82"/>
    </row>
    <row r="666" spans="1:5" ht="20" customHeight="1" x14ac:dyDescent="0.15">
      <c r="A666" s="86" t="s">
        <v>471</v>
      </c>
      <c r="B666" s="87" t="s">
        <v>543</v>
      </c>
      <c r="C666" s="87" t="s">
        <v>544</v>
      </c>
      <c r="D666" s="87" t="s">
        <v>545</v>
      </c>
      <c r="E666" s="82"/>
    </row>
    <row r="667" spans="1:5" ht="20" customHeight="1" x14ac:dyDescent="0.15">
      <c r="A667" s="89"/>
      <c r="B667" s="87" t="s">
        <v>1205</v>
      </c>
      <c r="C667" s="87" t="s">
        <v>1206</v>
      </c>
      <c r="D667" s="87" t="s">
        <v>2123</v>
      </c>
      <c r="E667" s="82"/>
    </row>
    <row r="668" spans="1:5" ht="20" customHeight="1" x14ac:dyDescent="0.15">
      <c r="A668" s="84" t="s">
        <v>728</v>
      </c>
      <c r="B668" s="87" t="s">
        <v>756</v>
      </c>
      <c r="C668" s="87" t="s">
        <v>757</v>
      </c>
      <c r="D668" s="87" t="s">
        <v>2124</v>
      </c>
      <c r="E668" s="82"/>
    </row>
    <row r="669" spans="1:5" ht="20" customHeight="1" x14ac:dyDescent="0.15">
      <c r="A669" s="88"/>
      <c r="B669" s="87" t="s">
        <v>1207</v>
      </c>
      <c r="C669" s="87" t="s">
        <v>1208</v>
      </c>
      <c r="D669" s="87" t="s">
        <v>2125</v>
      </c>
      <c r="E669" s="82"/>
    </row>
    <row r="670" spans="1:5" ht="20" customHeight="1" x14ac:dyDescent="0.15">
      <c r="A670" s="86" t="s">
        <v>213</v>
      </c>
      <c r="B670" s="87" t="s">
        <v>302</v>
      </c>
      <c r="C670" s="87" t="s">
        <v>303</v>
      </c>
      <c r="D670" s="87" t="s">
        <v>2126</v>
      </c>
      <c r="E670" s="82"/>
    </row>
    <row r="671" spans="1:5" ht="20" customHeight="1" x14ac:dyDescent="0.15">
      <c r="A671" s="86" t="s">
        <v>213</v>
      </c>
      <c r="B671" s="87" t="s">
        <v>305</v>
      </c>
      <c r="C671" s="87" t="s">
        <v>306</v>
      </c>
      <c r="D671" s="87" t="s">
        <v>2128</v>
      </c>
      <c r="E671" s="82"/>
    </row>
    <row r="672" spans="1:5" ht="20" customHeight="1" x14ac:dyDescent="0.15">
      <c r="A672" s="84" t="s">
        <v>471</v>
      </c>
      <c r="B672" s="87" t="s">
        <v>546</v>
      </c>
      <c r="C672" s="87" t="s">
        <v>547</v>
      </c>
      <c r="D672" s="87" t="s">
        <v>2127</v>
      </c>
      <c r="E672" s="82"/>
    </row>
    <row r="673" spans="1:5" ht="20" customHeight="1" x14ac:dyDescent="0.15">
      <c r="A673" s="86" t="s">
        <v>471</v>
      </c>
      <c r="B673" s="87" t="s">
        <v>549</v>
      </c>
      <c r="C673" s="87" t="s">
        <v>550</v>
      </c>
      <c r="D673" s="87" t="s">
        <v>2129</v>
      </c>
      <c r="E673" s="82"/>
    </row>
    <row r="674" spans="1:5" ht="20" customHeight="1" x14ac:dyDescent="0.15">
      <c r="A674" s="86" t="s">
        <v>471</v>
      </c>
      <c r="B674" s="87" t="s">
        <v>552</v>
      </c>
      <c r="C674" s="87" t="s">
        <v>553</v>
      </c>
      <c r="D674" s="87" t="s">
        <v>2130</v>
      </c>
      <c r="E674" s="82"/>
    </row>
    <row r="675" spans="1:5" ht="20" customHeight="1" x14ac:dyDescent="0.15">
      <c r="A675" s="84" t="s">
        <v>471</v>
      </c>
      <c r="B675" s="87" t="s">
        <v>555</v>
      </c>
      <c r="C675" s="87" t="s">
        <v>556</v>
      </c>
      <c r="D675" s="87" t="s">
        <v>2131</v>
      </c>
      <c r="E675" s="82"/>
    </row>
    <row r="676" spans="1:5" ht="20" customHeight="1" x14ac:dyDescent="0.15">
      <c r="A676" s="84" t="s">
        <v>213</v>
      </c>
      <c r="B676" s="87" t="s">
        <v>308</v>
      </c>
      <c r="C676" s="87" t="s">
        <v>309</v>
      </c>
      <c r="D676" s="87" t="s">
        <v>2132</v>
      </c>
      <c r="E676" s="82"/>
    </row>
    <row r="677" spans="1:5" ht="20" customHeight="1" x14ac:dyDescent="0.15">
      <c r="A677" s="84" t="s">
        <v>213</v>
      </c>
      <c r="B677" s="87" t="s">
        <v>311</v>
      </c>
      <c r="C677" s="87" t="s">
        <v>312</v>
      </c>
      <c r="D677" s="87" t="s">
        <v>2133</v>
      </c>
      <c r="E677" s="82"/>
    </row>
    <row r="678" spans="1:5" ht="20" customHeight="1" x14ac:dyDescent="0.15">
      <c r="A678" s="84" t="s">
        <v>862</v>
      </c>
      <c r="B678" s="87" t="s">
        <v>915</v>
      </c>
      <c r="C678" s="87" t="s">
        <v>916</v>
      </c>
      <c r="D678" s="87" t="s">
        <v>2134</v>
      </c>
      <c r="E678" s="82"/>
    </row>
    <row r="679" spans="1:5" ht="20" customHeight="1" x14ac:dyDescent="0.15">
      <c r="A679" s="84" t="s">
        <v>728</v>
      </c>
      <c r="B679" s="87" t="s">
        <v>759</v>
      </c>
      <c r="C679" s="87" t="s">
        <v>760</v>
      </c>
      <c r="D679" s="87" t="s">
        <v>2135</v>
      </c>
      <c r="E679" s="82"/>
    </row>
    <row r="680" spans="1:5" ht="20" customHeight="1" x14ac:dyDescent="0.15">
      <c r="A680" s="84" t="s">
        <v>862</v>
      </c>
      <c r="B680" s="87" t="s">
        <v>918</v>
      </c>
      <c r="C680" s="87" t="s">
        <v>919</v>
      </c>
      <c r="D680" s="87" t="s">
        <v>2136</v>
      </c>
      <c r="E680" s="82"/>
    </row>
    <row r="681" spans="1:5" ht="20" customHeight="1" x14ac:dyDescent="0.15">
      <c r="A681" s="84" t="s">
        <v>728</v>
      </c>
      <c r="B681" s="87" t="s">
        <v>762</v>
      </c>
      <c r="C681" s="87" t="s">
        <v>763</v>
      </c>
      <c r="D681" s="87" t="s">
        <v>2137</v>
      </c>
      <c r="E681" s="82"/>
    </row>
    <row r="682" spans="1:5" ht="20" customHeight="1" x14ac:dyDescent="0.15">
      <c r="A682" s="86" t="s">
        <v>471</v>
      </c>
      <c r="B682" s="87" t="s">
        <v>558</v>
      </c>
      <c r="C682" s="87" t="s">
        <v>559</v>
      </c>
      <c r="D682" s="87" t="s">
        <v>2138</v>
      </c>
      <c r="E682" s="82"/>
    </row>
    <row r="683" spans="1:5" ht="20" customHeight="1" x14ac:dyDescent="0.15">
      <c r="A683" s="86" t="s">
        <v>471</v>
      </c>
      <c r="B683" s="87" t="s">
        <v>561</v>
      </c>
      <c r="C683" s="87" t="s">
        <v>562</v>
      </c>
      <c r="D683" s="87" t="s">
        <v>2139</v>
      </c>
      <c r="E683" s="82"/>
    </row>
    <row r="684" spans="1:5" ht="20" customHeight="1" x14ac:dyDescent="0.15">
      <c r="A684" s="84" t="s">
        <v>862</v>
      </c>
      <c r="B684" s="87" t="s">
        <v>921</v>
      </c>
      <c r="C684" s="87" t="s">
        <v>922</v>
      </c>
      <c r="D684" s="87" t="s">
        <v>2140</v>
      </c>
      <c r="E684" s="82"/>
    </row>
    <row r="685" spans="1:5" ht="20" customHeight="1" x14ac:dyDescent="0.15">
      <c r="A685" s="84" t="s">
        <v>862</v>
      </c>
      <c r="B685" s="87" t="s">
        <v>924</v>
      </c>
      <c r="C685" s="87" t="s">
        <v>925</v>
      </c>
      <c r="D685" s="87" t="s">
        <v>2114</v>
      </c>
      <c r="E685" s="82"/>
    </row>
    <row r="686" spans="1:5" ht="20" customHeight="1" x14ac:dyDescent="0.15">
      <c r="A686" s="84" t="s">
        <v>728</v>
      </c>
      <c r="B686" s="87" t="s">
        <v>765</v>
      </c>
      <c r="C686" s="87" t="s">
        <v>766</v>
      </c>
      <c r="D686" s="87" t="s">
        <v>2142</v>
      </c>
      <c r="E686" s="82"/>
    </row>
    <row r="687" spans="1:5" ht="20" customHeight="1" x14ac:dyDescent="0.15">
      <c r="A687" s="86" t="s">
        <v>213</v>
      </c>
      <c r="B687" s="87" t="s">
        <v>314</v>
      </c>
      <c r="C687" s="87" t="s">
        <v>315</v>
      </c>
      <c r="D687" s="87" t="s">
        <v>2143</v>
      </c>
      <c r="E687" s="82"/>
    </row>
    <row r="688" spans="1:5" ht="20" customHeight="1" x14ac:dyDescent="0.15">
      <c r="A688" s="84" t="s">
        <v>862</v>
      </c>
      <c r="B688" s="87" t="s">
        <v>927</v>
      </c>
      <c r="C688" s="87" t="s">
        <v>928</v>
      </c>
      <c r="D688" s="87" t="s">
        <v>2144</v>
      </c>
      <c r="E688" s="82"/>
    </row>
    <row r="689" spans="1:5" ht="20" customHeight="1" x14ac:dyDescent="0.15">
      <c r="A689" s="84" t="s">
        <v>862</v>
      </c>
      <c r="B689" s="87" t="s">
        <v>930</v>
      </c>
      <c r="C689" s="87" t="s">
        <v>931</v>
      </c>
      <c r="D689" s="87" t="s">
        <v>2146</v>
      </c>
      <c r="E689" s="82"/>
    </row>
    <row r="690" spans="1:5" ht="20" customHeight="1" x14ac:dyDescent="0.15">
      <c r="A690" s="84" t="s">
        <v>862</v>
      </c>
      <c r="B690" s="87" t="s">
        <v>933</v>
      </c>
      <c r="C690" s="87" t="s">
        <v>934</v>
      </c>
      <c r="D690" s="87" t="s">
        <v>935</v>
      </c>
      <c r="E690" s="82"/>
    </row>
    <row r="691" spans="1:5" ht="20" customHeight="1" x14ac:dyDescent="0.15">
      <c r="A691" s="84" t="s">
        <v>471</v>
      </c>
      <c r="B691" s="87" t="s">
        <v>570</v>
      </c>
      <c r="C691" s="87" t="s">
        <v>571</v>
      </c>
      <c r="D691" s="87" t="s">
        <v>572</v>
      </c>
      <c r="E691" s="82"/>
    </row>
    <row r="692" spans="1:5" ht="20" customHeight="1" x14ac:dyDescent="0.15">
      <c r="A692" s="89"/>
      <c r="B692" s="87" t="s">
        <v>1216</v>
      </c>
      <c r="C692" s="87" t="s">
        <v>1217</v>
      </c>
      <c r="D692" s="87" t="s">
        <v>1218</v>
      </c>
      <c r="E692" s="82"/>
    </row>
    <row r="693" spans="1:5" ht="20" customHeight="1" x14ac:dyDescent="0.15">
      <c r="A693" s="84" t="s">
        <v>728</v>
      </c>
      <c r="B693" s="87" t="s">
        <v>768</v>
      </c>
      <c r="C693" s="87" t="s">
        <v>769</v>
      </c>
      <c r="D693" s="87" t="s">
        <v>770</v>
      </c>
      <c r="E693" s="82"/>
    </row>
    <row r="694" spans="1:5" ht="20" customHeight="1" x14ac:dyDescent="0.15">
      <c r="A694" s="84" t="s">
        <v>213</v>
      </c>
      <c r="B694" s="87" t="s">
        <v>317</v>
      </c>
      <c r="C694" s="87" t="s">
        <v>318</v>
      </c>
      <c r="D694" s="87" t="s">
        <v>319</v>
      </c>
      <c r="E694" s="82"/>
    </row>
    <row r="695" spans="1:5" ht="20" customHeight="1" x14ac:dyDescent="0.15">
      <c r="A695" s="84" t="s">
        <v>213</v>
      </c>
      <c r="B695" s="87" t="s">
        <v>320</v>
      </c>
      <c r="C695" s="87" t="s">
        <v>321</v>
      </c>
      <c r="D695" s="87" t="s">
        <v>322</v>
      </c>
      <c r="E695" s="82"/>
    </row>
    <row r="696" spans="1:5" ht="20" customHeight="1" x14ac:dyDescent="0.15">
      <c r="A696" s="86"/>
      <c r="B696" s="87" t="s">
        <v>1219</v>
      </c>
      <c r="C696" s="87" t="s">
        <v>1220</v>
      </c>
      <c r="D696" s="87" t="s">
        <v>1221</v>
      </c>
      <c r="E696" s="82"/>
    </row>
    <row r="697" spans="1:5" ht="20" customHeight="1" x14ac:dyDescent="0.15">
      <c r="A697" s="84" t="s">
        <v>862</v>
      </c>
      <c r="B697" s="87" t="s">
        <v>936</v>
      </c>
      <c r="C697" s="87" t="s">
        <v>937</v>
      </c>
      <c r="D697" s="87" t="s">
        <v>938</v>
      </c>
      <c r="E697" s="82"/>
    </row>
    <row r="698" spans="1:5" ht="20" customHeight="1" x14ac:dyDescent="0.15">
      <c r="A698" s="89"/>
      <c r="B698" s="87" t="s">
        <v>1222</v>
      </c>
      <c r="C698" s="87" t="s">
        <v>1223</v>
      </c>
      <c r="D698" s="87" t="s">
        <v>1224</v>
      </c>
      <c r="E698" s="82"/>
    </row>
    <row r="699" spans="1:5" ht="20" customHeight="1" x14ac:dyDescent="0.15">
      <c r="A699" s="84" t="s">
        <v>213</v>
      </c>
      <c r="B699" s="87" t="s">
        <v>323</v>
      </c>
      <c r="C699" s="87" t="s">
        <v>324</v>
      </c>
      <c r="D699" s="87" t="s">
        <v>325</v>
      </c>
      <c r="E699" s="82"/>
    </row>
    <row r="700" spans="1:5" ht="20" customHeight="1" x14ac:dyDescent="0.15">
      <c r="A700" s="84" t="s">
        <v>862</v>
      </c>
      <c r="B700" s="87" t="s">
        <v>939</v>
      </c>
      <c r="C700" s="87" t="s">
        <v>940</v>
      </c>
      <c r="D700" s="87" t="s">
        <v>941</v>
      </c>
      <c r="E700" s="82"/>
    </row>
    <row r="701" spans="1:5" ht="20" customHeight="1" x14ac:dyDescent="0.15">
      <c r="A701" s="84"/>
      <c r="B701" s="87" t="s">
        <v>1225</v>
      </c>
      <c r="C701" s="87" t="s">
        <v>1226</v>
      </c>
      <c r="D701" s="87" t="s">
        <v>1227</v>
      </c>
      <c r="E701" s="82"/>
    </row>
    <row r="702" spans="1:5" ht="20" customHeight="1" x14ac:dyDescent="0.15">
      <c r="A702" s="86" t="s">
        <v>471</v>
      </c>
      <c r="B702" s="87" t="s">
        <v>573</v>
      </c>
      <c r="C702" s="87" t="s">
        <v>574</v>
      </c>
      <c r="D702" s="87" t="s">
        <v>575</v>
      </c>
      <c r="E702" s="82"/>
    </row>
    <row r="703" spans="1:5" ht="20" customHeight="1" x14ac:dyDescent="0.15">
      <c r="A703" s="84"/>
      <c r="B703" s="87" t="s">
        <v>1228</v>
      </c>
      <c r="C703" s="87" t="s">
        <v>1229</v>
      </c>
      <c r="D703" s="87" t="s">
        <v>1230</v>
      </c>
      <c r="E703" s="82"/>
    </row>
    <row r="704" spans="1:5" ht="20" customHeight="1" x14ac:dyDescent="0.15">
      <c r="A704" s="88" t="s">
        <v>213</v>
      </c>
      <c r="B704" s="87" t="s">
        <v>326</v>
      </c>
      <c r="C704" s="87" t="s">
        <v>327</v>
      </c>
      <c r="D704" s="87" t="s">
        <v>328</v>
      </c>
      <c r="E704" s="82"/>
    </row>
    <row r="705" spans="1:5" ht="20" customHeight="1" x14ac:dyDescent="0.15">
      <c r="A705" s="84" t="s">
        <v>728</v>
      </c>
      <c r="B705" s="87" t="s">
        <v>771</v>
      </c>
      <c r="C705" s="87" t="s">
        <v>772</v>
      </c>
      <c r="D705" s="87" t="s">
        <v>773</v>
      </c>
      <c r="E705" s="82"/>
    </row>
    <row r="706" spans="1:5" ht="20" customHeight="1" x14ac:dyDescent="0.15">
      <c r="A706" s="86" t="s">
        <v>471</v>
      </c>
      <c r="B706" s="87" t="s">
        <v>576</v>
      </c>
      <c r="C706" s="87" t="s">
        <v>577</v>
      </c>
      <c r="D706" s="87" t="s">
        <v>578</v>
      </c>
      <c r="E706" s="82"/>
    </row>
    <row r="707" spans="1:5" ht="20" customHeight="1" x14ac:dyDescent="0.15">
      <c r="A707" s="84"/>
      <c r="B707" s="87" t="s">
        <v>1231</v>
      </c>
      <c r="C707" s="87" t="s">
        <v>1232</v>
      </c>
      <c r="D707" s="87" t="s">
        <v>1233</v>
      </c>
      <c r="E707" s="82"/>
    </row>
    <row r="708" spans="1:5" ht="20" customHeight="1" x14ac:dyDescent="0.15">
      <c r="A708" s="84" t="s">
        <v>862</v>
      </c>
      <c r="B708" s="87" t="s">
        <v>942</v>
      </c>
      <c r="C708" s="87" t="s">
        <v>943</v>
      </c>
      <c r="D708" s="87" t="s">
        <v>944</v>
      </c>
      <c r="E708" s="82"/>
    </row>
    <row r="709" spans="1:5" ht="20" customHeight="1" x14ac:dyDescent="0.15">
      <c r="A709" s="86" t="s">
        <v>471</v>
      </c>
      <c r="B709" s="87" t="s">
        <v>579</v>
      </c>
      <c r="C709" s="87" t="s">
        <v>580</v>
      </c>
      <c r="D709" s="87" t="s">
        <v>581</v>
      </c>
      <c r="E709" s="82"/>
    </row>
    <row r="710" spans="1:5" ht="20" customHeight="1" x14ac:dyDescent="0.15">
      <c r="A710" s="84" t="s">
        <v>213</v>
      </c>
      <c r="B710" s="87" t="s">
        <v>329</v>
      </c>
      <c r="C710" s="87" t="s">
        <v>330</v>
      </c>
      <c r="D710" s="87" t="s">
        <v>331</v>
      </c>
      <c r="E710" s="82"/>
    </row>
    <row r="711" spans="1:5" ht="20" customHeight="1" x14ac:dyDescent="0.15">
      <c r="A711" s="84" t="s">
        <v>862</v>
      </c>
      <c r="B711" s="87" t="s">
        <v>945</v>
      </c>
      <c r="C711" s="87" t="s">
        <v>946</v>
      </c>
      <c r="D711" s="87" t="s">
        <v>947</v>
      </c>
      <c r="E711" s="82"/>
    </row>
    <row r="712" spans="1:5" ht="20" customHeight="1" x14ac:dyDescent="0.15">
      <c r="A712" s="86" t="s">
        <v>471</v>
      </c>
      <c r="B712" s="87" t="s">
        <v>582</v>
      </c>
      <c r="C712" s="87" t="s">
        <v>583</v>
      </c>
      <c r="D712" s="87" t="s">
        <v>584</v>
      </c>
      <c r="E712" s="82"/>
    </row>
    <row r="713" spans="1:5" ht="20" customHeight="1" x14ac:dyDescent="0.15">
      <c r="A713" s="84" t="s">
        <v>862</v>
      </c>
      <c r="B713" s="87" t="s">
        <v>948</v>
      </c>
      <c r="C713" s="87" t="s">
        <v>949</v>
      </c>
      <c r="D713" s="87" t="s">
        <v>950</v>
      </c>
      <c r="E713" s="82"/>
    </row>
    <row r="714" spans="1:5" ht="20" customHeight="1" x14ac:dyDescent="0.15">
      <c r="A714" s="86" t="s">
        <v>471</v>
      </c>
      <c r="B714" s="87" t="s">
        <v>585</v>
      </c>
      <c r="C714" s="87" t="s">
        <v>586</v>
      </c>
      <c r="D714" s="87" t="s">
        <v>587</v>
      </c>
      <c r="E714" s="82"/>
    </row>
    <row r="715" spans="1:5" ht="20" customHeight="1" x14ac:dyDescent="0.15">
      <c r="A715" s="84" t="s">
        <v>728</v>
      </c>
      <c r="B715" s="87" t="s">
        <v>774</v>
      </c>
      <c r="C715" s="87" t="s">
        <v>775</v>
      </c>
      <c r="D715" s="87" t="s">
        <v>776</v>
      </c>
      <c r="E715" s="82"/>
    </row>
    <row r="716" spans="1:5" ht="20" customHeight="1" x14ac:dyDescent="0.15">
      <c r="A716" s="88" t="s">
        <v>213</v>
      </c>
      <c r="B716" s="87" t="s">
        <v>332</v>
      </c>
      <c r="C716" s="87" t="s">
        <v>333</v>
      </c>
      <c r="D716" s="87" t="s">
        <v>334</v>
      </c>
      <c r="E716" s="82"/>
    </row>
    <row r="717" spans="1:5" ht="20" customHeight="1" x14ac:dyDescent="0.15">
      <c r="A717" s="84"/>
      <c r="B717" s="87" t="s">
        <v>1234</v>
      </c>
      <c r="C717" s="87" t="s">
        <v>1235</v>
      </c>
      <c r="D717" s="87" t="s">
        <v>1236</v>
      </c>
      <c r="E717" s="82"/>
    </row>
    <row r="718" spans="1:5" ht="20" customHeight="1" x14ac:dyDescent="0.15">
      <c r="A718" s="88" t="s">
        <v>213</v>
      </c>
      <c r="B718" s="87" t="s">
        <v>338</v>
      </c>
      <c r="C718" s="87" t="s">
        <v>339</v>
      </c>
      <c r="D718" s="87" t="s">
        <v>340</v>
      </c>
      <c r="E718" s="82"/>
    </row>
    <row r="719" spans="1:5" ht="20" customHeight="1" x14ac:dyDescent="0.15">
      <c r="A719" s="84" t="s">
        <v>213</v>
      </c>
      <c r="B719" s="87" t="s">
        <v>343</v>
      </c>
      <c r="C719" s="87" t="s">
        <v>344</v>
      </c>
      <c r="D719" s="87" t="s">
        <v>1521</v>
      </c>
      <c r="E719" s="82"/>
    </row>
    <row r="720" spans="1:5" ht="20" customHeight="1" x14ac:dyDescent="0.15">
      <c r="A720" s="89" t="s">
        <v>471</v>
      </c>
      <c r="B720" s="87" t="s">
        <v>604</v>
      </c>
      <c r="C720" s="87" t="s">
        <v>605</v>
      </c>
      <c r="D720" s="87" t="s">
        <v>606</v>
      </c>
      <c r="E720" s="82"/>
    </row>
    <row r="721" spans="1:5" ht="20" customHeight="1" x14ac:dyDescent="0.15">
      <c r="A721" s="88" t="s">
        <v>213</v>
      </c>
      <c r="B721" s="87" t="s">
        <v>348</v>
      </c>
      <c r="C721" s="87" t="s">
        <v>349</v>
      </c>
      <c r="D721" s="87" t="s">
        <v>1528</v>
      </c>
      <c r="E721" s="82"/>
    </row>
    <row r="722" spans="1:5" ht="20" customHeight="1" x14ac:dyDescent="0.15">
      <c r="A722" s="89"/>
      <c r="B722" s="87" t="s">
        <v>1268</v>
      </c>
      <c r="C722" s="87" t="s">
        <v>1269</v>
      </c>
      <c r="D722" s="87" t="s">
        <v>1520</v>
      </c>
      <c r="E722" s="82"/>
    </row>
    <row r="723" spans="1:5" ht="20" customHeight="1" x14ac:dyDescent="0.15">
      <c r="A723" s="84" t="s">
        <v>862</v>
      </c>
      <c r="B723" s="87" t="s">
        <v>959</v>
      </c>
      <c r="C723" s="87" t="s">
        <v>960</v>
      </c>
      <c r="D723" s="87" t="s">
        <v>959</v>
      </c>
      <c r="E723" s="82"/>
    </row>
    <row r="724" spans="1:5" ht="20" customHeight="1" x14ac:dyDescent="0.15">
      <c r="A724" s="88" t="s">
        <v>213</v>
      </c>
      <c r="B724" s="87" t="s">
        <v>350</v>
      </c>
      <c r="C724" s="87" t="s">
        <v>351</v>
      </c>
      <c r="D724" s="87" t="s">
        <v>352</v>
      </c>
      <c r="E724" s="82"/>
    </row>
    <row r="725" spans="1:5" ht="20" customHeight="1" x14ac:dyDescent="0.15">
      <c r="A725" s="84"/>
      <c r="B725" s="87" t="s">
        <v>1270</v>
      </c>
      <c r="C725" s="87" t="s">
        <v>1271</v>
      </c>
      <c r="D725" s="87" t="s">
        <v>1272</v>
      </c>
      <c r="E725" s="82"/>
    </row>
    <row r="726" spans="1:5" ht="20" customHeight="1" x14ac:dyDescent="0.15">
      <c r="A726" s="86"/>
      <c r="B726" s="87" t="s">
        <v>1273</v>
      </c>
      <c r="C726" s="87" t="s">
        <v>1274</v>
      </c>
      <c r="D726" s="87" t="s">
        <v>1273</v>
      </c>
      <c r="E726" s="82"/>
    </row>
    <row r="727" spans="1:5" ht="20" customHeight="1" x14ac:dyDescent="0.15">
      <c r="A727" s="84" t="s">
        <v>728</v>
      </c>
      <c r="B727" s="87" t="s">
        <v>777</v>
      </c>
      <c r="C727" s="87" t="s">
        <v>778</v>
      </c>
      <c r="D727" s="87" t="s">
        <v>777</v>
      </c>
      <c r="E727" s="82"/>
    </row>
    <row r="728" spans="1:5" ht="20" customHeight="1" x14ac:dyDescent="0.15">
      <c r="A728" s="89" t="s">
        <v>213</v>
      </c>
      <c r="B728" s="87" t="s">
        <v>353</v>
      </c>
      <c r="C728" s="87" t="s">
        <v>354</v>
      </c>
      <c r="D728" s="87" t="s">
        <v>355</v>
      </c>
      <c r="E728" s="82"/>
    </row>
    <row r="729" spans="1:5" ht="20" customHeight="1" x14ac:dyDescent="0.15">
      <c r="A729" s="84" t="s">
        <v>862</v>
      </c>
      <c r="B729" s="87" t="s">
        <v>961</v>
      </c>
      <c r="C729" s="87" t="s">
        <v>962</v>
      </c>
      <c r="D729" s="87" t="s">
        <v>1519</v>
      </c>
      <c r="E729" s="82"/>
    </row>
    <row r="730" spans="1:5" ht="20" customHeight="1" x14ac:dyDescent="0.15">
      <c r="A730" s="89" t="s">
        <v>213</v>
      </c>
      <c r="B730" s="87" t="s">
        <v>356</v>
      </c>
      <c r="C730" s="87" t="s">
        <v>357</v>
      </c>
      <c r="D730" s="87" t="s">
        <v>1518</v>
      </c>
      <c r="E730" s="82"/>
    </row>
    <row r="731" spans="1:5" ht="20" customHeight="1" x14ac:dyDescent="0.15">
      <c r="A731" s="84" t="s">
        <v>862</v>
      </c>
      <c r="B731" s="87" t="s">
        <v>963</v>
      </c>
      <c r="C731" s="87" t="s">
        <v>964</v>
      </c>
      <c r="D731" s="87" t="s">
        <v>2160</v>
      </c>
      <c r="E731" s="82"/>
    </row>
    <row r="732" spans="1:5" ht="20" customHeight="1" x14ac:dyDescent="0.15">
      <c r="A732" s="86"/>
      <c r="B732" s="87" t="s">
        <v>1275</v>
      </c>
      <c r="C732" s="87" t="s">
        <v>1276</v>
      </c>
      <c r="D732" s="87" t="s">
        <v>2246</v>
      </c>
      <c r="E732" s="82"/>
    </row>
    <row r="733" spans="1:5" ht="20" customHeight="1" x14ac:dyDescent="0.15">
      <c r="A733" s="84" t="s">
        <v>728</v>
      </c>
      <c r="B733" s="87" t="s">
        <v>779</v>
      </c>
      <c r="C733" s="87" t="s">
        <v>780</v>
      </c>
      <c r="D733" s="87" t="s">
        <v>781</v>
      </c>
      <c r="E733" s="82"/>
    </row>
    <row r="734" spans="1:5" ht="20" customHeight="1" x14ac:dyDescent="0.15">
      <c r="A734" s="88" t="s">
        <v>213</v>
      </c>
      <c r="B734" s="87" t="s">
        <v>358</v>
      </c>
      <c r="C734" s="87" t="s">
        <v>359</v>
      </c>
      <c r="D734" s="87" t="s">
        <v>1527</v>
      </c>
      <c r="E734" s="82"/>
    </row>
    <row r="735" spans="1:5" ht="20" customHeight="1" x14ac:dyDescent="0.15">
      <c r="A735" s="84" t="s">
        <v>862</v>
      </c>
      <c r="B735" s="87" t="s">
        <v>966</v>
      </c>
      <c r="C735" s="87" t="s">
        <v>967</v>
      </c>
      <c r="D735" s="87" t="s">
        <v>968</v>
      </c>
      <c r="E735" s="82"/>
    </row>
    <row r="736" spans="1:5" ht="20" customHeight="1" x14ac:dyDescent="0.15">
      <c r="A736" s="84" t="s">
        <v>862</v>
      </c>
      <c r="B736" s="87" t="s">
        <v>969</v>
      </c>
      <c r="C736" s="87" t="s">
        <v>970</v>
      </c>
      <c r="D736" s="87" t="s">
        <v>1517</v>
      </c>
      <c r="E736" s="82"/>
    </row>
    <row r="737" spans="1:5" ht="20" customHeight="1" x14ac:dyDescent="0.15">
      <c r="A737" s="88"/>
      <c r="B737" s="87" t="s">
        <v>1278</v>
      </c>
      <c r="C737" s="87" t="s">
        <v>1279</v>
      </c>
      <c r="D737" s="87" t="s">
        <v>2161</v>
      </c>
      <c r="E737" s="82"/>
    </row>
    <row r="738" spans="1:5" ht="20" customHeight="1" x14ac:dyDescent="0.15">
      <c r="A738" s="89" t="s">
        <v>728</v>
      </c>
      <c r="B738" s="87" t="s">
        <v>782</v>
      </c>
      <c r="C738" s="87" t="s">
        <v>783</v>
      </c>
      <c r="D738" s="87" t="s">
        <v>2162</v>
      </c>
      <c r="E738" s="82"/>
    </row>
    <row r="739" spans="1:5" ht="20" customHeight="1" x14ac:dyDescent="0.15">
      <c r="A739" s="89" t="s">
        <v>213</v>
      </c>
      <c r="B739" s="87" t="s">
        <v>360</v>
      </c>
      <c r="C739" s="87" t="s">
        <v>361</v>
      </c>
      <c r="D739" s="87" t="s">
        <v>1515</v>
      </c>
      <c r="E739" s="82"/>
    </row>
    <row r="740" spans="1:5" ht="20" customHeight="1" x14ac:dyDescent="0.15">
      <c r="A740" s="84" t="s">
        <v>862</v>
      </c>
      <c r="B740" s="87" t="s">
        <v>971</v>
      </c>
      <c r="C740" s="87" t="s">
        <v>972</v>
      </c>
      <c r="D740" s="87" t="s">
        <v>973</v>
      </c>
      <c r="E740" s="82"/>
    </row>
    <row r="741" spans="1:5" ht="20" customHeight="1" x14ac:dyDescent="0.15">
      <c r="A741" s="84" t="s">
        <v>862</v>
      </c>
      <c r="B741" s="87" t="s">
        <v>974</v>
      </c>
      <c r="C741" s="87" t="s">
        <v>975</v>
      </c>
      <c r="D741" s="87" t="s">
        <v>2163</v>
      </c>
      <c r="E741" s="82"/>
    </row>
    <row r="742" spans="1:5" ht="20" customHeight="1" x14ac:dyDescent="0.15">
      <c r="A742" s="86" t="s">
        <v>471</v>
      </c>
      <c r="B742" s="87" t="s">
        <v>607</v>
      </c>
      <c r="C742" s="87" t="s">
        <v>608</v>
      </c>
      <c r="D742" s="87" t="s">
        <v>607</v>
      </c>
      <c r="E742" s="82"/>
    </row>
    <row r="743" spans="1:5" ht="20" customHeight="1" x14ac:dyDescent="0.15">
      <c r="A743" s="89"/>
      <c r="B743" s="87" t="s">
        <v>1284</v>
      </c>
      <c r="C743" s="87" t="s">
        <v>1285</v>
      </c>
      <c r="D743" s="87" t="s">
        <v>1284</v>
      </c>
      <c r="E743" s="82"/>
    </row>
    <row r="744" spans="1:5" ht="20" customHeight="1" x14ac:dyDescent="0.15">
      <c r="A744" s="84"/>
      <c r="B744" s="87" t="s">
        <v>1286</v>
      </c>
      <c r="C744" s="87" t="s">
        <v>1287</v>
      </c>
      <c r="D744" s="87" t="s">
        <v>1288</v>
      </c>
      <c r="E744" s="82"/>
    </row>
    <row r="745" spans="1:5" ht="20" customHeight="1" x14ac:dyDescent="0.15">
      <c r="A745" s="84" t="s">
        <v>728</v>
      </c>
      <c r="B745" s="87" t="s">
        <v>784</v>
      </c>
      <c r="C745" s="87" t="s">
        <v>785</v>
      </c>
      <c r="D745" s="87" t="s">
        <v>786</v>
      </c>
      <c r="E745" s="82"/>
    </row>
    <row r="746" spans="1:5" ht="20" customHeight="1" x14ac:dyDescent="0.15">
      <c r="A746" s="89" t="s">
        <v>471</v>
      </c>
      <c r="B746" s="87" t="s">
        <v>611</v>
      </c>
      <c r="C746" s="87" t="s">
        <v>612</v>
      </c>
      <c r="D746" s="87" t="s">
        <v>1500</v>
      </c>
      <c r="E746" s="82"/>
    </row>
    <row r="747" spans="1:5" ht="20" customHeight="1" x14ac:dyDescent="0.15">
      <c r="A747" s="86"/>
      <c r="B747" s="87" t="s">
        <v>1289</v>
      </c>
      <c r="C747" s="87" t="s">
        <v>1290</v>
      </c>
      <c r="D747" s="87" t="s">
        <v>1511</v>
      </c>
      <c r="E747" s="82"/>
    </row>
    <row r="748" spans="1:5" ht="20" customHeight="1" x14ac:dyDescent="0.15">
      <c r="A748" s="86" t="s">
        <v>471</v>
      </c>
      <c r="B748" s="87" t="s">
        <v>616</v>
      </c>
      <c r="C748" s="87" t="s">
        <v>617</v>
      </c>
      <c r="D748" s="87" t="s">
        <v>618</v>
      </c>
      <c r="E748" s="82"/>
    </row>
    <row r="749" spans="1:5" ht="20" customHeight="1" x14ac:dyDescent="0.15">
      <c r="A749" s="86" t="s">
        <v>213</v>
      </c>
      <c r="B749" s="87" t="s">
        <v>365</v>
      </c>
      <c r="C749" s="87" t="s">
        <v>366</v>
      </c>
      <c r="D749" s="87" t="s">
        <v>367</v>
      </c>
      <c r="E749" s="82"/>
    </row>
    <row r="750" spans="1:5" ht="20" customHeight="1" x14ac:dyDescent="0.15">
      <c r="A750" s="86" t="s">
        <v>471</v>
      </c>
      <c r="B750" s="87" t="s">
        <v>619</v>
      </c>
      <c r="C750" s="87" t="s">
        <v>620</v>
      </c>
      <c r="D750" s="87" t="s">
        <v>621</v>
      </c>
      <c r="E750" s="82"/>
    </row>
    <row r="751" spans="1:5" ht="20" customHeight="1" x14ac:dyDescent="0.15">
      <c r="A751" s="84" t="s">
        <v>862</v>
      </c>
      <c r="B751" s="87" t="s">
        <v>980</v>
      </c>
      <c r="C751" s="87" t="s">
        <v>981</v>
      </c>
      <c r="D751" s="87" t="s">
        <v>982</v>
      </c>
      <c r="E751" s="82"/>
    </row>
    <row r="752" spans="1:5" ht="20" customHeight="1" x14ac:dyDescent="0.15">
      <c r="A752" s="86" t="s">
        <v>471</v>
      </c>
      <c r="B752" s="87" t="s">
        <v>622</v>
      </c>
      <c r="C752" s="87" t="s">
        <v>623</v>
      </c>
      <c r="D752" s="87" t="s">
        <v>624</v>
      </c>
      <c r="E752" s="82"/>
    </row>
    <row r="753" spans="1:5" ht="20" customHeight="1" x14ac:dyDescent="0.15">
      <c r="A753" s="84" t="s">
        <v>728</v>
      </c>
      <c r="B753" s="87" t="s">
        <v>787</v>
      </c>
      <c r="C753" s="87" t="s">
        <v>788</v>
      </c>
      <c r="D753" s="87" t="s">
        <v>789</v>
      </c>
      <c r="E753" s="82"/>
    </row>
    <row r="754" spans="1:5" ht="20" customHeight="1" x14ac:dyDescent="0.15">
      <c r="A754" s="84" t="s">
        <v>213</v>
      </c>
      <c r="B754" s="87" t="s">
        <v>368</v>
      </c>
      <c r="C754" s="87" t="s">
        <v>369</v>
      </c>
      <c r="D754" s="87" t="s">
        <v>370</v>
      </c>
      <c r="E754" s="82"/>
    </row>
    <row r="755" spans="1:5" ht="20" customHeight="1" x14ac:dyDescent="0.15">
      <c r="A755" s="84" t="s">
        <v>728</v>
      </c>
      <c r="B755" s="87" t="s">
        <v>790</v>
      </c>
      <c r="C755" s="87" t="s">
        <v>791</v>
      </c>
      <c r="D755" s="87" t="s">
        <v>792</v>
      </c>
      <c r="E755" s="82"/>
    </row>
    <row r="756" spans="1:5" ht="20" customHeight="1" x14ac:dyDescent="0.15">
      <c r="A756" s="86" t="s">
        <v>471</v>
      </c>
      <c r="B756" s="87" t="s">
        <v>625</v>
      </c>
      <c r="C756" s="87" t="s">
        <v>626</v>
      </c>
      <c r="D756" s="87" t="s">
        <v>627</v>
      </c>
      <c r="E756" s="82"/>
    </row>
    <row r="757" spans="1:5" ht="20" customHeight="1" x14ac:dyDescent="0.15">
      <c r="A757" s="84" t="s">
        <v>862</v>
      </c>
      <c r="B757" s="87" t="s">
        <v>983</v>
      </c>
      <c r="C757" s="87" t="s">
        <v>984</v>
      </c>
      <c r="D757" s="87" t="s">
        <v>985</v>
      </c>
      <c r="E757" s="82"/>
    </row>
    <row r="758" spans="1:5" ht="20" customHeight="1" x14ac:dyDescent="0.15">
      <c r="A758" s="84" t="s">
        <v>728</v>
      </c>
      <c r="B758" s="87" t="s">
        <v>793</v>
      </c>
      <c r="C758" s="87" t="s">
        <v>794</v>
      </c>
      <c r="D758" s="87" t="s">
        <v>795</v>
      </c>
      <c r="E758" s="82"/>
    </row>
    <row r="759" spans="1:5" ht="20" customHeight="1" x14ac:dyDescent="0.15">
      <c r="A759" s="86"/>
      <c r="B759" s="87" t="s">
        <v>1306</v>
      </c>
      <c r="C759" s="87" t="s">
        <v>1307</v>
      </c>
      <c r="D759" s="87" t="s">
        <v>2165</v>
      </c>
      <c r="E759" s="82"/>
    </row>
    <row r="760" spans="1:5" ht="20" customHeight="1" x14ac:dyDescent="0.15">
      <c r="A760" s="84" t="s">
        <v>862</v>
      </c>
      <c r="B760" s="87" t="s">
        <v>986</v>
      </c>
      <c r="C760" s="87" t="s">
        <v>987</v>
      </c>
      <c r="D760" s="87" t="s">
        <v>988</v>
      </c>
      <c r="E760" s="82"/>
    </row>
    <row r="761" spans="1:5" ht="20" customHeight="1" x14ac:dyDescent="0.15">
      <c r="A761" s="84" t="s">
        <v>728</v>
      </c>
      <c r="B761" s="87" t="s">
        <v>796</v>
      </c>
      <c r="C761" s="87" t="s">
        <v>797</v>
      </c>
      <c r="D761" s="87" t="s">
        <v>798</v>
      </c>
      <c r="E761" s="82"/>
    </row>
    <row r="762" spans="1:5" ht="20" customHeight="1" x14ac:dyDescent="0.15">
      <c r="A762" s="84" t="s">
        <v>728</v>
      </c>
      <c r="B762" s="87" t="s">
        <v>799</v>
      </c>
      <c r="C762" s="87" t="s">
        <v>800</v>
      </c>
      <c r="D762" s="87" t="s">
        <v>801</v>
      </c>
      <c r="E762" s="82"/>
    </row>
    <row r="763" spans="1:5" ht="20" customHeight="1" x14ac:dyDescent="0.15">
      <c r="A763" s="86" t="s">
        <v>471</v>
      </c>
      <c r="B763" s="87" t="s">
        <v>628</v>
      </c>
      <c r="C763" s="87" t="s">
        <v>629</v>
      </c>
      <c r="D763" s="87" t="s">
        <v>630</v>
      </c>
      <c r="E763" s="82"/>
    </row>
    <row r="764" spans="1:5" ht="20" customHeight="1" x14ac:dyDescent="0.15">
      <c r="A764" s="86" t="s">
        <v>471</v>
      </c>
      <c r="B764" s="87" t="s">
        <v>631</v>
      </c>
      <c r="C764" s="87" t="s">
        <v>632</v>
      </c>
      <c r="D764" s="87" t="s">
        <v>2168</v>
      </c>
      <c r="E764" s="82"/>
    </row>
    <row r="765" spans="1:5" ht="20" customHeight="1" x14ac:dyDescent="0.15">
      <c r="A765" s="84" t="s">
        <v>213</v>
      </c>
      <c r="B765" s="87" t="s">
        <v>233</v>
      </c>
      <c r="C765" s="87" t="s">
        <v>234</v>
      </c>
      <c r="D765" s="87" t="s">
        <v>2169</v>
      </c>
      <c r="E765" s="82"/>
    </row>
    <row r="766" spans="1:5" ht="20" customHeight="1" x14ac:dyDescent="0.15">
      <c r="A766" s="84" t="s">
        <v>213</v>
      </c>
      <c r="B766" s="87" t="s">
        <v>236</v>
      </c>
      <c r="C766" s="87" t="s">
        <v>237</v>
      </c>
      <c r="D766" s="87" t="s">
        <v>2170</v>
      </c>
      <c r="E766" s="82"/>
    </row>
    <row r="767" spans="1:5" ht="20" customHeight="1" x14ac:dyDescent="0.15">
      <c r="A767" s="86" t="s">
        <v>471</v>
      </c>
      <c r="B767" s="87" t="s">
        <v>634</v>
      </c>
      <c r="C767" s="87" t="s">
        <v>635</v>
      </c>
      <c r="D767" s="87" t="s">
        <v>2171</v>
      </c>
      <c r="E767" s="82"/>
    </row>
    <row r="768" spans="1:5" ht="20" customHeight="1" x14ac:dyDescent="0.15">
      <c r="A768" s="84" t="s">
        <v>862</v>
      </c>
      <c r="B768" s="87" t="s">
        <v>989</v>
      </c>
      <c r="C768" s="87" t="s">
        <v>990</v>
      </c>
      <c r="D768" s="87" t="s">
        <v>2172</v>
      </c>
      <c r="E768" s="82"/>
    </row>
    <row r="769" spans="1:5" ht="20" customHeight="1" x14ac:dyDescent="0.15">
      <c r="A769" s="84" t="s">
        <v>862</v>
      </c>
      <c r="B769" s="87" t="s">
        <v>992</v>
      </c>
      <c r="C769" s="87" t="s">
        <v>993</v>
      </c>
      <c r="D769" s="87" t="s">
        <v>994</v>
      </c>
      <c r="E769" s="82"/>
    </row>
    <row r="770" spans="1:5" ht="20" customHeight="1" x14ac:dyDescent="0.15">
      <c r="A770" s="86" t="s">
        <v>471</v>
      </c>
      <c r="B770" s="87" t="s">
        <v>637</v>
      </c>
      <c r="C770" s="87" t="s">
        <v>638</v>
      </c>
      <c r="D770" s="87" t="s">
        <v>639</v>
      </c>
      <c r="E770" s="82"/>
    </row>
    <row r="771" spans="1:5" ht="20" customHeight="1" x14ac:dyDescent="0.15">
      <c r="A771" s="91" t="s">
        <v>728</v>
      </c>
      <c r="B771" s="87" t="s">
        <v>805</v>
      </c>
      <c r="C771" s="87" t="s">
        <v>806</v>
      </c>
      <c r="D771" s="87" t="s">
        <v>807</v>
      </c>
      <c r="E771" s="82"/>
    </row>
    <row r="772" spans="1:5" ht="20" customHeight="1" x14ac:dyDescent="0.15">
      <c r="A772" s="86" t="s">
        <v>471</v>
      </c>
      <c r="B772" s="87" t="s">
        <v>640</v>
      </c>
      <c r="C772" s="87" t="s">
        <v>641</v>
      </c>
      <c r="D772" s="87" t="s">
        <v>642</v>
      </c>
      <c r="E772" s="82"/>
    </row>
    <row r="773" spans="1:5" ht="20" customHeight="1" x14ac:dyDescent="0.15">
      <c r="A773" s="84" t="s">
        <v>728</v>
      </c>
      <c r="B773" s="87" t="s">
        <v>811</v>
      </c>
      <c r="C773" s="87" t="s">
        <v>812</v>
      </c>
      <c r="D773" s="87" t="s">
        <v>813</v>
      </c>
      <c r="E773" s="82"/>
    </row>
    <row r="774" spans="1:5" ht="20" customHeight="1" x14ac:dyDescent="0.15">
      <c r="A774" s="84" t="s">
        <v>371</v>
      </c>
      <c r="B774" s="87" t="s">
        <v>372</v>
      </c>
      <c r="C774" s="87" t="s">
        <v>373</v>
      </c>
      <c r="D774" s="87" t="s">
        <v>374</v>
      </c>
      <c r="E774" s="82"/>
    </row>
    <row r="775" spans="1:5" ht="20" customHeight="1" x14ac:dyDescent="0.15">
      <c r="A775" s="89" t="s">
        <v>471</v>
      </c>
      <c r="B775" s="87" t="s">
        <v>643</v>
      </c>
      <c r="C775" s="87" t="s">
        <v>644</v>
      </c>
      <c r="D775" s="87" t="s">
        <v>645</v>
      </c>
      <c r="E775" s="82"/>
    </row>
    <row r="776" spans="1:5" ht="20" customHeight="1" x14ac:dyDescent="0.15">
      <c r="A776" s="86"/>
      <c r="B776" s="87" t="s">
        <v>1329</v>
      </c>
      <c r="C776" s="87" t="s">
        <v>1330</v>
      </c>
      <c r="D776" s="87" t="s">
        <v>2175</v>
      </c>
      <c r="E776" s="82"/>
    </row>
    <row r="777" spans="1:5" ht="20" customHeight="1" x14ac:dyDescent="0.15">
      <c r="A777" s="84" t="s">
        <v>728</v>
      </c>
      <c r="B777" s="87" t="s">
        <v>814</v>
      </c>
      <c r="C777" s="87" t="s">
        <v>815</v>
      </c>
      <c r="D777" s="87" t="s">
        <v>816</v>
      </c>
      <c r="E777" s="82"/>
    </row>
    <row r="778" spans="1:5" ht="20" customHeight="1" x14ac:dyDescent="0.15">
      <c r="A778" s="86"/>
      <c r="B778" s="87" t="s">
        <v>1336</v>
      </c>
      <c r="C778" s="87" t="s">
        <v>1337</v>
      </c>
      <c r="D778" s="87" t="s">
        <v>2176</v>
      </c>
      <c r="E778" s="82"/>
    </row>
    <row r="779" spans="1:5" ht="20" customHeight="1" x14ac:dyDescent="0.15">
      <c r="A779" s="84" t="s">
        <v>862</v>
      </c>
      <c r="B779" s="87" t="s">
        <v>997</v>
      </c>
      <c r="C779" s="87" t="s">
        <v>998</v>
      </c>
      <c r="D779" s="87" t="s">
        <v>999</v>
      </c>
      <c r="E779" s="82"/>
    </row>
    <row r="780" spans="1:5" ht="20" customHeight="1" x14ac:dyDescent="0.15">
      <c r="A780" s="84" t="s">
        <v>471</v>
      </c>
      <c r="B780" s="87" t="s">
        <v>646</v>
      </c>
      <c r="C780" s="87" t="s">
        <v>647</v>
      </c>
      <c r="D780" s="87" t="s">
        <v>2177</v>
      </c>
      <c r="E780" s="82"/>
    </row>
    <row r="781" spans="1:5" ht="20" customHeight="1" x14ac:dyDescent="0.15">
      <c r="A781" s="86"/>
      <c r="B781" s="87" t="s">
        <v>1338</v>
      </c>
      <c r="C781" s="87" t="s">
        <v>1339</v>
      </c>
      <c r="D781" s="87" t="s">
        <v>2178</v>
      </c>
      <c r="E781" s="82"/>
    </row>
    <row r="782" spans="1:5" ht="20" customHeight="1" x14ac:dyDescent="0.15">
      <c r="A782" s="86" t="s">
        <v>471</v>
      </c>
      <c r="B782" s="87" t="s">
        <v>649</v>
      </c>
      <c r="C782" s="87" t="s">
        <v>650</v>
      </c>
      <c r="D782" s="87" t="s">
        <v>651</v>
      </c>
      <c r="E782" s="82"/>
    </row>
    <row r="783" spans="1:5" ht="20" customHeight="1" x14ac:dyDescent="0.15">
      <c r="A783" s="84" t="s">
        <v>862</v>
      </c>
      <c r="B783" s="87" t="s">
        <v>1000</v>
      </c>
      <c r="C783" s="87" t="s">
        <v>1001</v>
      </c>
      <c r="D783" s="87" t="s">
        <v>1000</v>
      </c>
      <c r="E783" s="82"/>
    </row>
    <row r="784" spans="1:5" ht="20" customHeight="1" x14ac:dyDescent="0.15">
      <c r="A784" s="88" t="s">
        <v>213</v>
      </c>
      <c r="B784" s="87" t="s">
        <v>381</v>
      </c>
      <c r="C784" s="87" t="s">
        <v>382</v>
      </c>
      <c r="D784" s="87" t="s">
        <v>2179</v>
      </c>
      <c r="E784" s="82"/>
    </row>
    <row r="785" spans="1:5" ht="20" customHeight="1" x14ac:dyDescent="0.15">
      <c r="A785" s="89"/>
      <c r="B785" s="87" t="s">
        <v>1343</v>
      </c>
      <c r="C785" s="87" t="s">
        <v>1344</v>
      </c>
      <c r="D785" s="87" t="s">
        <v>1345</v>
      </c>
      <c r="E785" s="82"/>
    </row>
    <row r="786" spans="1:5" ht="20" customHeight="1" x14ac:dyDescent="0.15">
      <c r="A786" s="86" t="s">
        <v>471</v>
      </c>
      <c r="B786" s="87" t="s">
        <v>654</v>
      </c>
      <c r="C786" s="87" t="s">
        <v>655</v>
      </c>
      <c r="D786" s="87" t="s">
        <v>656</v>
      </c>
      <c r="E786" s="82"/>
    </row>
    <row r="787" spans="1:5" ht="20" customHeight="1" x14ac:dyDescent="0.15">
      <c r="A787" s="88"/>
      <c r="B787" s="87" t="s">
        <v>1349</v>
      </c>
      <c r="C787" s="87" t="s">
        <v>1350</v>
      </c>
      <c r="D787" s="87" t="s">
        <v>1351</v>
      </c>
      <c r="E787" s="82"/>
    </row>
    <row r="788" spans="1:5" ht="20" customHeight="1" x14ac:dyDescent="0.15">
      <c r="A788" s="89"/>
      <c r="B788" s="87" t="s">
        <v>1352</v>
      </c>
      <c r="C788" s="87" t="s">
        <v>1353</v>
      </c>
      <c r="D788" s="87" t="s">
        <v>1351</v>
      </c>
      <c r="E788" s="82"/>
    </row>
    <row r="789" spans="1:5" ht="20" customHeight="1" x14ac:dyDescent="0.15">
      <c r="A789" s="84" t="s">
        <v>728</v>
      </c>
      <c r="B789" s="87" t="s">
        <v>817</v>
      </c>
      <c r="C789" s="87" t="s">
        <v>818</v>
      </c>
      <c r="D789" s="87" t="s">
        <v>819</v>
      </c>
      <c r="E789" s="82"/>
    </row>
    <row r="790" spans="1:5" ht="20" customHeight="1" x14ac:dyDescent="0.15">
      <c r="A790" s="84" t="s">
        <v>471</v>
      </c>
      <c r="B790" s="87" t="s">
        <v>657</v>
      </c>
      <c r="C790" s="87" t="s">
        <v>658</v>
      </c>
      <c r="D790" s="87" t="s">
        <v>657</v>
      </c>
      <c r="E790" s="82"/>
    </row>
    <row r="791" spans="1:5" ht="20" customHeight="1" x14ac:dyDescent="0.15">
      <c r="A791" s="86"/>
      <c r="B791" s="87" t="s">
        <v>1355</v>
      </c>
      <c r="C791" s="87">
        <v>0</v>
      </c>
      <c r="D791" s="87" t="s">
        <v>1498</v>
      </c>
      <c r="E791" s="82"/>
    </row>
    <row r="792" spans="1:5" ht="20" customHeight="1" x14ac:dyDescent="0.15">
      <c r="A792" s="84" t="s">
        <v>728</v>
      </c>
      <c r="B792" s="87" t="s">
        <v>823</v>
      </c>
      <c r="C792" s="87" t="s">
        <v>824</v>
      </c>
      <c r="D792" s="87" t="s">
        <v>825</v>
      </c>
      <c r="E792" s="82"/>
    </row>
    <row r="793" spans="1:5" ht="20" customHeight="1" x14ac:dyDescent="0.15">
      <c r="A793" s="84"/>
      <c r="B793" s="87" t="s">
        <v>1356</v>
      </c>
      <c r="C793" s="87" t="s">
        <v>1357</v>
      </c>
      <c r="D793" s="87" t="s">
        <v>1417</v>
      </c>
      <c r="E793" s="82"/>
    </row>
    <row r="794" spans="1:5" ht="20" customHeight="1" x14ac:dyDescent="0.15">
      <c r="A794" s="84" t="s">
        <v>213</v>
      </c>
      <c r="B794" s="87" t="s">
        <v>383</v>
      </c>
      <c r="C794" s="87" t="s">
        <v>384</v>
      </c>
      <c r="D794" s="87" t="s">
        <v>2181</v>
      </c>
      <c r="E794" s="82"/>
    </row>
    <row r="795" spans="1:5" ht="20" customHeight="1" x14ac:dyDescent="0.15">
      <c r="A795" s="84" t="s">
        <v>728</v>
      </c>
      <c r="B795" s="87" t="s">
        <v>826</v>
      </c>
      <c r="C795" s="87" t="s">
        <v>827</v>
      </c>
      <c r="D795" s="87" t="s">
        <v>828</v>
      </c>
      <c r="E795" s="82"/>
    </row>
    <row r="796" spans="1:5" ht="20" customHeight="1" x14ac:dyDescent="0.15">
      <c r="A796" s="84" t="s">
        <v>471</v>
      </c>
      <c r="B796" s="87" t="s">
        <v>674</v>
      </c>
      <c r="C796" s="87" t="s">
        <v>675</v>
      </c>
      <c r="D796" s="87" t="s">
        <v>676</v>
      </c>
      <c r="E796" s="82"/>
    </row>
    <row r="797" spans="1:5" ht="20" customHeight="1" x14ac:dyDescent="0.15">
      <c r="A797" s="84" t="s">
        <v>862</v>
      </c>
      <c r="B797" s="87" t="s">
        <v>1012</v>
      </c>
      <c r="C797" s="87" t="s">
        <v>1013</v>
      </c>
      <c r="D797" s="87" t="s">
        <v>1014</v>
      </c>
      <c r="E797" s="82"/>
    </row>
    <row r="798" spans="1:5" ht="20" customHeight="1" x14ac:dyDescent="0.15">
      <c r="A798" s="84" t="s">
        <v>728</v>
      </c>
      <c r="B798" s="87" t="s">
        <v>829</v>
      </c>
      <c r="C798" s="87" t="s">
        <v>830</v>
      </c>
      <c r="D798" s="87" t="s">
        <v>831</v>
      </c>
      <c r="E798" s="82"/>
    </row>
    <row r="799" spans="1:5" ht="20" customHeight="1" x14ac:dyDescent="0.15">
      <c r="A799" s="86" t="s">
        <v>471</v>
      </c>
      <c r="B799" s="87" t="s">
        <v>677</v>
      </c>
      <c r="C799" s="87" t="s">
        <v>678</v>
      </c>
      <c r="D799" s="87" t="s">
        <v>679</v>
      </c>
      <c r="E799" s="82"/>
    </row>
    <row r="800" spans="1:5" ht="20" customHeight="1" x14ac:dyDescent="0.15">
      <c r="A800" s="84" t="s">
        <v>213</v>
      </c>
      <c r="B800" s="87" t="s">
        <v>415</v>
      </c>
      <c r="C800" s="87" t="s">
        <v>416</v>
      </c>
      <c r="D800" s="87" t="s">
        <v>415</v>
      </c>
      <c r="E800" s="82"/>
    </row>
    <row r="801" spans="1:5" ht="20" customHeight="1" x14ac:dyDescent="0.15">
      <c r="A801" s="86"/>
      <c r="B801" s="87" t="s">
        <v>1396</v>
      </c>
      <c r="C801" s="87" t="s">
        <v>1397</v>
      </c>
      <c r="D801" s="87" t="s">
        <v>1396</v>
      </c>
      <c r="E801" s="82"/>
    </row>
    <row r="802" spans="1:5" ht="20" customHeight="1" x14ac:dyDescent="0.15">
      <c r="A802" s="84"/>
      <c r="B802" s="87" t="s">
        <v>1398</v>
      </c>
      <c r="C802" s="87" t="s">
        <v>1399</v>
      </c>
      <c r="D802" s="87" t="s">
        <v>1398</v>
      </c>
      <c r="E802" s="82"/>
    </row>
    <row r="803" spans="1:5" ht="20" customHeight="1" x14ac:dyDescent="0.15">
      <c r="A803" s="84" t="s">
        <v>862</v>
      </c>
      <c r="B803" s="87" t="s">
        <v>1017</v>
      </c>
      <c r="C803" s="87" t="s">
        <v>1018</v>
      </c>
      <c r="D803" s="87" t="s">
        <v>2182</v>
      </c>
      <c r="E803" s="82"/>
    </row>
    <row r="804" spans="1:5" ht="20" customHeight="1" x14ac:dyDescent="0.15">
      <c r="A804" s="89" t="s">
        <v>471</v>
      </c>
      <c r="B804" s="87" t="s">
        <v>680</v>
      </c>
      <c r="C804" s="87" t="s">
        <v>681</v>
      </c>
      <c r="D804" s="87" t="s">
        <v>682</v>
      </c>
      <c r="E804" s="82"/>
    </row>
    <row r="805" spans="1:5" ht="20" customHeight="1" x14ac:dyDescent="0.15">
      <c r="A805" s="86"/>
      <c r="B805" s="87" t="s">
        <v>1400</v>
      </c>
      <c r="C805" s="87" t="s">
        <v>1401</v>
      </c>
      <c r="D805" s="87" t="s">
        <v>2183</v>
      </c>
      <c r="E805" s="82"/>
    </row>
    <row r="806" spans="1:5" ht="20" customHeight="1" x14ac:dyDescent="0.15">
      <c r="A806" s="84" t="s">
        <v>213</v>
      </c>
      <c r="B806" s="87" t="s">
        <v>417</v>
      </c>
      <c r="C806" s="87" t="s">
        <v>418</v>
      </c>
      <c r="D806" s="87" t="s">
        <v>2184</v>
      </c>
      <c r="E806" s="82"/>
    </row>
    <row r="807" spans="1:5" ht="20" customHeight="1" x14ac:dyDescent="0.15">
      <c r="A807" s="84" t="s">
        <v>213</v>
      </c>
      <c r="B807" s="87" t="s">
        <v>420</v>
      </c>
      <c r="C807" s="87" t="s">
        <v>421</v>
      </c>
      <c r="D807" s="87" t="s">
        <v>2185</v>
      </c>
      <c r="E807" s="82"/>
    </row>
    <row r="808" spans="1:5" ht="20" customHeight="1" x14ac:dyDescent="0.15">
      <c r="A808" s="84" t="s">
        <v>862</v>
      </c>
      <c r="B808" s="87" t="s">
        <v>1019</v>
      </c>
      <c r="C808" s="87" t="s">
        <v>1020</v>
      </c>
      <c r="D808" s="87" t="s">
        <v>2186</v>
      </c>
      <c r="E808" s="82"/>
    </row>
    <row r="809" spans="1:5" ht="20" customHeight="1" x14ac:dyDescent="0.15">
      <c r="A809" s="86" t="s">
        <v>213</v>
      </c>
      <c r="B809" s="87" t="s">
        <v>423</v>
      </c>
      <c r="C809" s="87" t="s">
        <v>424</v>
      </c>
      <c r="D809" s="87" t="s">
        <v>425</v>
      </c>
      <c r="E809" s="82"/>
    </row>
    <row r="810" spans="1:5" ht="20" customHeight="1" x14ac:dyDescent="0.15">
      <c r="A810" s="86" t="s">
        <v>213</v>
      </c>
      <c r="B810" s="87" t="s">
        <v>426</v>
      </c>
      <c r="C810" s="87" t="s">
        <v>427</v>
      </c>
      <c r="D810" s="87" t="s">
        <v>428</v>
      </c>
      <c r="E810" s="82"/>
    </row>
    <row r="811" spans="1:5" ht="20" customHeight="1" x14ac:dyDescent="0.15">
      <c r="A811" s="84" t="s">
        <v>213</v>
      </c>
      <c r="B811" s="87" t="s">
        <v>429</v>
      </c>
      <c r="C811" s="87" t="s">
        <v>430</v>
      </c>
      <c r="D811" s="87" t="s">
        <v>431</v>
      </c>
      <c r="E811" s="82"/>
    </row>
    <row r="812" spans="1:5" ht="20" customHeight="1" x14ac:dyDescent="0.15">
      <c r="A812" s="84" t="s">
        <v>213</v>
      </c>
      <c r="B812" s="87" t="s">
        <v>432</v>
      </c>
      <c r="C812" s="87" t="s">
        <v>433</v>
      </c>
      <c r="D812" s="87" t="s">
        <v>434</v>
      </c>
      <c r="E812" s="82"/>
    </row>
    <row r="813" spans="1:5" ht="20" customHeight="1" x14ac:dyDescent="0.15">
      <c r="A813" s="84" t="s">
        <v>213</v>
      </c>
      <c r="B813" s="87" t="s">
        <v>435</v>
      </c>
      <c r="C813" s="87" t="s">
        <v>436</v>
      </c>
      <c r="D813" s="87" t="s">
        <v>437</v>
      </c>
      <c r="E813" s="82"/>
    </row>
    <row r="814" spans="1:5" ht="20" customHeight="1" x14ac:dyDescent="0.15">
      <c r="A814" s="84" t="s">
        <v>862</v>
      </c>
      <c r="B814" s="87" t="s">
        <v>1022</v>
      </c>
      <c r="C814" s="87" t="s">
        <v>1023</v>
      </c>
      <c r="D814" s="87" t="s">
        <v>1024</v>
      </c>
      <c r="E814" s="82"/>
    </row>
    <row r="815" spans="1:5" ht="20" customHeight="1" x14ac:dyDescent="0.15">
      <c r="A815" s="86" t="s">
        <v>471</v>
      </c>
      <c r="B815" s="87" t="s">
        <v>683</v>
      </c>
      <c r="C815" s="87" t="s">
        <v>684</v>
      </c>
      <c r="D815" s="87" t="s">
        <v>685</v>
      </c>
      <c r="E815" s="82"/>
    </row>
    <row r="816" spans="1:5" ht="20" customHeight="1" x14ac:dyDescent="0.15">
      <c r="A816" s="84" t="s">
        <v>471</v>
      </c>
      <c r="B816" s="87" t="s">
        <v>686</v>
      </c>
      <c r="C816" s="87" t="s">
        <v>687</v>
      </c>
      <c r="D816" s="87" t="s">
        <v>688</v>
      </c>
      <c r="E816" s="82"/>
    </row>
    <row r="817" spans="1:5" ht="20" customHeight="1" x14ac:dyDescent="0.15">
      <c r="A817" s="84" t="s">
        <v>862</v>
      </c>
      <c r="B817" s="87" t="s">
        <v>1025</v>
      </c>
      <c r="C817" s="87" t="s">
        <v>1026</v>
      </c>
      <c r="D817" s="87" t="s">
        <v>1027</v>
      </c>
      <c r="E817" s="82"/>
    </row>
    <row r="818" spans="1:5" ht="20" customHeight="1" x14ac:dyDescent="0.15">
      <c r="A818" s="84" t="s">
        <v>471</v>
      </c>
      <c r="B818" s="87" t="s">
        <v>689</v>
      </c>
      <c r="C818" s="87" t="s">
        <v>690</v>
      </c>
      <c r="D818" s="87" t="s">
        <v>691</v>
      </c>
      <c r="E818" s="82"/>
    </row>
    <row r="819" spans="1:5" ht="20" customHeight="1" x14ac:dyDescent="0.15">
      <c r="A819" s="90" t="s">
        <v>213</v>
      </c>
      <c r="B819" s="87" t="s">
        <v>438</v>
      </c>
      <c r="C819" s="87" t="s">
        <v>439</v>
      </c>
      <c r="D819" s="87" t="s">
        <v>440</v>
      </c>
      <c r="E819" s="82"/>
    </row>
    <row r="820" spans="1:5" ht="20" customHeight="1" x14ac:dyDescent="0.15">
      <c r="A820" s="84" t="s">
        <v>862</v>
      </c>
      <c r="B820" s="87" t="s">
        <v>1028</v>
      </c>
      <c r="C820" s="87" t="s">
        <v>1029</v>
      </c>
      <c r="D820" s="87" t="s">
        <v>1030</v>
      </c>
      <c r="E820" s="82"/>
    </row>
    <row r="821" spans="1:5" ht="20" customHeight="1" x14ac:dyDescent="0.15">
      <c r="A821" s="84" t="s">
        <v>213</v>
      </c>
      <c r="B821" s="87" t="s">
        <v>441</v>
      </c>
      <c r="C821" s="87" t="s">
        <v>442</v>
      </c>
      <c r="D821" s="87" t="s">
        <v>443</v>
      </c>
      <c r="E821" s="82"/>
    </row>
    <row r="822" spans="1:5" ht="20" customHeight="1" x14ac:dyDescent="0.15">
      <c r="A822" s="84" t="s">
        <v>213</v>
      </c>
      <c r="B822" s="87" t="s">
        <v>444</v>
      </c>
      <c r="C822" s="87" t="s">
        <v>445</v>
      </c>
      <c r="D822" s="87" t="s">
        <v>446</v>
      </c>
      <c r="E822" s="82"/>
    </row>
    <row r="823" spans="1:5" ht="20" customHeight="1" x14ac:dyDescent="0.15">
      <c r="A823" s="84" t="s">
        <v>213</v>
      </c>
      <c r="B823" s="87" t="s">
        <v>447</v>
      </c>
      <c r="C823" s="87" t="s">
        <v>448</v>
      </c>
      <c r="D823" s="87" t="s">
        <v>449</v>
      </c>
      <c r="E823" s="82"/>
    </row>
    <row r="824" spans="1:5" ht="20" customHeight="1" x14ac:dyDescent="0.15">
      <c r="A824" s="84" t="s">
        <v>862</v>
      </c>
      <c r="B824" s="87" t="s">
        <v>5752</v>
      </c>
      <c r="C824" s="87" t="s">
        <v>5753</v>
      </c>
      <c r="D824" s="87" t="s">
        <v>5754</v>
      </c>
      <c r="E824" s="82"/>
    </row>
    <row r="825" spans="1:5" ht="20" customHeight="1" x14ac:dyDescent="0.15">
      <c r="A825" s="84" t="s">
        <v>213</v>
      </c>
      <c r="B825" s="87" t="s">
        <v>450</v>
      </c>
      <c r="C825" s="87" t="s">
        <v>451</v>
      </c>
      <c r="D825" s="87" t="s">
        <v>452</v>
      </c>
      <c r="E825" s="82"/>
    </row>
    <row r="826" spans="1:5" ht="20" customHeight="1" x14ac:dyDescent="0.15">
      <c r="A826" s="84" t="s">
        <v>862</v>
      </c>
      <c r="B826" s="87" t="s">
        <v>1031</v>
      </c>
      <c r="C826" s="87" t="s">
        <v>1032</v>
      </c>
      <c r="D826" s="87" t="s">
        <v>1033</v>
      </c>
      <c r="E826" s="82"/>
    </row>
    <row r="827" spans="1:5" ht="20" customHeight="1" x14ac:dyDescent="0.15">
      <c r="A827" s="86" t="s">
        <v>471</v>
      </c>
      <c r="B827" s="87" t="s">
        <v>692</v>
      </c>
      <c r="C827" s="87" t="s">
        <v>693</v>
      </c>
      <c r="D827" s="87" t="s">
        <v>694</v>
      </c>
      <c r="E827" s="82"/>
    </row>
    <row r="828" spans="1:5" ht="20" customHeight="1" x14ac:dyDescent="0.15">
      <c r="A828" s="86" t="s">
        <v>471</v>
      </c>
      <c r="B828" s="87" t="s">
        <v>695</v>
      </c>
      <c r="C828" s="87" t="s">
        <v>696</v>
      </c>
      <c r="D828" s="87" t="s">
        <v>697</v>
      </c>
      <c r="E828" s="82"/>
    </row>
    <row r="829" spans="1:5" ht="20" customHeight="1" x14ac:dyDescent="0.15">
      <c r="A829" s="86" t="s">
        <v>471</v>
      </c>
      <c r="B829" s="87" t="s">
        <v>698</v>
      </c>
      <c r="C829" s="87" t="s">
        <v>699</v>
      </c>
      <c r="D829" s="87" t="s">
        <v>700</v>
      </c>
      <c r="E829" s="82"/>
    </row>
    <row r="830" spans="1:5" ht="20" customHeight="1" x14ac:dyDescent="0.15">
      <c r="A830" s="84" t="s">
        <v>862</v>
      </c>
      <c r="B830" s="87" t="s">
        <v>1034</v>
      </c>
      <c r="C830" s="87" t="s">
        <v>1035</v>
      </c>
      <c r="D830" s="87" t="s">
        <v>1036</v>
      </c>
      <c r="E830" s="82"/>
    </row>
    <row r="831" spans="1:5" ht="20" customHeight="1" x14ac:dyDescent="0.15">
      <c r="A831" s="86" t="s">
        <v>471</v>
      </c>
      <c r="B831" s="87" t="s">
        <v>701</v>
      </c>
      <c r="C831" s="87" t="s">
        <v>702</v>
      </c>
      <c r="D831" s="87" t="s">
        <v>703</v>
      </c>
      <c r="E831" s="82"/>
    </row>
    <row r="832" spans="1:5" ht="20" customHeight="1" x14ac:dyDescent="0.15">
      <c r="A832" s="84" t="s">
        <v>471</v>
      </c>
      <c r="B832" s="87" t="s">
        <v>704</v>
      </c>
      <c r="C832" s="87" t="s">
        <v>705</v>
      </c>
      <c r="D832" s="87" t="s">
        <v>706</v>
      </c>
      <c r="E832" s="82"/>
    </row>
    <row r="833" spans="1:5" ht="20" customHeight="1" x14ac:dyDescent="0.15">
      <c r="A833" s="84" t="s">
        <v>213</v>
      </c>
      <c r="B833" s="87" t="s">
        <v>453</v>
      </c>
      <c r="C833" s="87" t="s">
        <v>454</v>
      </c>
      <c r="D833" s="87" t="s">
        <v>455</v>
      </c>
      <c r="E833" s="82"/>
    </row>
    <row r="834" spans="1:5" ht="20" customHeight="1" x14ac:dyDescent="0.15">
      <c r="A834" s="84" t="s">
        <v>471</v>
      </c>
      <c r="B834" s="87" t="s">
        <v>707</v>
      </c>
      <c r="C834" s="87" t="s">
        <v>708</v>
      </c>
      <c r="D834" s="87" t="s">
        <v>709</v>
      </c>
      <c r="E834" s="82"/>
    </row>
    <row r="835" spans="1:5" ht="20" customHeight="1" x14ac:dyDescent="0.15">
      <c r="A835" s="84" t="s">
        <v>728</v>
      </c>
      <c r="B835" s="87" t="s">
        <v>832</v>
      </c>
      <c r="C835" s="87" t="s">
        <v>833</v>
      </c>
      <c r="D835" s="87" t="s">
        <v>834</v>
      </c>
      <c r="E835" s="82"/>
    </row>
    <row r="836" spans="1:5" ht="20" customHeight="1" x14ac:dyDescent="0.15">
      <c r="A836" s="84" t="s">
        <v>862</v>
      </c>
      <c r="B836" s="87" t="s">
        <v>1037</v>
      </c>
      <c r="C836" s="87" t="s">
        <v>1038</v>
      </c>
      <c r="D836" s="87" t="s">
        <v>1039</v>
      </c>
      <c r="E836" s="82"/>
    </row>
    <row r="837" spans="1:5" ht="20" customHeight="1" x14ac:dyDescent="0.15">
      <c r="A837" s="84" t="s">
        <v>862</v>
      </c>
      <c r="B837" s="87" t="s">
        <v>1040</v>
      </c>
      <c r="C837" s="87" t="s">
        <v>1041</v>
      </c>
      <c r="D837" s="87" t="s">
        <v>1042</v>
      </c>
      <c r="E837" s="82"/>
    </row>
    <row r="838" spans="1:5" ht="20" customHeight="1" x14ac:dyDescent="0.15">
      <c r="A838" s="84" t="s">
        <v>862</v>
      </c>
      <c r="B838" s="87" t="s">
        <v>1043</v>
      </c>
      <c r="C838" s="87" t="s">
        <v>1044</v>
      </c>
      <c r="D838" s="87" t="s">
        <v>1045</v>
      </c>
      <c r="E838" s="82"/>
    </row>
    <row r="839" spans="1:5" ht="20" customHeight="1" x14ac:dyDescent="0.15">
      <c r="A839" s="84" t="s">
        <v>728</v>
      </c>
      <c r="B839" s="87" t="s">
        <v>835</v>
      </c>
      <c r="C839" s="87" t="s">
        <v>836</v>
      </c>
      <c r="D839" s="87" t="s">
        <v>837</v>
      </c>
      <c r="E839" s="82"/>
    </row>
    <row r="840" spans="1:5" ht="20" customHeight="1" x14ac:dyDescent="0.15">
      <c r="A840" s="84" t="s">
        <v>728</v>
      </c>
      <c r="B840" s="87" t="s">
        <v>838</v>
      </c>
      <c r="C840" s="87" t="s">
        <v>839</v>
      </c>
      <c r="D840" s="87" t="s">
        <v>840</v>
      </c>
      <c r="E840" s="82"/>
    </row>
    <row r="841" spans="1:5" ht="20" customHeight="1" x14ac:dyDescent="0.15">
      <c r="A841" s="84" t="s">
        <v>728</v>
      </c>
      <c r="B841" s="87" t="s">
        <v>841</v>
      </c>
      <c r="C841" s="87" t="s">
        <v>842</v>
      </c>
      <c r="D841" s="87" t="s">
        <v>843</v>
      </c>
      <c r="E841" s="82"/>
    </row>
    <row r="842" spans="1:5" ht="20" customHeight="1" x14ac:dyDescent="0.15">
      <c r="A842" s="84" t="s">
        <v>728</v>
      </c>
      <c r="B842" s="87" t="s">
        <v>844</v>
      </c>
      <c r="C842" s="87" t="s">
        <v>845</v>
      </c>
      <c r="D842" s="87" t="s">
        <v>846</v>
      </c>
      <c r="E842" s="82"/>
    </row>
    <row r="843" spans="1:5" ht="20" customHeight="1" x14ac:dyDescent="0.15">
      <c r="A843" s="84" t="s">
        <v>728</v>
      </c>
      <c r="B843" s="87" t="s">
        <v>847</v>
      </c>
      <c r="C843" s="87" t="s">
        <v>848</v>
      </c>
      <c r="D843" s="87" t="s">
        <v>849</v>
      </c>
      <c r="E843" s="82"/>
    </row>
    <row r="844" spans="1:5" ht="20" customHeight="1" x14ac:dyDescent="0.15">
      <c r="A844" s="84" t="s">
        <v>728</v>
      </c>
      <c r="B844" s="87" t="s">
        <v>850</v>
      </c>
      <c r="C844" s="87" t="s">
        <v>851</v>
      </c>
      <c r="D844" s="87" t="s">
        <v>852</v>
      </c>
      <c r="E844" s="82"/>
    </row>
    <row r="845" spans="1:5" ht="20" customHeight="1" x14ac:dyDescent="0.15">
      <c r="A845" s="84" t="s">
        <v>728</v>
      </c>
      <c r="B845" s="87" t="s">
        <v>853</v>
      </c>
      <c r="C845" s="87" t="s">
        <v>854</v>
      </c>
      <c r="D845" s="87" t="s">
        <v>855</v>
      </c>
      <c r="E845" s="82"/>
    </row>
    <row r="846" spans="1:5" ht="20" customHeight="1" x14ac:dyDescent="0.15">
      <c r="A846" s="84" t="s">
        <v>862</v>
      </c>
      <c r="B846" s="87" t="s">
        <v>1046</v>
      </c>
      <c r="C846" s="87" t="s">
        <v>1047</v>
      </c>
      <c r="D846" s="87" t="s">
        <v>1048</v>
      </c>
      <c r="E846" s="82"/>
    </row>
    <row r="847" spans="1:5" ht="20" customHeight="1" x14ac:dyDescent="0.15">
      <c r="A847" s="84" t="s">
        <v>728</v>
      </c>
      <c r="B847" s="87" t="s">
        <v>856</v>
      </c>
      <c r="C847" s="87" t="s">
        <v>857</v>
      </c>
      <c r="D847" s="87" t="s">
        <v>858</v>
      </c>
      <c r="E847" s="82"/>
    </row>
    <row r="848" spans="1:5" ht="20" customHeight="1" x14ac:dyDescent="0.15">
      <c r="A848" s="86" t="s">
        <v>213</v>
      </c>
      <c r="B848" s="87" t="s">
        <v>456</v>
      </c>
      <c r="C848" s="87" t="s">
        <v>457</v>
      </c>
      <c r="D848" s="87" t="s">
        <v>458</v>
      </c>
      <c r="E848" s="82"/>
    </row>
    <row r="849" spans="1:5" ht="20" customHeight="1" x14ac:dyDescent="0.15">
      <c r="A849" s="84" t="s">
        <v>471</v>
      </c>
      <c r="B849" s="87" t="s">
        <v>710</v>
      </c>
      <c r="C849" s="87" t="s">
        <v>711</v>
      </c>
      <c r="D849" s="87" t="s">
        <v>712</v>
      </c>
      <c r="E849" s="82"/>
    </row>
    <row r="850" spans="1:5" ht="20" customHeight="1" x14ac:dyDescent="0.15">
      <c r="A850" s="84" t="s">
        <v>213</v>
      </c>
      <c r="B850" s="87" t="s">
        <v>459</v>
      </c>
      <c r="C850" s="87" t="s">
        <v>460</v>
      </c>
      <c r="D850" s="87" t="s">
        <v>461</v>
      </c>
      <c r="E850" s="82"/>
    </row>
    <row r="851" spans="1:5" ht="20" customHeight="1" x14ac:dyDescent="0.15">
      <c r="A851" s="84" t="s">
        <v>213</v>
      </c>
      <c r="B851" s="87" t="s">
        <v>462</v>
      </c>
      <c r="C851" s="87" t="s">
        <v>463</v>
      </c>
      <c r="D851" s="87" t="s">
        <v>464</v>
      </c>
      <c r="E851" s="82"/>
    </row>
    <row r="852" spans="1:5" ht="20" customHeight="1" x14ac:dyDescent="0.15">
      <c r="A852" s="84" t="s">
        <v>213</v>
      </c>
      <c r="B852" s="87" t="s">
        <v>465</v>
      </c>
      <c r="C852" s="87" t="s">
        <v>466</v>
      </c>
      <c r="D852" s="87" t="s">
        <v>467</v>
      </c>
      <c r="E852" s="82"/>
    </row>
    <row r="853" spans="1:5" ht="20" customHeight="1" x14ac:dyDescent="0.15">
      <c r="A853" s="84" t="s">
        <v>213</v>
      </c>
      <c r="B853" s="87" t="s">
        <v>468</v>
      </c>
      <c r="C853" s="87" t="s">
        <v>469</v>
      </c>
      <c r="D853" s="87" t="s">
        <v>470</v>
      </c>
      <c r="E853" s="82"/>
    </row>
    <row r="854" spans="1:5" ht="20" customHeight="1" x14ac:dyDescent="0.15">
      <c r="A854" s="86" t="s">
        <v>471</v>
      </c>
      <c r="B854" s="87" t="s">
        <v>713</v>
      </c>
      <c r="C854" s="87" t="s">
        <v>714</v>
      </c>
      <c r="D854" s="87" t="s">
        <v>715</v>
      </c>
      <c r="E854" s="82"/>
    </row>
    <row r="855" spans="1:5" ht="20" customHeight="1" x14ac:dyDescent="0.15">
      <c r="A855" s="84"/>
      <c r="B855" s="87" t="s">
        <v>1403</v>
      </c>
      <c r="C855" s="87">
        <v>0</v>
      </c>
      <c r="D855" s="87" t="s">
        <v>1404</v>
      </c>
      <c r="E855" s="82"/>
    </row>
    <row r="856" spans="1:5" ht="20" customHeight="1" x14ac:dyDescent="0.15">
      <c r="A856" s="86" t="s">
        <v>471</v>
      </c>
      <c r="B856" s="87" t="s">
        <v>716</v>
      </c>
      <c r="C856" s="87" t="s">
        <v>717</v>
      </c>
      <c r="D856" s="87" t="s">
        <v>718</v>
      </c>
      <c r="E856" s="82"/>
    </row>
    <row r="857" spans="1:5" ht="20" customHeight="1" x14ac:dyDescent="0.15">
      <c r="A857" s="86" t="s">
        <v>471</v>
      </c>
      <c r="B857" s="87" t="s">
        <v>719</v>
      </c>
      <c r="C857" s="87" t="s">
        <v>720</v>
      </c>
      <c r="D857" s="87" t="s">
        <v>721</v>
      </c>
      <c r="E857" s="82"/>
    </row>
    <row r="858" spans="1:5" ht="20" customHeight="1" x14ac:dyDescent="0.15">
      <c r="A858" s="86" t="s">
        <v>471</v>
      </c>
      <c r="B858" s="87" t="s">
        <v>722</v>
      </c>
      <c r="C858" s="87" t="s">
        <v>723</v>
      </c>
      <c r="D858" s="87" t="s">
        <v>724</v>
      </c>
      <c r="E858" s="82"/>
    </row>
    <row r="859" spans="1:5" ht="20" customHeight="1" x14ac:dyDescent="0.15">
      <c r="A859" s="84" t="s">
        <v>862</v>
      </c>
      <c r="B859" s="87" t="s">
        <v>1049</v>
      </c>
      <c r="C859" s="87" t="s">
        <v>1050</v>
      </c>
      <c r="D859" s="87" t="s">
        <v>1051</v>
      </c>
      <c r="E859" s="82"/>
    </row>
    <row r="860" spans="1:5" ht="20" customHeight="1" x14ac:dyDescent="0.15">
      <c r="A860" s="84" t="s">
        <v>862</v>
      </c>
      <c r="B860" s="87" t="s">
        <v>1052</v>
      </c>
      <c r="C860" s="87" t="s">
        <v>1053</v>
      </c>
      <c r="D860" s="87" t="s">
        <v>1054</v>
      </c>
      <c r="E860" s="82"/>
    </row>
    <row r="861" spans="1:5" ht="20" customHeight="1" x14ac:dyDescent="0.15">
      <c r="A861" s="86"/>
      <c r="B861" s="87" t="s">
        <v>1406</v>
      </c>
      <c r="C861" s="87" t="s">
        <v>1407</v>
      </c>
      <c r="D861" s="87" t="s">
        <v>1408</v>
      </c>
      <c r="E861" s="82"/>
    </row>
    <row r="862" spans="1:5" ht="20" customHeight="1" x14ac:dyDescent="0.15">
      <c r="A862" s="84"/>
      <c r="B862" s="87" t="s">
        <v>1409</v>
      </c>
      <c r="C862" s="87" t="s">
        <v>1410</v>
      </c>
      <c r="D862" s="87" t="s">
        <v>2249</v>
      </c>
      <c r="E862" s="82"/>
    </row>
    <row r="863" spans="1:5" ht="20" customHeight="1" x14ac:dyDescent="0.15">
      <c r="A863" s="86" t="s">
        <v>471</v>
      </c>
      <c r="B863" s="87" t="s">
        <v>725</v>
      </c>
      <c r="C863" s="87" t="s">
        <v>726</v>
      </c>
      <c r="D863" s="87" t="s">
        <v>727</v>
      </c>
      <c r="E863" s="82"/>
    </row>
    <row r="864" spans="1:5" ht="20" customHeight="1" x14ac:dyDescent="0.15">
      <c r="A864" s="84" t="s">
        <v>862</v>
      </c>
      <c r="B864" s="87" t="s">
        <v>1055</v>
      </c>
      <c r="C864" s="87" t="s">
        <v>978</v>
      </c>
      <c r="D864" s="87" t="s">
        <v>1055</v>
      </c>
      <c r="E864" s="82"/>
    </row>
    <row r="865" spans="1:5" ht="20" customHeight="1" x14ac:dyDescent="0.15">
      <c r="A865" s="86" t="s">
        <v>78</v>
      </c>
      <c r="B865" s="87" t="s">
        <v>84</v>
      </c>
      <c r="C865" s="87" t="s">
        <v>85</v>
      </c>
      <c r="D865" s="87" t="s">
        <v>1474</v>
      </c>
      <c r="E865" s="82"/>
    </row>
    <row r="866" spans="1:5" ht="20" customHeight="1" x14ac:dyDescent="0.15">
      <c r="A866" s="86" t="s">
        <v>78</v>
      </c>
      <c r="B866" s="87" t="s">
        <v>87</v>
      </c>
      <c r="C866" s="87" t="s">
        <v>88</v>
      </c>
      <c r="D866" s="87" t="s">
        <v>1475</v>
      </c>
      <c r="E866" s="82"/>
    </row>
    <row r="867" spans="1:5" ht="20" customHeight="1" x14ac:dyDescent="0.15">
      <c r="A867" s="86" t="s">
        <v>78</v>
      </c>
      <c r="B867" s="87" t="s">
        <v>90</v>
      </c>
      <c r="C867" s="87" t="s">
        <v>91</v>
      </c>
      <c r="D867" s="87" t="s">
        <v>92</v>
      </c>
      <c r="E867" s="82"/>
    </row>
    <row r="868" spans="1:5" ht="20" customHeight="1" x14ac:dyDescent="0.15">
      <c r="A868" s="86" t="s">
        <v>78</v>
      </c>
      <c r="B868" s="87" t="s">
        <v>93</v>
      </c>
      <c r="C868" s="87" t="s">
        <v>94</v>
      </c>
      <c r="D868" s="87" t="s">
        <v>95</v>
      </c>
      <c r="E868" s="82"/>
    </row>
    <row r="869" spans="1:5" ht="20" customHeight="1" x14ac:dyDescent="0.15">
      <c r="A869" s="86" t="s">
        <v>78</v>
      </c>
      <c r="B869" s="87" t="s">
        <v>96</v>
      </c>
      <c r="C869" s="87" t="s">
        <v>97</v>
      </c>
      <c r="D869" s="87" t="s">
        <v>98</v>
      </c>
      <c r="E869" s="82"/>
    </row>
    <row r="870" spans="1:5" ht="20" customHeight="1" x14ac:dyDescent="0.15">
      <c r="A870" s="86" t="s">
        <v>78</v>
      </c>
      <c r="B870" s="87" t="s">
        <v>99</v>
      </c>
      <c r="C870" s="87" t="s">
        <v>100</v>
      </c>
      <c r="D870" s="87" t="s">
        <v>101</v>
      </c>
      <c r="E870" s="82"/>
    </row>
    <row r="871" spans="1:5" ht="20" customHeight="1" x14ac:dyDescent="0.15">
      <c r="A871" s="86" t="s">
        <v>78</v>
      </c>
      <c r="B871" s="87" t="s">
        <v>102</v>
      </c>
      <c r="C871" s="87" t="s">
        <v>103</v>
      </c>
      <c r="D871" s="87" t="s">
        <v>104</v>
      </c>
      <c r="E871" s="82"/>
    </row>
    <row r="872" spans="1:5" ht="20" customHeight="1" x14ac:dyDescent="0.15">
      <c r="A872" s="86" t="s">
        <v>78</v>
      </c>
      <c r="B872" s="87" t="s">
        <v>105</v>
      </c>
      <c r="C872" s="87" t="s">
        <v>106</v>
      </c>
      <c r="D872" s="87" t="s">
        <v>107</v>
      </c>
      <c r="E872" s="82"/>
    </row>
    <row r="873" spans="1:5" ht="20" customHeight="1" x14ac:dyDescent="0.15">
      <c r="A873" s="86" t="s">
        <v>78</v>
      </c>
      <c r="B873" s="87" t="s">
        <v>108</v>
      </c>
      <c r="C873" s="87" t="s">
        <v>109</v>
      </c>
      <c r="D873" s="87" t="s">
        <v>1574</v>
      </c>
      <c r="E873" s="82"/>
    </row>
    <row r="874" spans="1:5" ht="20" customHeight="1" x14ac:dyDescent="0.15">
      <c r="A874" s="86" t="s">
        <v>78</v>
      </c>
      <c r="B874" s="87" t="s">
        <v>111</v>
      </c>
      <c r="C874" s="87" t="s">
        <v>112</v>
      </c>
      <c r="D874" s="87" t="s">
        <v>1573</v>
      </c>
      <c r="E874" s="82"/>
    </row>
    <row r="875" spans="1:5" ht="20" customHeight="1" x14ac:dyDescent="0.15">
      <c r="A875" s="86" t="s">
        <v>78</v>
      </c>
      <c r="B875" s="87" t="s">
        <v>114</v>
      </c>
      <c r="C875" s="87" t="s">
        <v>115</v>
      </c>
      <c r="D875" s="87" t="s">
        <v>116</v>
      </c>
      <c r="E875" s="82"/>
    </row>
    <row r="876" spans="1:5" ht="20" customHeight="1" x14ac:dyDescent="0.15">
      <c r="A876" s="86" t="s">
        <v>78</v>
      </c>
      <c r="B876" s="87" t="s">
        <v>117</v>
      </c>
      <c r="C876" s="87" t="s">
        <v>118</v>
      </c>
      <c r="D876" s="87" t="s">
        <v>1572</v>
      </c>
      <c r="E876" s="82"/>
    </row>
    <row r="877" spans="1:5" ht="20" customHeight="1" x14ac:dyDescent="0.15">
      <c r="A877" s="86" t="s">
        <v>78</v>
      </c>
      <c r="B877" s="87" t="s">
        <v>2117</v>
      </c>
      <c r="C877" s="87" t="s">
        <v>1101</v>
      </c>
      <c r="D877" s="87" t="s">
        <v>2118</v>
      </c>
      <c r="E877" s="82"/>
    </row>
    <row r="878" spans="1:5" ht="20" customHeight="1" x14ac:dyDescent="0.15">
      <c r="A878" s="86" t="s">
        <v>78</v>
      </c>
      <c r="B878" s="87" t="s">
        <v>1106</v>
      </c>
      <c r="C878" s="87" t="s">
        <v>1107</v>
      </c>
      <c r="D878" s="87" t="s">
        <v>1108</v>
      </c>
      <c r="E878" s="82"/>
    </row>
    <row r="879" spans="1:5" ht="20" customHeight="1" x14ac:dyDescent="0.15">
      <c r="A879" s="86" t="s">
        <v>78</v>
      </c>
      <c r="B879" s="87" t="s">
        <v>1123</v>
      </c>
      <c r="C879" s="87" t="s">
        <v>1124</v>
      </c>
      <c r="D879" s="87" t="s">
        <v>2120</v>
      </c>
      <c r="E879" s="82"/>
    </row>
    <row r="880" spans="1:5" ht="20" customHeight="1" x14ac:dyDescent="0.15">
      <c r="A880" s="84" t="s">
        <v>859</v>
      </c>
      <c r="B880" s="87" t="s">
        <v>860</v>
      </c>
      <c r="C880" s="87">
        <v>0</v>
      </c>
      <c r="D880" s="87" t="s">
        <v>861</v>
      </c>
      <c r="E880" s="82"/>
    </row>
    <row r="881" spans="1:5" ht="20" customHeight="1" x14ac:dyDescent="0.15">
      <c r="A881" s="86" t="s">
        <v>862</v>
      </c>
      <c r="B881" s="87" t="s">
        <v>1097</v>
      </c>
      <c r="C881" s="87" t="s">
        <v>1098</v>
      </c>
      <c r="D881" s="87" t="s">
        <v>1099</v>
      </c>
      <c r="E881" s="82"/>
    </row>
    <row r="882" spans="1:5" ht="20" customHeight="1" x14ac:dyDescent="0.15">
      <c r="A882" s="86" t="s">
        <v>213</v>
      </c>
      <c r="B882" s="87" t="s">
        <v>1103</v>
      </c>
      <c r="C882" s="87" t="s">
        <v>1104</v>
      </c>
      <c r="D882" s="87" t="s">
        <v>1105</v>
      </c>
      <c r="E882" s="82"/>
    </row>
    <row r="883" spans="1:5" ht="20" customHeight="1" x14ac:dyDescent="0.15">
      <c r="A883" s="84" t="s">
        <v>862</v>
      </c>
      <c r="B883" s="87" t="s">
        <v>868</v>
      </c>
      <c r="C883" s="87" t="s">
        <v>869</v>
      </c>
      <c r="D883" s="87" t="s">
        <v>870</v>
      </c>
      <c r="E883" s="82"/>
    </row>
    <row r="884" spans="1:5" ht="20" customHeight="1" x14ac:dyDescent="0.15">
      <c r="A884" s="86" t="s">
        <v>862</v>
      </c>
      <c r="B884" s="87" t="s">
        <v>1109</v>
      </c>
      <c r="C884" s="87" t="s">
        <v>1110</v>
      </c>
      <c r="D884" s="87" t="s">
        <v>1111</v>
      </c>
      <c r="E884" s="82"/>
    </row>
    <row r="885" spans="1:5" ht="20" customHeight="1" x14ac:dyDescent="0.15">
      <c r="A885" s="86" t="s">
        <v>213</v>
      </c>
      <c r="B885" s="87" t="s">
        <v>244</v>
      </c>
      <c r="C885" s="87" t="s">
        <v>245</v>
      </c>
      <c r="D885" s="87" t="s">
        <v>246</v>
      </c>
      <c r="E885" s="82"/>
    </row>
    <row r="886" spans="1:5" ht="20" customHeight="1" x14ac:dyDescent="0.15">
      <c r="A886" s="86" t="s">
        <v>213</v>
      </c>
      <c r="B886" s="87" t="s">
        <v>221</v>
      </c>
      <c r="C886" s="87" t="s">
        <v>222</v>
      </c>
      <c r="D886" s="87" t="s">
        <v>223</v>
      </c>
      <c r="E886" s="82"/>
    </row>
    <row r="887" spans="1:5" ht="20" customHeight="1" x14ac:dyDescent="0.15">
      <c r="A887" s="86" t="s">
        <v>213</v>
      </c>
      <c r="B887" s="87" t="s">
        <v>247</v>
      </c>
      <c r="C887" s="87" t="s">
        <v>248</v>
      </c>
      <c r="D887" s="87" t="s">
        <v>249</v>
      </c>
      <c r="E887" s="82"/>
    </row>
    <row r="888" spans="1:5" ht="20" customHeight="1" x14ac:dyDescent="0.15">
      <c r="A888" s="86" t="s">
        <v>471</v>
      </c>
      <c r="B888" s="87" t="s">
        <v>474</v>
      </c>
      <c r="C888" s="87" t="s">
        <v>475</v>
      </c>
      <c r="D888" s="87" t="s">
        <v>476</v>
      </c>
      <c r="E888" s="82"/>
    </row>
    <row r="889" spans="1:5" ht="20" customHeight="1" x14ac:dyDescent="0.15">
      <c r="A889" s="86" t="s">
        <v>471</v>
      </c>
      <c r="B889" s="87" t="s">
        <v>477</v>
      </c>
      <c r="C889" s="87" t="s">
        <v>478</v>
      </c>
      <c r="D889" s="87" t="s">
        <v>479</v>
      </c>
      <c r="E889" s="82"/>
    </row>
    <row r="890" spans="1:5" ht="20" customHeight="1" x14ac:dyDescent="0.15">
      <c r="A890" s="86" t="s">
        <v>213</v>
      </c>
      <c r="B890" s="87" t="s">
        <v>224</v>
      </c>
      <c r="C890" s="87" t="s">
        <v>225</v>
      </c>
      <c r="D890" s="87" t="s">
        <v>226</v>
      </c>
      <c r="E890" s="82"/>
    </row>
    <row r="891" spans="1:5" ht="20" customHeight="1" x14ac:dyDescent="0.15">
      <c r="A891" s="86" t="s">
        <v>862</v>
      </c>
      <c r="B891" s="87" t="s">
        <v>2270</v>
      </c>
      <c r="C891" s="87" t="s">
        <v>1113</v>
      </c>
      <c r="D891" s="87" t="s">
        <v>2271</v>
      </c>
      <c r="E891" s="82"/>
    </row>
    <row r="892" spans="1:5" ht="20" customHeight="1" x14ac:dyDescent="0.15">
      <c r="A892" s="86" t="s">
        <v>213</v>
      </c>
      <c r="B892" s="87" t="s">
        <v>250</v>
      </c>
      <c r="C892" s="87" t="s">
        <v>251</v>
      </c>
      <c r="D892" s="87" t="s">
        <v>252</v>
      </c>
      <c r="E892" s="82"/>
    </row>
    <row r="893" spans="1:5" ht="20" customHeight="1" x14ac:dyDescent="0.15">
      <c r="A893" s="86" t="s">
        <v>471</v>
      </c>
      <c r="B893" s="87" t="s">
        <v>480</v>
      </c>
      <c r="C893" s="87" t="s">
        <v>481</v>
      </c>
      <c r="D893" s="87" t="s">
        <v>482</v>
      </c>
      <c r="E893" s="82"/>
    </row>
    <row r="894" spans="1:5" ht="20" customHeight="1" x14ac:dyDescent="0.15">
      <c r="A894" s="86" t="s">
        <v>213</v>
      </c>
      <c r="B894" s="87" t="s">
        <v>227</v>
      </c>
      <c r="C894" s="87" t="s">
        <v>228</v>
      </c>
      <c r="D894" s="87" t="s">
        <v>229</v>
      </c>
      <c r="E894" s="82"/>
    </row>
    <row r="895" spans="1:5" ht="20" customHeight="1" x14ac:dyDescent="0.15">
      <c r="A895" s="86" t="s">
        <v>471</v>
      </c>
      <c r="B895" s="87" t="s">
        <v>483</v>
      </c>
      <c r="C895" s="87" t="s">
        <v>484</v>
      </c>
      <c r="D895" s="87" t="s">
        <v>485</v>
      </c>
      <c r="E895" s="82"/>
    </row>
    <row r="896" spans="1:5" ht="20" customHeight="1" x14ac:dyDescent="0.15">
      <c r="A896" s="86" t="s">
        <v>213</v>
      </c>
      <c r="B896" s="87" t="s">
        <v>230</v>
      </c>
      <c r="C896" s="87" t="s">
        <v>231</v>
      </c>
      <c r="D896" s="87" t="s">
        <v>232</v>
      </c>
      <c r="E896" s="82"/>
    </row>
    <row r="897" spans="1:5" ht="20" customHeight="1" x14ac:dyDescent="0.15">
      <c r="A897" s="86" t="s">
        <v>471</v>
      </c>
      <c r="B897" s="87" t="s">
        <v>486</v>
      </c>
      <c r="C897" s="87" t="s">
        <v>487</v>
      </c>
      <c r="D897" s="87" t="s">
        <v>488</v>
      </c>
      <c r="E897" s="82"/>
    </row>
    <row r="898" spans="1:5" ht="20" customHeight="1" x14ac:dyDescent="0.15">
      <c r="A898" s="86" t="s">
        <v>213</v>
      </c>
      <c r="B898" s="87" t="s">
        <v>253</v>
      </c>
      <c r="C898" s="87" t="s">
        <v>254</v>
      </c>
      <c r="D898" s="87" t="s">
        <v>255</v>
      </c>
      <c r="E898" s="82"/>
    </row>
    <row r="899" spans="1:5" ht="20" customHeight="1" x14ac:dyDescent="0.15">
      <c r="A899" s="86" t="s">
        <v>213</v>
      </c>
      <c r="B899" s="87" t="s">
        <v>256</v>
      </c>
      <c r="C899" s="87" t="s">
        <v>257</v>
      </c>
      <c r="D899" s="87" t="s">
        <v>258</v>
      </c>
      <c r="E899" s="82"/>
    </row>
    <row r="900" spans="1:5" ht="20" customHeight="1" x14ac:dyDescent="0.15">
      <c r="A900" s="86" t="s">
        <v>213</v>
      </c>
      <c r="B900" s="87" t="s">
        <v>259</v>
      </c>
      <c r="C900" s="87" t="s">
        <v>260</v>
      </c>
      <c r="D900" s="87" t="s">
        <v>261</v>
      </c>
      <c r="E900" s="82"/>
    </row>
    <row r="901" spans="1:5" ht="20" customHeight="1" x14ac:dyDescent="0.15">
      <c r="A901" s="86" t="s">
        <v>471</v>
      </c>
      <c r="B901" s="87" t="s">
        <v>489</v>
      </c>
      <c r="C901" s="87" t="s">
        <v>490</v>
      </c>
      <c r="D901" s="87" t="s">
        <v>491</v>
      </c>
      <c r="E901" s="82"/>
    </row>
    <row r="902" spans="1:5" ht="20" customHeight="1" x14ac:dyDescent="0.15">
      <c r="A902" s="86" t="s">
        <v>471</v>
      </c>
      <c r="B902" s="87" t="s">
        <v>492</v>
      </c>
      <c r="C902" s="87" t="s">
        <v>493</v>
      </c>
      <c r="D902" s="87" t="s">
        <v>494</v>
      </c>
      <c r="E902" s="82"/>
    </row>
    <row r="903" spans="1:5" ht="20" customHeight="1" x14ac:dyDescent="0.15">
      <c r="A903" s="86" t="s">
        <v>213</v>
      </c>
      <c r="B903" s="87" t="s">
        <v>262</v>
      </c>
      <c r="C903" s="87" t="s">
        <v>263</v>
      </c>
      <c r="D903" s="87" t="s">
        <v>1608</v>
      </c>
      <c r="E903" s="82"/>
    </row>
    <row r="904" spans="1:5" ht="20" customHeight="1" x14ac:dyDescent="0.15">
      <c r="A904" s="86" t="s">
        <v>213</v>
      </c>
      <c r="B904" s="87" t="s">
        <v>265</v>
      </c>
      <c r="C904" s="87"/>
      <c r="D904" s="87" t="s">
        <v>266</v>
      </c>
      <c r="E904" s="82"/>
    </row>
    <row r="905" spans="1:5" ht="20" customHeight="1" x14ac:dyDescent="0.15">
      <c r="A905" s="86" t="s">
        <v>213</v>
      </c>
      <c r="B905" s="87" t="s">
        <v>267</v>
      </c>
      <c r="C905" s="87" t="s">
        <v>268</v>
      </c>
      <c r="D905" s="87" t="s">
        <v>269</v>
      </c>
      <c r="E905" s="82"/>
    </row>
    <row r="906" spans="1:5" ht="20" customHeight="1" x14ac:dyDescent="0.15">
      <c r="A906" s="86" t="s">
        <v>471</v>
      </c>
      <c r="B906" s="87" t="s">
        <v>495</v>
      </c>
      <c r="C906" s="87" t="s">
        <v>496</v>
      </c>
      <c r="D906" s="87" t="s">
        <v>497</v>
      </c>
      <c r="E906" s="82"/>
    </row>
    <row r="907" spans="1:5" ht="20" customHeight="1" x14ac:dyDescent="0.15">
      <c r="A907" s="84" t="s">
        <v>862</v>
      </c>
      <c r="B907" s="87" t="s">
        <v>871</v>
      </c>
      <c r="C907" s="87">
        <v>0</v>
      </c>
      <c r="D907" s="87" t="s">
        <v>872</v>
      </c>
      <c r="E907" s="82"/>
    </row>
    <row r="908" spans="1:5" ht="20" customHeight="1" x14ac:dyDescent="0.15">
      <c r="A908" s="86" t="s">
        <v>471</v>
      </c>
      <c r="B908" s="87" t="s">
        <v>498</v>
      </c>
      <c r="C908" s="87"/>
      <c r="D908" s="87" t="s">
        <v>499</v>
      </c>
      <c r="E908" s="82"/>
    </row>
    <row r="909" spans="1:5" ht="20" customHeight="1" x14ac:dyDescent="0.15">
      <c r="A909" s="86" t="s">
        <v>471</v>
      </c>
      <c r="B909" s="87" t="s">
        <v>500</v>
      </c>
      <c r="C909" s="87"/>
      <c r="D909" s="87" t="s">
        <v>501</v>
      </c>
      <c r="E909" s="82"/>
    </row>
    <row r="910" spans="1:5" ht="20" customHeight="1" x14ac:dyDescent="0.15">
      <c r="A910" s="86" t="s">
        <v>213</v>
      </c>
      <c r="B910" s="87" t="s">
        <v>270</v>
      </c>
      <c r="C910" s="87" t="s">
        <v>271</v>
      </c>
      <c r="D910" s="87" t="s">
        <v>272</v>
      </c>
      <c r="E910" s="82"/>
    </row>
    <row r="911" spans="1:5" ht="20" customHeight="1" x14ac:dyDescent="0.15">
      <c r="A911" s="86" t="s">
        <v>213</v>
      </c>
      <c r="B911" s="87" t="s">
        <v>273</v>
      </c>
      <c r="C911" s="87" t="s">
        <v>274</v>
      </c>
      <c r="D911" s="87" t="s">
        <v>275</v>
      </c>
      <c r="E911" s="82"/>
    </row>
    <row r="912" spans="1:5" ht="20" customHeight="1" x14ac:dyDescent="0.15">
      <c r="A912" s="86" t="s">
        <v>728</v>
      </c>
      <c r="B912" s="87" t="s">
        <v>1126</v>
      </c>
      <c r="C912" s="87">
        <v>0</v>
      </c>
      <c r="D912" s="87" t="s">
        <v>1127</v>
      </c>
      <c r="E912" s="82"/>
    </row>
    <row r="913" spans="1:5" ht="20" customHeight="1" x14ac:dyDescent="0.15">
      <c r="A913" s="86" t="s">
        <v>471</v>
      </c>
      <c r="B913" s="87" t="s">
        <v>502</v>
      </c>
      <c r="C913" s="87"/>
      <c r="D913" s="87" t="s">
        <v>503</v>
      </c>
      <c r="E913" s="82"/>
    </row>
    <row r="914" spans="1:5" ht="20" customHeight="1" x14ac:dyDescent="0.15">
      <c r="A914" s="84" t="s">
        <v>728</v>
      </c>
      <c r="B914" s="87" t="s">
        <v>729</v>
      </c>
      <c r="C914" s="87">
        <v>0</v>
      </c>
      <c r="D914" s="87" t="s">
        <v>730</v>
      </c>
      <c r="E914" s="82"/>
    </row>
    <row r="915" spans="1:5" ht="20" customHeight="1" x14ac:dyDescent="0.15">
      <c r="A915" s="89"/>
      <c r="B915" s="80" t="s">
        <v>2269</v>
      </c>
      <c r="C915" s="80"/>
      <c r="D915" s="87"/>
      <c r="E915" s="82"/>
    </row>
    <row r="916" spans="1:5" ht="20" customHeight="1" x14ac:dyDescent="0.15">
      <c r="A916" s="86" t="s">
        <v>78</v>
      </c>
      <c r="B916" s="87" t="s">
        <v>79</v>
      </c>
      <c r="C916" s="87" t="s">
        <v>80</v>
      </c>
      <c r="D916" s="87" t="s">
        <v>1488</v>
      </c>
      <c r="E916" s="82" t="s">
        <v>2677</v>
      </c>
    </row>
    <row r="917" spans="1:5" ht="20" customHeight="1" x14ac:dyDescent="0.15">
      <c r="A917" s="86" t="s">
        <v>78</v>
      </c>
      <c r="B917" s="87" t="s">
        <v>2768</v>
      </c>
      <c r="C917" s="87" t="s">
        <v>153</v>
      </c>
      <c r="D917" s="87" t="s">
        <v>1563</v>
      </c>
      <c r="E917" s="82"/>
    </row>
    <row r="918" spans="1:5" ht="20" customHeight="1" x14ac:dyDescent="0.15">
      <c r="A918" s="86" t="s">
        <v>78</v>
      </c>
      <c r="B918" s="87" t="s">
        <v>120</v>
      </c>
      <c r="C918" s="87" t="s">
        <v>121</v>
      </c>
      <c r="D918" s="87" t="s">
        <v>1571</v>
      </c>
      <c r="E918" s="82"/>
    </row>
    <row r="919" spans="1:5" ht="20" customHeight="1" x14ac:dyDescent="0.15">
      <c r="A919" s="86" t="s">
        <v>78</v>
      </c>
      <c r="B919" s="87" t="s">
        <v>123</v>
      </c>
      <c r="C919" s="87" t="s">
        <v>124</v>
      </c>
      <c r="D919" s="87" t="s">
        <v>1487</v>
      </c>
      <c r="E919" s="82"/>
    </row>
    <row r="920" spans="1:5" ht="20" customHeight="1" x14ac:dyDescent="0.15">
      <c r="A920" s="86" t="s">
        <v>78</v>
      </c>
      <c r="B920" s="87" t="s">
        <v>125</v>
      </c>
      <c r="C920" s="87" t="s">
        <v>126</v>
      </c>
      <c r="D920" s="87" t="s">
        <v>1570</v>
      </c>
      <c r="E920" s="82"/>
    </row>
    <row r="921" spans="1:5" ht="20" customHeight="1" x14ac:dyDescent="0.15">
      <c r="A921" s="86" t="s">
        <v>78</v>
      </c>
      <c r="B921" s="87" t="s">
        <v>128</v>
      </c>
      <c r="C921" s="87" t="s">
        <v>129</v>
      </c>
      <c r="D921" s="87" t="s">
        <v>1567</v>
      </c>
      <c r="E921" s="82"/>
    </row>
    <row r="922" spans="1:5" ht="20" customHeight="1" x14ac:dyDescent="0.15">
      <c r="A922" s="86" t="s">
        <v>78</v>
      </c>
      <c r="B922" s="87" t="s">
        <v>131</v>
      </c>
      <c r="C922" s="87" t="s">
        <v>132</v>
      </c>
      <c r="D922" s="87" t="s">
        <v>1568</v>
      </c>
      <c r="E922" s="82"/>
    </row>
    <row r="923" spans="1:5" ht="20" customHeight="1" x14ac:dyDescent="0.15">
      <c r="A923" s="88" t="s">
        <v>78</v>
      </c>
      <c r="B923" s="87" t="s">
        <v>134</v>
      </c>
      <c r="C923" s="87" t="s">
        <v>135</v>
      </c>
      <c r="D923" s="87" t="s">
        <v>1569</v>
      </c>
      <c r="E923" s="82"/>
    </row>
    <row r="924" spans="1:5" ht="20" customHeight="1" x14ac:dyDescent="0.15">
      <c r="A924" s="84" t="s">
        <v>78</v>
      </c>
      <c r="B924" s="87" t="s">
        <v>197</v>
      </c>
      <c r="C924" s="87" t="s">
        <v>1413</v>
      </c>
      <c r="D924" s="87" t="s">
        <v>1566</v>
      </c>
      <c r="E924" s="82"/>
    </row>
    <row r="925" spans="1:5" ht="20" customHeight="1" x14ac:dyDescent="0.15">
      <c r="A925" s="86" t="s">
        <v>78</v>
      </c>
      <c r="B925" s="87" t="s">
        <v>137</v>
      </c>
      <c r="C925" s="87" t="s">
        <v>138</v>
      </c>
      <c r="D925" s="87" t="s">
        <v>139</v>
      </c>
      <c r="E925" s="82"/>
    </row>
    <row r="926" spans="1:5" ht="20" customHeight="1" x14ac:dyDescent="0.15">
      <c r="A926" s="86" t="s">
        <v>78</v>
      </c>
      <c r="B926" s="87" t="s">
        <v>1291</v>
      </c>
      <c r="C926" s="87" t="s">
        <v>1292</v>
      </c>
      <c r="D926" s="87" t="s">
        <v>1293</v>
      </c>
      <c r="E926" s="82"/>
    </row>
    <row r="927" spans="1:5" ht="20" customHeight="1" x14ac:dyDescent="0.15">
      <c r="A927" s="86" t="s">
        <v>78</v>
      </c>
      <c r="B927" s="87" t="s">
        <v>2766</v>
      </c>
      <c r="C927" s="87" t="s">
        <v>143</v>
      </c>
      <c r="D927" s="87" t="s">
        <v>1565</v>
      </c>
      <c r="E927" s="82"/>
    </row>
    <row r="928" spans="1:5" ht="20" customHeight="1" x14ac:dyDescent="0.15">
      <c r="A928" s="86" t="s">
        <v>78</v>
      </c>
      <c r="B928" s="87" t="s">
        <v>145</v>
      </c>
      <c r="C928" s="87" t="s">
        <v>146</v>
      </c>
      <c r="D928" s="87" t="s">
        <v>1564</v>
      </c>
      <c r="E928" s="82"/>
    </row>
    <row r="929" spans="1:5" ht="20" customHeight="1" x14ac:dyDescent="0.15">
      <c r="A929" s="86" t="s">
        <v>78</v>
      </c>
      <c r="B929" s="87" t="s">
        <v>2767</v>
      </c>
      <c r="C929" s="87" t="s">
        <v>151</v>
      </c>
      <c r="D929" s="87" t="s">
        <v>152</v>
      </c>
      <c r="E929" s="82"/>
    </row>
    <row r="930" spans="1:5" ht="20" customHeight="1" x14ac:dyDescent="0.15">
      <c r="A930" s="86" t="s">
        <v>78</v>
      </c>
      <c r="B930" s="87" t="s">
        <v>2769</v>
      </c>
      <c r="C930" s="87" t="s">
        <v>155</v>
      </c>
      <c r="D930" s="87" t="s">
        <v>1562</v>
      </c>
      <c r="E930" s="82"/>
    </row>
    <row r="931" spans="1:5" ht="20" customHeight="1" x14ac:dyDescent="0.15">
      <c r="A931" s="86" t="s">
        <v>78</v>
      </c>
      <c r="B931" s="87" t="s">
        <v>2678</v>
      </c>
      <c r="C931" s="87" t="s">
        <v>162</v>
      </c>
      <c r="D931" s="87" t="s">
        <v>1559</v>
      </c>
      <c r="E931" s="82"/>
    </row>
    <row r="932" spans="1:5" ht="20" customHeight="1" x14ac:dyDescent="0.15">
      <c r="A932" s="86" t="s">
        <v>78</v>
      </c>
      <c r="B932" s="87" t="s">
        <v>159</v>
      </c>
      <c r="C932" s="87" t="s">
        <v>160</v>
      </c>
      <c r="D932" s="87" t="s">
        <v>1560</v>
      </c>
      <c r="E932" s="82"/>
    </row>
    <row r="933" spans="1:5" ht="20" customHeight="1" x14ac:dyDescent="0.15">
      <c r="A933" s="86" t="s">
        <v>78</v>
      </c>
      <c r="B933" s="87" t="s">
        <v>2680</v>
      </c>
      <c r="C933" s="87" t="s">
        <v>169</v>
      </c>
      <c r="D933" s="87" t="s">
        <v>1556</v>
      </c>
      <c r="E933" s="82" t="s">
        <v>2679</v>
      </c>
    </row>
    <row r="934" spans="1:5" ht="20" customHeight="1" x14ac:dyDescent="0.15">
      <c r="A934" s="86" t="s">
        <v>78</v>
      </c>
      <c r="B934" s="87" t="s">
        <v>2770</v>
      </c>
      <c r="C934" s="87" t="s">
        <v>157</v>
      </c>
      <c r="D934" s="87" t="s">
        <v>1561</v>
      </c>
      <c r="E934" s="82"/>
    </row>
    <row r="935" spans="1:5" ht="20" customHeight="1" x14ac:dyDescent="0.15">
      <c r="A935" s="86" t="s">
        <v>78</v>
      </c>
      <c r="B935" s="87" t="s">
        <v>2683</v>
      </c>
      <c r="C935" s="87" t="s">
        <v>167</v>
      </c>
      <c r="D935" s="87" t="s">
        <v>1557</v>
      </c>
      <c r="E935" s="82"/>
    </row>
    <row r="936" spans="1:5" ht="20" customHeight="1" x14ac:dyDescent="0.15">
      <c r="A936" s="86" t="s">
        <v>78</v>
      </c>
      <c r="B936" s="87" t="s">
        <v>164</v>
      </c>
      <c r="C936" s="87" t="s">
        <v>165</v>
      </c>
      <c r="D936" s="87" t="s">
        <v>1558</v>
      </c>
      <c r="E936" s="82"/>
    </row>
    <row r="937" spans="1:5" ht="20" customHeight="1" x14ac:dyDescent="0.15">
      <c r="A937" s="86" t="s">
        <v>78</v>
      </c>
      <c r="B937" s="87" t="s">
        <v>171</v>
      </c>
      <c r="C937" s="87" t="s">
        <v>172</v>
      </c>
      <c r="D937" s="87" t="s">
        <v>1555</v>
      </c>
      <c r="E937" s="82"/>
    </row>
    <row r="938" spans="1:5" ht="20" customHeight="1" x14ac:dyDescent="0.15">
      <c r="A938" s="86" t="s">
        <v>78</v>
      </c>
      <c r="B938" s="87" t="s">
        <v>174</v>
      </c>
      <c r="C938" s="87" t="s">
        <v>175</v>
      </c>
      <c r="D938" s="87" t="s">
        <v>1554</v>
      </c>
      <c r="E938" s="82"/>
    </row>
    <row r="939" spans="1:5" ht="20" customHeight="1" x14ac:dyDescent="0.15">
      <c r="A939" s="84" t="s">
        <v>78</v>
      </c>
      <c r="B939" s="87" t="s">
        <v>177</v>
      </c>
      <c r="C939" s="87" t="s">
        <v>178</v>
      </c>
      <c r="D939" s="87" t="s">
        <v>1553</v>
      </c>
      <c r="E939" s="82"/>
    </row>
    <row r="940" spans="1:5" ht="20" customHeight="1" x14ac:dyDescent="0.15">
      <c r="A940" s="86" t="s">
        <v>78</v>
      </c>
      <c r="B940" s="87" t="s">
        <v>180</v>
      </c>
      <c r="C940" s="87" t="s">
        <v>181</v>
      </c>
      <c r="D940" s="87" t="s">
        <v>1552</v>
      </c>
      <c r="E940" s="82"/>
    </row>
    <row r="941" spans="1:5" ht="20" customHeight="1" x14ac:dyDescent="0.15">
      <c r="A941" s="86" t="s">
        <v>78</v>
      </c>
      <c r="B941" s="87" t="s">
        <v>2771</v>
      </c>
      <c r="C941" s="87" t="s">
        <v>183</v>
      </c>
      <c r="D941" s="87" t="s">
        <v>1551</v>
      </c>
      <c r="E941" s="82"/>
    </row>
    <row r="942" spans="1:5" ht="20" customHeight="1" x14ac:dyDescent="0.15">
      <c r="A942" s="84" t="s">
        <v>78</v>
      </c>
      <c r="B942" s="87" t="s">
        <v>185</v>
      </c>
      <c r="C942" s="87" t="s">
        <v>186</v>
      </c>
      <c r="D942" s="87" t="s">
        <v>1550</v>
      </c>
      <c r="E942" s="82"/>
    </row>
    <row r="943" spans="1:5" ht="20" customHeight="1" x14ac:dyDescent="0.15">
      <c r="A943" s="84" t="s">
        <v>78</v>
      </c>
      <c r="B943" s="87" t="s">
        <v>188</v>
      </c>
      <c r="C943" s="87" t="s">
        <v>189</v>
      </c>
      <c r="D943" s="87" t="s">
        <v>1549</v>
      </c>
      <c r="E943" s="82"/>
    </row>
    <row r="944" spans="1:5" ht="20" customHeight="1" x14ac:dyDescent="0.15">
      <c r="A944" s="84" t="s">
        <v>78</v>
      </c>
      <c r="B944" s="87" t="s">
        <v>191</v>
      </c>
      <c r="C944" s="87" t="s">
        <v>192</v>
      </c>
      <c r="D944" s="87" t="s">
        <v>1548</v>
      </c>
      <c r="E944" s="82"/>
    </row>
    <row r="945" spans="1:5" ht="20" customHeight="1" x14ac:dyDescent="0.15">
      <c r="A945" s="84" t="s">
        <v>78</v>
      </c>
      <c r="B945" s="87" t="s">
        <v>194</v>
      </c>
      <c r="C945" s="87" t="s">
        <v>195</v>
      </c>
      <c r="D945" s="87" t="s">
        <v>1547</v>
      </c>
      <c r="E945" s="82"/>
    </row>
    <row r="946" spans="1:5" ht="20" customHeight="1" x14ac:dyDescent="0.15">
      <c r="A946" s="84"/>
      <c r="B946" s="87" t="s">
        <v>1077</v>
      </c>
      <c r="C946" s="87" t="s">
        <v>1078</v>
      </c>
      <c r="D946" s="87" t="s">
        <v>1416</v>
      </c>
      <c r="E946" s="82" t="s">
        <v>2263</v>
      </c>
    </row>
    <row r="947" spans="1:5" ht="20" customHeight="1" x14ac:dyDescent="0.15">
      <c r="A947" s="84"/>
      <c r="B947" s="87" t="s">
        <v>81</v>
      </c>
      <c r="C947" s="87" t="s">
        <v>82</v>
      </c>
      <c r="D947" s="87" t="s">
        <v>83</v>
      </c>
      <c r="E947" s="82" t="s">
        <v>2263</v>
      </c>
    </row>
    <row r="948" spans="1:5" ht="20" customHeight="1" x14ac:dyDescent="0.15">
      <c r="A948" s="84"/>
      <c r="B948" s="87" t="s">
        <v>1118</v>
      </c>
      <c r="C948" s="87" t="s">
        <v>1119</v>
      </c>
      <c r="D948" s="87" t="s">
        <v>1120</v>
      </c>
      <c r="E948" s="82" t="s">
        <v>2263</v>
      </c>
    </row>
    <row r="949" spans="1:5" ht="20" customHeight="1" x14ac:dyDescent="0.15">
      <c r="A949" s="84"/>
      <c r="B949" s="87" t="s">
        <v>1128</v>
      </c>
      <c r="C949" s="87" t="s">
        <v>1129</v>
      </c>
      <c r="D949" s="87" t="s">
        <v>1130</v>
      </c>
      <c r="E949" s="82" t="s">
        <v>2263</v>
      </c>
    </row>
    <row r="950" spans="1:5" ht="20" customHeight="1" x14ac:dyDescent="0.15">
      <c r="A950" s="84"/>
      <c r="B950" s="87" t="s">
        <v>207</v>
      </c>
      <c r="C950" s="87" t="s">
        <v>208</v>
      </c>
      <c r="D950" s="87" t="s">
        <v>209</v>
      </c>
      <c r="E950" s="82" t="s">
        <v>2264</v>
      </c>
    </row>
    <row r="951" spans="1:5" ht="20" customHeight="1" x14ac:dyDescent="0.15">
      <c r="A951" s="84"/>
      <c r="B951" s="87" t="s">
        <v>1298</v>
      </c>
      <c r="C951" s="87" t="s">
        <v>1299</v>
      </c>
      <c r="D951" s="87" t="s">
        <v>1300</v>
      </c>
      <c r="E951" s="82" t="s">
        <v>2263</v>
      </c>
    </row>
    <row r="952" spans="1:5" ht="20" customHeight="1" x14ac:dyDescent="0.15">
      <c r="A952" s="84"/>
      <c r="B952" s="87" t="s">
        <v>201</v>
      </c>
      <c r="C952" s="87" t="s">
        <v>202</v>
      </c>
      <c r="D952" s="87" t="s">
        <v>203</v>
      </c>
      <c r="E952" s="82" t="s">
        <v>2263</v>
      </c>
    </row>
    <row r="953" spans="1:5" ht="20" customHeight="1" x14ac:dyDescent="0.15">
      <c r="A953" s="84"/>
      <c r="B953" s="87" t="s">
        <v>1301</v>
      </c>
      <c r="C953" s="87" t="s">
        <v>1302</v>
      </c>
      <c r="D953" s="87" t="s">
        <v>1303</v>
      </c>
      <c r="E953" s="82" t="s">
        <v>2264</v>
      </c>
    </row>
    <row r="954" spans="1:5" ht="20" customHeight="1" x14ac:dyDescent="0.15">
      <c r="A954" s="84"/>
      <c r="B954" s="87" t="s">
        <v>1309</v>
      </c>
      <c r="C954" s="87">
        <v>0</v>
      </c>
      <c r="D954" s="87" t="s">
        <v>1310</v>
      </c>
      <c r="E954" s="82" t="s">
        <v>2263</v>
      </c>
    </row>
    <row r="955" spans="1:5" ht="20" customHeight="1" x14ac:dyDescent="0.15">
      <c r="A955" s="84"/>
      <c r="B955" s="87" t="s">
        <v>1311</v>
      </c>
      <c r="C955" s="87" t="s">
        <v>1312</v>
      </c>
      <c r="D955" s="87" t="s">
        <v>1313</v>
      </c>
      <c r="E955" s="82"/>
    </row>
    <row r="956" spans="1:5" ht="20" customHeight="1" x14ac:dyDescent="0.15">
      <c r="A956" s="84"/>
      <c r="B956" s="87" t="s">
        <v>1314</v>
      </c>
      <c r="C956" s="87" t="s">
        <v>1414</v>
      </c>
      <c r="D956" s="87" t="s">
        <v>1316</v>
      </c>
      <c r="E956" s="82" t="s">
        <v>2264</v>
      </c>
    </row>
    <row r="957" spans="1:5" ht="20" customHeight="1" x14ac:dyDescent="0.15">
      <c r="A957" s="84"/>
      <c r="B957" s="87" t="s">
        <v>1317</v>
      </c>
      <c r="C957" s="87" t="s">
        <v>1318</v>
      </c>
      <c r="D957" s="87" t="s">
        <v>1319</v>
      </c>
      <c r="E957" s="82" t="s">
        <v>2263</v>
      </c>
    </row>
    <row r="958" spans="1:5" ht="20" customHeight="1" x14ac:dyDescent="0.15">
      <c r="A958" s="84"/>
      <c r="B958" s="87" t="s">
        <v>802</v>
      </c>
      <c r="C958" s="87" t="s">
        <v>803</v>
      </c>
      <c r="D958" s="87" t="s">
        <v>804</v>
      </c>
      <c r="E958" s="82" t="s">
        <v>2267</v>
      </c>
    </row>
    <row r="959" spans="1:5" ht="20" customHeight="1" x14ac:dyDescent="0.15">
      <c r="A959" s="84"/>
      <c r="B959" s="87" t="s">
        <v>140</v>
      </c>
      <c r="C959" s="87" t="s">
        <v>141</v>
      </c>
      <c r="D959" s="87" t="s">
        <v>142</v>
      </c>
      <c r="E959" s="82" t="s">
        <v>2264</v>
      </c>
    </row>
    <row r="960" spans="1:5" ht="20" customHeight="1" x14ac:dyDescent="0.15">
      <c r="A960" s="84"/>
      <c r="B960" s="87" t="s">
        <v>1320</v>
      </c>
      <c r="C960" s="87" t="s">
        <v>1321</v>
      </c>
      <c r="D960" s="87" t="s">
        <v>1322</v>
      </c>
      <c r="E960" s="82" t="s">
        <v>2266</v>
      </c>
    </row>
    <row r="961" spans="1:5" ht="20" customHeight="1" x14ac:dyDescent="0.15">
      <c r="A961" s="84"/>
      <c r="B961" s="87" t="s">
        <v>1323</v>
      </c>
      <c r="C961" s="87" t="s">
        <v>1324</v>
      </c>
      <c r="D961" s="87" t="s">
        <v>1325</v>
      </c>
      <c r="E961" s="82" t="s">
        <v>2264</v>
      </c>
    </row>
    <row r="962" spans="1:5" ht="20" customHeight="1" x14ac:dyDescent="0.15">
      <c r="A962" s="84"/>
      <c r="B962" s="87" t="s">
        <v>204</v>
      </c>
      <c r="C962" s="87" t="s">
        <v>205</v>
      </c>
      <c r="D962" s="87" t="s">
        <v>206</v>
      </c>
      <c r="E962" s="82" t="s">
        <v>2264</v>
      </c>
    </row>
    <row r="963" spans="1:5" ht="20" customHeight="1" x14ac:dyDescent="0.15">
      <c r="A963" s="84"/>
      <c r="B963" s="87" t="s">
        <v>808</v>
      </c>
      <c r="C963" s="87" t="s">
        <v>809</v>
      </c>
      <c r="D963" s="87" t="s">
        <v>810</v>
      </c>
      <c r="E963" s="82" t="s">
        <v>2265</v>
      </c>
    </row>
    <row r="964" spans="1:5" ht="20" customHeight="1" x14ac:dyDescent="0.15">
      <c r="A964" s="84"/>
      <c r="B964" s="87" t="s">
        <v>995</v>
      </c>
      <c r="C964" s="87" t="s">
        <v>996</v>
      </c>
      <c r="D964" s="87" t="s">
        <v>200</v>
      </c>
      <c r="E964" s="82" t="s">
        <v>2265</v>
      </c>
    </row>
    <row r="965" spans="1:5" ht="20" customHeight="1" x14ac:dyDescent="0.15">
      <c r="A965" s="84"/>
      <c r="B965" s="87" t="s">
        <v>198</v>
      </c>
      <c r="C965" s="87" t="s">
        <v>199</v>
      </c>
      <c r="D965" s="87" t="s">
        <v>200</v>
      </c>
      <c r="E965" s="82" t="s">
        <v>2265</v>
      </c>
    </row>
    <row r="966" spans="1:5" ht="20" customHeight="1" x14ac:dyDescent="0.15">
      <c r="A966" s="84"/>
      <c r="B966" s="87" t="s">
        <v>148</v>
      </c>
      <c r="C966" s="87" t="s">
        <v>149</v>
      </c>
      <c r="D966" s="87" t="s">
        <v>150</v>
      </c>
      <c r="E966" s="82" t="s">
        <v>2264</v>
      </c>
    </row>
    <row r="967" spans="1:5" ht="20" customHeight="1" x14ac:dyDescent="0.15">
      <c r="A967" s="84"/>
      <c r="B967" s="87" t="s">
        <v>2180</v>
      </c>
      <c r="C967" s="87">
        <v>0</v>
      </c>
      <c r="D967" s="87" t="s">
        <v>2180</v>
      </c>
      <c r="E967" s="82" t="s">
        <v>2268</v>
      </c>
    </row>
    <row r="968" spans="1:5" ht="20" customHeight="1" x14ac:dyDescent="0.15">
      <c r="A968" s="84"/>
      <c r="B968" s="87" t="s">
        <v>1356</v>
      </c>
      <c r="C968" s="87" t="s">
        <v>1357</v>
      </c>
      <c r="D968" s="87" t="s">
        <v>1417</v>
      </c>
      <c r="E968" s="82" t="s">
        <v>2263</v>
      </c>
    </row>
    <row r="969" spans="1:5" ht="20" customHeight="1" x14ac:dyDescent="0.15">
      <c r="A969" s="84"/>
      <c r="B969" s="281" t="s">
        <v>210</v>
      </c>
      <c r="C969" s="87"/>
      <c r="D969" s="87" t="s">
        <v>210</v>
      </c>
      <c r="E969" s="82"/>
    </row>
    <row r="970" spans="1:5" ht="20" customHeight="1" x14ac:dyDescent="0.15">
      <c r="A970" s="84"/>
      <c r="B970" s="281" t="s">
        <v>211</v>
      </c>
      <c r="C970" s="87"/>
      <c r="D970" s="87" t="s">
        <v>211</v>
      </c>
      <c r="E970" s="82"/>
    </row>
    <row r="971" spans="1:5" ht="20" customHeight="1" x14ac:dyDescent="0.15">
      <c r="A971" s="84"/>
      <c r="B971" s="281" t="s">
        <v>212</v>
      </c>
      <c r="C971" s="87"/>
      <c r="D971" s="87" t="s">
        <v>212</v>
      </c>
      <c r="E971" s="82"/>
    </row>
    <row r="972" spans="1:5" ht="20" customHeight="1" x14ac:dyDescent="0.15">
      <c r="A972" s="84" t="s">
        <v>213</v>
      </c>
      <c r="B972" s="87" t="s">
        <v>214</v>
      </c>
      <c r="C972" s="87" t="s">
        <v>215</v>
      </c>
      <c r="D972" s="87" t="s">
        <v>1489</v>
      </c>
      <c r="E972" s="82"/>
    </row>
    <row r="973" spans="1:5" ht="20" customHeight="1" x14ac:dyDescent="0.15">
      <c r="A973" s="84" t="s">
        <v>862</v>
      </c>
      <c r="B973" s="87" t="s">
        <v>863</v>
      </c>
      <c r="C973" s="87" t="s">
        <v>864</v>
      </c>
      <c r="D973" s="87" t="s">
        <v>865</v>
      </c>
      <c r="E973" s="82"/>
    </row>
    <row r="974" spans="1:5" ht="20" customHeight="1" x14ac:dyDescent="0.15">
      <c r="A974" s="88" t="s">
        <v>213</v>
      </c>
      <c r="B974" s="87" t="s">
        <v>242</v>
      </c>
      <c r="C974" s="87" t="s">
        <v>243</v>
      </c>
      <c r="D974" s="87" t="s">
        <v>1532</v>
      </c>
      <c r="E974" s="82"/>
    </row>
    <row r="975" spans="1:5" ht="20" customHeight="1" x14ac:dyDescent="0.15">
      <c r="A975" s="86" t="s">
        <v>213</v>
      </c>
      <c r="B975" s="87" t="s">
        <v>216</v>
      </c>
      <c r="C975" s="87" t="s">
        <v>217</v>
      </c>
      <c r="D975" s="87" t="s">
        <v>218</v>
      </c>
      <c r="E975" s="82"/>
    </row>
    <row r="976" spans="1:5" ht="20" customHeight="1" x14ac:dyDescent="0.15">
      <c r="A976" s="86" t="s">
        <v>213</v>
      </c>
      <c r="B976" s="87" t="s">
        <v>219</v>
      </c>
      <c r="C976" s="87" t="s">
        <v>220</v>
      </c>
      <c r="D976" s="87" t="s">
        <v>219</v>
      </c>
      <c r="E976" s="82"/>
    </row>
    <row r="977" spans="1:5" ht="20" customHeight="1" x14ac:dyDescent="0.15">
      <c r="A977" s="84" t="s">
        <v>862</v>
      </c>
      <c r="B977" s="87" t="s">
        <v>866</v>
      </c>
      <c r="C977" s="87" t="s">
        <v>867</v>
      </c>
      <c r="D977" s="87" t="s">
        <v>866</v>
      </c>
      <c r="E977" s="82"/>
    </row>
    <row r="978" spans="1:5" ht="20" customHeight="1" x14ac:dyDescent="0.15">
      <c r="A978" s="84" t="s">
        <v>728</v>
      </c>
      <c r="B978" s="87" t="s">
        <v>731</v>
      </c>
      <c r="C978" s="87" t="s">
        <v>732</v>
      </c>
      <c r="D978" s="87" t="s">
        <v>733</v>
      </c>
      <c r="E978" s="82"/>
    </row>
    <row r="979" spans="1:5" ht="20" customHeight="1" x14ac:dyDescent="0.15">
      <c r="A979" s="84" t="s">
        <v>728</v>
      </c>
      <c r="B979" s="87" t="s">
        <v>734</v>
      </c>
      <c r="C979" s="87" t="s">
        <v>735</v>
      </c>
      <c r="D979" s="87" t="s">
        <v>736</v>
      </c>
      <c r="E979" s="82"/>
    </row>
    <row r="980" spans="1:5" ht="20" customHeight="1" x14ac:dyDescent="0.15">
      <c r="A980" s="86"/>
      <c r="B980" s="87" t="s">
        <v>1137</v>
      </c>
      <c r="C980" s="87" t="s">
        <v>1138</v>
      </c>
      <c r="D980" s="87" t="s">
        <v>1139</v>
      </c>
      <c r="E980" s="82"/>
    </row>
    <row r="981" spans="1:5" ht="20" customHeight="1" x14ac:dyDescent="0.15">
      <c r="A981" s="86" t="s">
        <v>471</v>
      </c>
      <c r="B981" s="87" t="s">
        <v>514</v>
      </c>
      <c r="C981" s="87" t="s">
        <v>515</v>
      </c>
      <c r="D981" s="87" t="s">
        <v>1615</v>
      </c>
      <c r="E981" s="82"/>
    </row>
    <row r="982" spans="1:5" ht="20" customHeight="1" x14ac:dyDescent="0.15">
      <c r="A982" s="84" t="s">
        <v>862</v>
      </c>
      <c r="B982" s="87" t="s">
        <v>885</v>
      </c>
      <c r="C982" s="87" t="s">
        <v>886</v>
      </c>
      <c r="D982" s="87" t="s">
        <v>887</v>
      </c>
      <c r="E982" s="82"/>
    </row>
    <row r="983" spans="1:5" ht="20" customHeight="1" x14ac:dyDescent="0.15">
      <c r="A983" s="86"/>
      <c r="B983" s="87" t="s">
        <v>1166</v>
      </c>
      <c r="C983" s="87" t="s">
        <v>1167</v>
      </c>
      <c r="D983" s="87" t="s">
        <v>1614</v>
      </c>
      <c r="E983" s="82"/>
    </row>
    <row r="984" spans="1:5" ht="20" customHeight="1" x14ac:dyDescent="0.15">
      <c r="A984" s="84" t="s">
        <v>862</v>
      </c>
      <c r="B984" s="87" t="s">
        <v>888</v>
      </c>
      <c r="C984" s="87" t="s">
        <v>889</v>
      </c>
      <c r="D984" s="87" t="s">
        <v>890</v>
      </c>
      <c r="E984" s="82"/>
    </row>
    <row r="985" spans="1:5" ht="20" customHeight="1" x14ac:dyDescent="0.15">
      <c r="A985" s="84" t="s">
        <v>862</v>
      </c>
      <c r="B985" s="87" t="s">
        <v>891</v>
      </c>
      <c r="C985" s="87" t="s">
        <v>892</v>
      </c>
      <c r="D985" s="87" t="s">
        <v>1613</v>
      </c>
      <c r="E985" s="82"/>
    </row>
    <row r="986" spans="1:5" ht="20" customHeight="1" x14ac:dyDescent="0.15">
      <c r="A986" s="86" t="s">
        <v>471</v>
      </c>
      <c r="B986" s="87" t="s">
        <v>516</v>
      </c>
      <c r="C986" s="87" t="s">
        <v>517</v>
      </c>
      <c r="D986" s="87" t="s">
        <v>1612</v>
      </c>
      <c r="E986" s="82"/>
    </row>
    <row r="987" spans="1:5" ht="20" customHeight="1" x14ac:dyDescent="0.15">
      <c r="A987" s="84" t="s">
        <v>213</v>
      </c>
      <c r="B987" s="87" t="s">
        <v>279</v>
      </c>
      <c r="C987" s="87" t="s">
        <v>280</v>
      </c>
      <c r="D987" s="87" t="s">
        <v>1476</v>
      </c>
      <c r="E987" s="82"/>
    </row>
    <row r="988" spans="1:5" ht="20" customHeight="1" x14ac:dyDescent="0.15">
      <c r="A988" s="84"/>
      <c r="B988" s="87" t="s">
        <v>1169</v>
      </c>
      <c r="C988" s="87" t="s">
        <v>1170</v>
      </c>
      <c r="D988" s="87" t="s">
        <v>1524</v>
      </c>
      <c r="E988" s="82"/>
    </row>
    <row r="989" spans="1:5" ht="20" customHeight="1" x14ac:dyDescent="0.15">
      <c r="A989" s="84" t="s">
        <v>862</v>
      </c>
      <c r="B989" s="87" t="s">
        <v>897</v>
      </c>
      <c r="C989" s="87" t="s">
        <v>898</v>
      </c>
      <c r="D989" s="87" t="s">
        <v>1610</v>
      </c>
      <c r="E989" s="82"/>
    </row>
    <row r="990" spans="1:5" ht="20" customHeight="1" x14ac:dyDescent="0.15">
      <c r="A990" s="86" t="s">
        <v>471</v>
      </c>
      <c r="B990" s="87" t="s">
        <v>519</v>
      </c>
      <c r="C990" s="87" t="s">
        <v>520</v>
      </c>
      <c r="D990" s="87" t="s">
        <v>521</v>
      </c>
      <c r="E990" s="82"/>
    </row>
    <row r="991" spans="1:5" ht="20" customHeight="1" x14ac:dyDescent="0.15">
      <c r="A991" s="86" t="s">
        <v>213</v>
      </c>
      <c r="B991" s="87" t="s">
        <v>282</v>
      </c>
      <c r="C991" s="87" t="s">
        <v>283</v>
      </c>
      <c r="D991" s="87" t="s">
        <v>284</v>
      </c>
      <c r="E991" s="82"/>
    </row>
    <row r="992" spans="1:5" ht="20" customHeight="1" x14ac:dyDescent="0.15">
      <c r="A992" s="84" t="s">
        <v>862</v>
      </c>
      <c r="B992" s="87" t="s">
        <v>900</v>
      </c>
      <c r="C992" s="87" t="s">
        <v>901</v>
      </c>
      <c r="D992" s="87" t="s">
        <v>902</v>
      </c>
      <c r="E992" s="82"/>
    </row>
    <row r="993" spans="1:5" ht="20" customHeight="1" x14ac:dyDescent="0.15">
      <c r="A993" s="93"/>
      <c r="B993" s="87" t="s">
        <v>1185</v>
      </c>
      <c r="C993" s="87"/>
      <c r="D993" s="87" t="s">
        <v>1502</v>
      </c>
      <c r="E993" s="82"/>
    </row>
    <row r="994" spans="1:5" ht="20" customHeight="1" x14ac:dyDescent="0.15">
      <c r="A994" s="86" t="s">
        <v>213</v>
      </c>
      <c r="B994" s="87" t="s">
        <v>288</v>
      </c>
      <c r="C994" s="87" t="s">
        <v>289</v>
      </c>
      <c r="D994" s="87" t="s">
        <v>1478</v>
      </c>
      <c r="E994" s="82"/>
    </row>
    <row r="995" spans="1:5" ht="20" customHeight="1" x14ac:dyDescent="0.15">
      <c r="A995" s="86"/>
      <c r="B995" s="87" t="s">
        <v>1186</v>
      </c>
      <c r="C995" s="87" t="s">
        <v>1187</v>
      </c>
      <c r="D995" s="87" t="s">
        <v>1530</v>
      </c>
      <c r="E995" s="82"/>
    </row>
    <row r="996" spans="1:5" ht="20" customHeight="1" x14ac:dyDescent="0.15">
      <c r="A996" s="88"/>
      <c r="B996" s="87" t="s">
        <v>1188</v>
      </c>
      <c r="C996" s="87" t="s">
        <v>1189</v>
      </c>
      <c r="D996" s="87" t="s">
        <v>1529</v>
      </c>
      <c r="E996" s="82"/>
    </row>
    <row r="997" spans="1:5" ht="20" customHeight="1" x14ac:dyDescent="0.15">
      <c r="A997" s="84" t="s">
        <v>728</v>
      </c>
      <c r="B997" s="87" t="s">
        <v>747</v>
      </c>
      <c r="C997" s="87" t="s">
        <v>748</v>
      </c>
      <c r="D997" s="87" t="s">
        <v>1622</v>
      </c>
      <c r="E997" s="82"/>
    </row>
    <row r="998" spans="1:5" ht="20" customHeight="1" x14ac:dyDescent="0.15">
      <c r="A998" s="84" t="s">
        <v>728</v>
      </c>
      <c r="B998" s="87" t="s">
        <v>750</v>
      </c>
      <c r="C998" s="87" t="s">
        <v>751</v>
      </c>
      <c r="D998" s="87" t="s">
        <v>1623</v>
      </c>
      <c r="E998" s="82"/>
    </row>
    <row r="999" spans="1:5" ht="20" customHeight="1" x14ac:dyDescent="0.15">
      <c r="A999" s="89" t="s">
        <v>213</v>
      </c>
      <c r="B999" s="87" t="s">
        <v>291</v>
      </c>
      <c r="C999" s="87" t="s">
        <v>292</v>
      </c>
      <c r="D999" s="87" t="s">
        <v>1479</v>
      </c>
      <c r="E999" s="82"/>
    </row>
    <row r="1000" spans="1:5" ht="20" customHeight="1" x14ac:dyDescent="0.15">
      <c r="A1000" s="84" t="s">
        <v>862</v>
      </c>
      <c r="B1000" s="87" t="s">
        <v>903</v>
      </c>
      <c r="C1000" s="87" t="s">
        <v>904</v>
      </c>
      <c r="D1000" s="87" t="s">
        <v>1522</v>
      </c>
      <c r="E1000" s="82"/>
    </row>
    <row r="1001" spans="1:5" ht="20" customHeight="1" x14ac:dyDescent="0.15">
      <c r="A1001" s="84" t="s">
        <v>862</v>
      </c>
      <c r="B1001" s="87" t="s">
        <v>905</v>
      </c>
      <c r="C1001" s="87" t="s">
        <v>906</v>
      </c>
      <c r="D1001" s="87" t="s">
        <v>1624</v>
      </c>
      <c r="E1001" s="82"/>
    </row>
    <row r="1002" spans="1:5" ht="20" customHeight="1" x14ac:dyDescent="0.15">
      <c r="A1002" s="86" t="s">
        <v>471</v>
      </c>
      <c r="B1002" s="87" t="s">
        <v>522</v>
      </c>
      <c r="C1002" s="87" t="s">
        <v>523</v>
      </c>
      <c r="D1002" s="87" t="s">
        <v>524</v>
      </c>
      <c r="E1002" s="82"/>
    </row>
    <row r="1003" spans="1:5" ht="20" customHeight="1" x14ac:dyDescent="0.15">
      <c r="A1003" s="86" t="s">
        <v>471</v>
      </c>
      <c r="B1003" s="87" t="s">
        <v>525</v>
      </c>
      <c r="C1003" s="87"/>
      <c r="D1003" s="87" t="s">
        <v>526</v>
      </c>
      <c r="E1003" s="82"/>
    </row>
    <row r="1004" spans="1:5" ht="20" customHeight="1" x14ac:dyDescent="0.15">
      <c r="A1004" s="88" t="s">
        <v>213</v>
      </c>
      <c r="B1004" s="87" t="s">
        <v>293</v>
      </c>
      <c r="C1004" s="87" t="s">
        <v>294</v>
      </c>
      <c r="D1004" s="87" t="s">
        <v>1480</v>
      </c>
      <c r="E1004" s="82"/>
    </row>
    <row r="1005" spans="1:5" ht="20" customHeight="1" x14ac:dyDescent="0.15">
      <c r="A1005" s="86" t="s">
        <v>471</v>
      </c>
      <c r="B1005" s="87" t="s">
        <v>527</v>
      </c>
      <c r="C1005" s="87" t="s">
        <v>528</v>
      </c>
      <c r="D1005" s="87" t="s">
        <v>1625</v>
      </c>
      <c r="E1005" s="82"/>
    </row>
    <row r="1006" spans="1:5" ht="20" customHeight="1" x14ac:dyDescent="0.15">
      <c r="A1006" s="86" t="s">
        <v>471</v>
      </c>
      <c r="B1006" s="87" t="s">
        <v>530</v>
      </c>
      <c r="C1006" s="87" t="s">
        <v>531</v>
      </c>
      <c r="D1006" s="87" t="s">
        <v>1626</v>
      </c>
      <c r="E1006" s="82"/>
    </row>
    <row r="1007" spans="1:5" ht="20" customHeight="1" x14ac:dyDescent="0.15">
      <c r="A1007" s="84" t="s">
        <v>728</v>
      </c>
      <c r="B1007" s="87" t="s">
        <v>753</v>
      </c>
      <c r="C1007" s="87" t="s">
        <v>754</v>
      </c>
      <c r="D1007" s="87" t="s">
        <v>1627</v>
      </c>
      <c r="E1007" s="82"/>
    </row>
    <row r="1008" spans="1:5" ht="20" customHeight="1" x14ac:dyDescent="0.15">
      <c r="A1008" s="86" t="s">
        <v>471</v>
      </c>
      <c r="B1008" s="87" t="s">
        <v>532</v>
      </c>
      <c r="C1008" s="87" t="s">
        <v>533</v>
      </c>
      <c r="D1008" s="87" t="s">
        <v>1628</v>
      </c>
      <c r="E1008" s="82"/>
    </row>
    <row r="1009" spans="1:5" ht="20" customHeight="1" x14ac:dyDescent="0.15">
      <c r="A1009" s="84" t="s">
        <v>213</v>
      </c>
      <c r="B1009" s="87" t="s">
        <v>296</v>
      </c>
      <c r="C1009" s="87" t="s">
        <v>297</v>
      </c>
      <c r="D1009" s="87" t="s">
        <v>1481</v>
      </c>
      <c r="E1009" s="82"/>
    </row>
    <row r="1010" spans="1:5" ht="20" customHeight="1" x14ac:dyDescent="0.15">
      <c r="A1010" s="84"/>
      <c r="B1010" s="87" t="s">
        <v>1190</v>
      </c>
      <c r="C1010" s="87" t="s">
        <v>1191</v>
      </c>
      <c r="D1010" s="87" t="s">
        <v>1630</v>
      </c>
      <c r="E1010" s="82"/>
    </row>
    <row r="1011" spans="1:5" ht="20" customHeight="1" x14ac:dyDescent="0.15">
      <c r="A1011" s="86" t="s">
        <v>471</v>
      </c>
      <c r="B1011" s="87" t="s">
        <v>535</v>
      </c>
      <c r="C1011" s="87" t="s">
        <v>536</v>
      </c>
      <c r="D1011" s="87" t="s">
        <v>1629</v>
      </c>
      <c r="E1011" s="82"/>
    </row>
    <row r="1012" spans="1:5" ht="20" customHeight="1" x14ac:dyDescent="0.15">
      <c r="A1012" s="86" t="s">
        <v>471</v>
      </c>
      <c r="B1012" s="87" t="s">
        <v>538</v>
      </c>
      <c r="C1012" s="87" t="s">
        <v>539</v>
      </c>
      <c r="D1012" s="87" t="s">
        <v>1631</v>
      </c>
      <c r="E1012" s="82"/>
    </row>
    <row r="1013" spans="1:5" ht="20" customHeight="1" x14ac:dyDescent="0.15">
      <c r="A1013" s="86" t="s">
        <v>471</v>
      </c>
      <c r="B1013" s="87" t="s">
        <v>541</v>
      </c>
      <c r="C1013" s="87" t="s">
        <v>542</v>
      </c>
      <c r="D1013" s="87" t="s">
        <v>1632</v>
      </c>
      <c r="E1013" s="82"/>
    </row>
    <row r="1014" spans="1:5" ht="20" customHeight="1" x14ac:dyDescent="0.15">
      <c r="A1014" s="84" t="s">
        <v>862</v>
      </c>
      <c r="B1014" s="87" t="s">
        <v>908</v>
      </c>
      <c r="C1014" s="87" t="s">
        <v>909</v>
      </c>
      <c r="D1014" s="87" t="s">
        <v>1633</v>
      </c>
      <c r="E1014" s="82"/>
    </row>
    <row r="1015" spans="1:5" ht="20" customHeight="1" x14ac:dyDescent="0.15">
      <c r="A1015" s="84" t="s">
        <v>862</v>
      </c>
      <c r="B1015" s="87" t="s">
        <v>913</v>
      </c>
      <c r="C1015" s="87" t="s">
        <v>914</v>
      </c>
      <c r="D1015" s="87" t="s">
        <v>913</v>
      </c>
      <c r="E1015" s="82"/>
    </row>
    <row r="1016" spans="1:5" ht="20" customHeight="1" x14ac:dyDescent="0.15">
      <c r="A1016" s="86" t="s">
        <v>471</v>
      </c>
      <c r="B1016" s="87" t="s">
        <v>543</v>
      </c>
      <c r="C1016" s="87" t="s">
        <v>544</v>
      </c>
      <c r="D1016" s="87" t="s">
        <v>545</v>
      </c>
      <c r="E1016" s="82"/>
    </row>
    <row r="1017" spans="1:5" ht="20" customHeight="1" x14ac:dyDescent="0.15">
      <c r="A1017" s="89"/>
      <c r="B1017" s="87" t="s">
        <v>1205</v>
      </c>
      <c r="C1017" s="87" t="s">
        <v>1206</v>
      </c>
      <c r="D1017" s="87" t="s">
        <v>2123</v>
      </c>
      <c r="E1017" s="82"/>
    </row>
    <row r="1018" spans="1:5" ht="20" customHeight="1" x14ac:dyDescent="0.15">
      <c r="A1018" s="84" t="s">
        <v>728</v>
      </c>
      <c r="B1018" s="87" t="s">
        <v>756</v>
      </c>
      <c r="C1018" s="87" t="s">
        <v>757</v>
      </c>
      <c r="D1018" s="87" t="s">
        <v>2124</v>
      </c>
      <c r="E1018" s="82"/>
    </row>
    <row r="1019" spans="1:5" ht="20" customHeight="1" x14ac:dyDescent="0.15">
      <c r="A1019" s="88"/>
      <c r="B1019" s="87" t="s">
        <v>1207</v>
      </c>
      <c r="C1019" s="87" t="s">
        <v>1208</v>
      </c>
      <c r="D1019" s="87" t="s">
        <v>2125</v>
      </c>
      <c r="E1019" s="82"/>
    </row>
    <row r="1020" spans="1:5" ht="20" customHeight="1" x14ac:dyDescent="0.15">
      <c r="A1020" s="86" t="s">
        <v>213</v>
      </c>
      <c r="B1020" s="87" t="s">
        <v>302</v>
      </c>
      <c r="C1020" s="87" t="s">
        <v>303</v>
      </c>
      <c r="D1020" s="87" t="s">
        <v>2126</v>
      </c>
      <c r="E1020" s="82"/>
    </row>
    <row r="1021" spans="1:5" ht="20" customHeight="1" x14ac:dyDescent="0.15">
      <c r="A1021" s="86" t="s">
        <v>213</v>
      </c>
      <c r="B1021" s="87" t="s">
        <v>305</v>
      </c>
      <c r="C1021" s="87" t="s">
        <v>306</v>
      </c>
      <c r="D1021" s="87" t="s">
        <v>2128</v>
      </c>
      <c r="E1021" s="82"/>
    </row>
    <row r="1022" spans="1:5" ht="20" customHeight="1" x14ac:dyDescent="0.15">
      <c r="A1022" s="84" t="s">
        <v>471</v>
      </c>
      <c r="B1022" s="87" t="s">
        <v>546</v>
      </c>
      <c r="C1022" s="87" t="s">
        <v>547</v>
      </c>
      <c r="D1022" s="87" t="s">
        <v>2127</v>
      </c>
      <c r="E1022" s="82"/>
    </row>
    <row r="1023" spans="1:5" ht="20" customHeight="1" x14ac:dyDescent="0.15">
      <c r="A1023" s="86" t="s">
        <v>471</v>
      </c>
      <c r="B1023" s="87" t="s">
        <v>549</v>
      </c>
      <c r="C1023" s="87" t="s">
        <v>550</v>
      </c>
      <c r="D1023" s="87" t="s">
        <v>2129</v>
      </c>
      <c r="E1023" s="82"/>
    </row>
    <row r="1024" spans="1:5" ht="20" customHeight="1" x14ac:dyDescent="0.15">
      <c r="A1024" s="86" t="s">
        <v>471</v>
      </c>
      <c r="B1024" s="87" t="s">
        <v>552</v>
      </c>
      <c r="C1024" s="87" t="s">
        <v>553</v>
      </c>
      <c r="D1024" s="87" t="s">
        <v>2130</v>
      </c>
      <c r="E1024" s="82"/>
    </row>
    <row r="1025" spans="1:5" ht="20" customHeight="1" x14ac:dyDescent="0.15">
      <c r="A1025" s="84" t="s">
        <v>471</v>
      </c>
      <c r="B1025" s="87" t="s">
        <v>555</v>
      </c>
      <c r="C1025" s="87" t="s">
        <v>556</v>
      </c>
      <c r="D1025" s="87" t="s">
        <v>2131</v>
      </c>
      <c r="E1025" s="82"/>
    </row>
    <row r="1026" spans="1:5" ht="20" customHeight="1" x14ac:dyDescent="0.15">
      <c r="A1026" s="84" t="s">
        <v>213</v>
      </c>
      <c r="B1026" s="87" t="s">
        <v>308</v>
      </c>
      <c r="C1026" s="87" t="s">
        <v>309</v>
      </c>
      <c r="D1026" s="87" t="s">
        <v>2132</v>
      </c>
      <c r="E1026" s="82"/>
    </row>
    <row r="1027" spans="1:5" ht="20" customHeight="1" x14ac:dyDescent="0.15">
      <c r="A1027" s="84" t="s">
        <v>213</v>
      </c>
      <c r="B1027" s="87" t="s">
        <v>311</v>
      </c>
      <c r="C1027" s="87" t="s">
        <v>312</v>
      </c>
      <c r="D1027" s="87" t="s">
        <v>2133</v>
      </c>
      <c r="E1027" s="82"/>
    </row>
    <row r="1028" spans="1:5" ht="20" customHeight="1" x14ac:dyDescent="0.15">
      <c r="A1028" s="84" t="s">
        <v>862</v>
      </c>
      <c r="B1028" s="87" t="s">
        <v>915</v>
      </c>
      <c r="C1028" s="87" t="s">
        <v>916</v>
      </c>
      <c r="D1028" s="87" t="s">
        <v>2134</v>
      </c>
      <c r="E1028" s="82"/>
    </row>
    <row r="1029" spans="1:5" ht="20" customHeight="1" x14ac:dyDescent="0.15">
      <c r="A1029" s="84" t="s">
        <v>728</v>
      </c>
      <c r="B1029" s="87" t="s">
        <v>759</v>
      </c>
      <c r="C1029" s="87" t="s">
        <v>760</v>
      </c>
      <c r="D1029" s="87" t="s">
        <v>2135</v>
      </c>
      <c r="E1029" s="82"/>
    </row>
    <row r="1030" spans="1:5" ht="20" customHeight="1" x14ac:dyDescent="0.15">
      <c r="A1030" s="84" t="s">
        <v>862</v>
      </c>
      <c r="B1030" s="87" t="s">
        <v>918</v>
      </c>
      <c r="C1030" s="87" t="s">
        <v>919</v>
      </c>
      <c r="D1030" s="87" t="s">
        <v>2136</v>
      </c>
      <c r="E1030" s="82"/>
    </row>
    <row r="1031" spans="1:5" ht="20" customHeight="1" x14ac:dyDescent="0.15">
      <c r="A1031" s="84" t="s">
        <v>728</v>
      </c>
      <c r="B1031" s="87" t="s">
        <v>762</v>
      </c>
      <c r="C1031" s="87" t="s">
        <v>763</v>
      </c>
      <c r="D1031" s="87" t="s">
        <v>2137</v>
      </c>
      <c r="E1031" s="82"/>
    </row>
    <row r="1032" spans="1:5" ht="20" customHeight="1" x14ac:dyDescent="0.15">
      <c r="A1032" s="86" t="s">
        <v>471</v>
      </c>
      <c r="B1032" s="87" t="s">
        <v>558</v>
      </c>
      <c r="C1032" s="87" t="s">
        <v>559</v>
      </c>
      <c r="D1032" s="87" t="s">
        <v>2138</v>
      </c>
      <c r="E1032" s="82"/>
    </row>
    <row r="1033" spans="1:5" ht="20" customHeight="1" x14ac:dyDescent="0.15">
      <c r="A1033" s="86" t="s">
        <v>471</v>
      </c>
      <c r="B1033" s="87" t="s">
        <v>561</v>
      </c>
      <c r="C1033" s="87" t="s">
        <v>562</v>
      </c>
      <c r="D1033" s="87" t="s">
        <v>2139</v>
      </c>
      <c r="E1033" s="82"/>
    </row>
    <row r="1034" spans="1:5" ht="20" customHeight="1" x14ac:dyDescent="0.15">
      <c r="A1034" s="84" t="s">
        <v>862</v>
      </c>
      <c r="B1034" s="87" t="s">
        <v>921</v>
      </c>
      <c r="C1034" s="87" t="s">
        <v>922</v>
      </c>
      <c r="D1034" s="87" t="s">
        <v>2140</v>
      </c>
      <c r="E1034" s="82"/>
    </row>
    <row r="1035" spans="1:5" ht="20" customHeight="1" x14ac:dyDescent="0.15">
      <c r="A1035" s="84" t="s">
        <v>862</v>
      </c>
      <c r="B1035" s="87" t="s">
        <v>924</v>
      </c>
      <c r="C1035" s="87" t="s">
        <v>925</v>
      </c>
      <c r="D1035" s="87" t="s">
        <v>2114</v>
      </c>
      <c r="E1035" s="82"/>
    </row>
    <row r="1036" spans="1:5" ht="20" customHeight="1" x14ac:dyDescent="0.15">
      <c r="A1036" s="84" t="s">
        <v>728</v>
      </c>
      <c r="B1036" s="87" t="s">
        <v>765</v>
      </c>
      <c r="C1036" s="87" t="s">
        <v>766</v>
      </c>
      <c r="D1036" s="87" t="s">
        <v>2142</v>
      </c>
      <c r="E1036" s="82"/>
    </row>
    <row r="1037" spans="1:5" ht="20" customHeight="1" x14ac:dyDescent="0.15">
      <c r="A1037" s="86" t="s">
        <v>213</v>
      </c>
      <c r="B1037" s="87" t="s">
        <v>314</v>
      </c>
      <c r="C1037" s="87" t="s">
        <v>315</v>
      </c>
      <c r="D1037" s="87" t="s">
        <v>2143</v>
      </c>
      <c r="E1037" s="82"/>
    </row>
    <row r="1038" spans="1:5" ht="20" customHeight="1" x14ac:dyDescent="0.15">
      <c r="A1038" s="84" t="s">
        <v>862</v>
      </c>
      <c r="B1038" s="87" t="s">
        <v>927</v>
      </c>
      <c r="C1038" s="87" t="s">
        <v>928</v>
      </c>
      <c r="D1038" s="87" t="s">
        <v>2144</v>
      </c>
      <c r="E1038" s="82"/>
    </row>
    <row r="1039" spans="1:5" ht="20" customHeight="1" x14ac:dyDescent="0.15">
      <c r="A1039" s="84" t="s">
        <v>862</v>
      </c>
      <c r="B1039" s="87" t="s">
        <v>930</v>
      </c>
      <c r="C1039" s="87" t="s">
        <v>931</v>
      </c>
      <c r="D1039" s="87" t="s">
        <v>2146</v>
      </c>
      <c r="E1039" s="82"/>
    </row>
    <row r="1040" spans="1:5" ht="20" customHeight="1" x14ac:dyDescent="0.15">
      <c r="A1040" s="84" t="s">
        <v>862</v>
      </c>
      <c r="B1040" s="87" t="s">
        <v>933</v>
      </c>
      <c r="C1040" s="87" t="s">
        <v>934</v>
      </c>
      <c r="D1040" s="87" t="s">
        <v>935</v>
      </c>
      <c r="E1040" s="82"/>
    </row>
    <row r="1041" spans="1:5" ht="20" customHeight="1" x14ac:dyDescent="0.15">
      <c r="A1041" s="84" t="s">
        <v>471</v>
      </c>
      <c r="B1041" s="87" t="s">
        <v>570</v>
      </c>
      <c r="C1041" s="87" t="s">
        <v>571</v>
      </c>
      <c r="D1041" s="87" t="s">
        <v>572</v>
      </c>
      <c r="E1041" s="82"/>
    </row>
    <row r="1042" spans="1:5" ht="20" customHeight="1" x14ac:dyDescent="0.15">
      <c r="A1042" s="89"/>
      <c r="B1042" s="87" t="s">
        <v>1216</v>
      </c>
      <c r="C1042" s="87" t="s">
        <v>1217</v>
      </c>
      <c r="D1042" s="87" t="s">
        <v>1218</v>
      </c>
      <c r="E1042" s="82"/>
    </row>
    <row r="1043" spans="1:5" ht="20" customHeight="1" x14ac:dyDescent="0.15">
      <c r="A1043" s="84" t="s">
        <v>728</v>
      </c>
      <c r="B1043" s="87" t="s">
        <v>768</v>
      </c>
      <c r="C1043" s="87" t="s">
        <v>769</v>
      </c>
      <c r="D1043" s="87" t="s">
        <v>770</v>
      </c>
      <c r="E1043" s="82"/>
    </row>
    <row r="1044" spans="1:5" ht="20" customHeight="1" x14ac:dyDescent="0.15">
      <c r="A1044" s="84" t="s">
        <v>213</v>
      </c>
      <c r="B1044" s="87" t="s">
        <v>317</v>
      </c>
      <c r="C1044" s="87" t="s">
        <v>318</v>
      </c>
      <c r="D1044" s="87" t="s">
        <v>319</v>
      </c>
      <c r="E1044" s="82"/>
    </row>
    <row r="1045" spans="1:5" ht="20" customHeight="1" x14ac:dyDescent="0.15">
      <c r="A1045" s="84" t="s">
        <v>213</v>
      </c>
      <c r="B1045" s="87" t="s">
        <v>320</v>
      </c>
      <c r="C1045" s="87" t="s">
        <v>321</v>
      </c>
      <c r="D1045" s="87" t="s">
        <v>322</v>
      </c>
      <c r="E1045" s="82"/>
    </row>
    <row r="1046" spans="1:5" ht="20" customHeight="1" x14ac:dyDescent="0.15">
      <c r="A1046" s="86"/>
      <c r="B1046" s="87" t="s">
        <v>1219</v>
      </c>
      <c r="C1046" s="87" t="s">
        <v>1220</v>
      </c>
      <c r="D1046" s="87" t="s">
        <v>1221</v>
      </c>
      <c r="E1046" s="82"/>
    </row>
    <row r="1047" spans="1:5" ht="20" customHeight="1" x14ac:dyDescent="0.15">
      <c r="A1047" s="84" t="s">
        <v>862</v>
      </c>
      <c r="B1047" s="87" t="s">
        <v>936</v>
      </c>
      <c r="C1047" s="87" t="s">
        <v>937</v>
      </c>
      <c r="D1047" s="87" t="s">
        <v>938</v>
      </c>
      <c r="E1047" s="82"/>
    </row>
    <row r="1048" spans="1:5" ht="20" customHeight="1" x14ac:dyDescent="0.15">
      <c r="A1048" s="89"/>
      <c r="B1048" s="87" t="s">
        <v>1222</v>
      </c>
      <c r="C1048" s="87" t="s">
        <v>1223</v>
      </c>
      <c r="D1048" s="87" t="s">
        <v>1224</v>
      </c>
      <c r="E1048" s="82"/>
    </row>
    <row r="1049" spans="1:5" ht="20" customHeight="1" x14ac:dyDescent="0.15">
      <c r="A1049" s="84" t="s">
        <v>213</v>
      </c>
      <c r="B1049" s="87" t="s">
        <v>323</v>
      </c>
      <c r="C1049" s="87" t="s">
        <v>324</v>
      </c>
      <c r="D1049" s="87" t="s">
        <v>325</v>
      </c>
      <c r="E1049" s="82"/>
    </row>
    <row r="1050" spans="1:5" ht="20" customHeight="1" x14ac:dyDescent="0.15">
      <c r="A1050" s="84" t="s">
        <v>862</v>
      </c>
      <c r="B1050" s="87" t="s">
        <v>939</v>
      </c>
      <c r="C1050" s="87" t="s">
        <v>940</v>
      </c>
      <c r="D1050" s="87" t="s">
        <v>941</v>
      </c>
      <c r="E1050" s="82"/>
    </row>
    <row r="1051" spans="1:5" ht="20" customHeight="1" x14ac:dyDescent="0.15">
      <c r="A1051" s="84"/>
      <c r="B1051" s="87" t="s">
        <v>1225</v>
      </c>
      <c r="C1051" s="87" t="s">
        <v>1226</v>
      </c>
      <c r="D1051" s="87" t="s">
        <v>1227</v>
      </c>
      <c r="E1051" s="82"/>
    </row>
    <row r="1052" spans="1:5" ht="20" customHeight="1" x14ac:dyDescent="0.15">
      <c r="A1052" s="86" t="s">
        <v>471</v>
      </c>
      <c r="B1052" s="87" t="s">
        <v>573</v>
      </c>
      <c r="C1052" s="87" t="s">
        <v>574</v>
      </c>
      <c r="D1052" s="87" t="s">
        <v>575</v>
      </c>
      <c r="E1052" s="82"/>
    </row>
    <row r="1053" spans="1:5" ht="20" customHeight="1" x14ac:dyDescent="0.15">
      <c r="A1053" s="84"/>
      <c r="B1053" s="87" t="s">
        <v>1228</v>
      </c>
      <c r="C1053" s="87" t="s">
        <v>1229</v>
      </c>
      <c r="D1053" s="87" t="s">
        <v>1230</v>
      </c>
      <c r="E1053" s="82"/>
    </row>
    <row r="1054" spans="1:5" ht="20" customHeight="1" x14ac:dyDescent="0.15">
      <c r="A1054" s="88" t="s">
        <v>213</v>
      </c>
      <c r="B1054" s="87" t="s">
        <v>326</v>
      </c>
      <c r="C1054" s="87" t="s">
        <v>327</v>
      </c>
      <c r="D1054" s="87" t="s">
        <v>328</v>
      </c>
      <c r="E1054" s="82"/>
    </row>
    <row r="1055" spans="1:5" ht="20" customHeight="1" x14ac:dyDescent="0.15">
      <c r="A1055" s="84" t="s">
        <v>728</v>
      </c>
      <c r="B1055" s="87" t="s">
        <v>771</v>
      </c>
      <c r="C1055" s="87" t="s">
        <v>772</v>
      </c>
      <c r="D1055" s="87" t="s">
        <v>773</v>
      </c>
      <c r="E1055" s="82"/>
    </row>
    <row r="1056" spans="1:5" ht="20" customHeight="1" x14ac:dyDescent="0.15">
      <c r="A1056" s="86" t="s">
        <v>471</v>
      </c>
      <c r="B1056" s="87" t="s">
        <v>576</v>
      </c>
      <c r="C1056" s="87" t="s">
        <v>577</v>
      </c>
      <c r="D1056" s="87" t="s">
        <v>578</v>
      </c>
      <c r="E1056" s="82"/>
    </row>
    <row r="1057" spans="1:5" ht="20" customHeight="1" x14ac:dyDescent="0.15">
      <c r="A1057" s="84"/>
      <c r="B1057" s="87" t="s">
        <v>1231</v>
      </c>
      <c r="C1057" s="87" t="s">
        <v>1232</v>
      </c>
      <c r="D1057" s="87" t="s">
        <v>1233</v>
      </c>
      <c r="E1057" s="82"/>
    </row>
    <row r="1058" spans="1:5" ht="20" customHeight="1" x14ac:dyDescent="0.15">
      <c r="A1058" s="84" t="s">
        <v>862</v>
      </c>
      <c r="B1058" s="87" t="s">
        <v>942</v>
      </c>
      <c r="C1058" s="87" t="s">
        <v>943</v>
      </c>
      <c r="D1058" s="87" t="s">
        <v>944</v>
      </c>
      <c r="E1058" s="82"/>
    </row>
    <row r="1059" spans="1:5" ht="20" customHeight="1" x14ac:dyDescent="0.15">
      <c r="A1059" s="86" t="s">
        <v>471</v>
      </c>
      <c r="B1059" s="87" t="s">
        <v>579</v>
      </c>
      <c r="C1059" s="87" t="s">
        <v>580</v>
      </c>
      <c r="D1059" s="87" t="s">
        <v>581</v>
      </c>
      <c r="E1059" s="82"/>
    </row>
    <row r="1060" spans="1:5" ht="20" customHeight="1" x14ac:dyDescent="0.15">
      <c r="A1060" s="84" t="s">
        <v>213</v>
      </c>
      <c r="B1060" s="87" t="s">
        <v>329</v>
      </c>
      <c r="C1060" s="87" t="s">
        <v>330</v>
      </c>
      <c r="D1060" s="87" t="s">
        <v>331</v>
      </c>
      <c r="E1060" s="82"/>
    </row>
    <row r="1061" spans="1:5" ht="20" customHeight="1" x14ac:dyDescent="0.15">
      <c r="A1061" s="84" t="s">
        <v>862</v>
      </c>
      <c r="B1061" s="87" t="s">
        <v>945</v>
      </c>
      <c r="C1061" s="87" t="s">
        <v>946</v>
      </c>
      <c r="D1061" s="87" t="s">
        <v>947</v>
      </c>
      <c r="E1061" s="82"/>
    </row>
    <row r="1062" spans="1:5" ht="20" customHeight="1" x14ac:dyDescent="0.15">
      <c r="A1062" s="86" t="s">
        <v>471</v>
      </c>
      <c r="B1062" s="87" t="s">
        <v>582</v>
      </c>
      <c r="C1062" s="87" t="s">
        <v>583</v>
      </c>
      <c r="D1062" s="87" t="s">
        <v>584</v>
      </c>
      <c r="E1062" s="82"/>
    </row>
    <row r="1063" spans="1:5" ht="20" customHeight="1" x14ac:dyDescent="0.15">
      <c r="A1063" s="84" t="s">
        <v>862</v>
      </c>
      <c r="B1063" s="87" t="s">
        <v>948</v>
      </c>
      <c r="C1063" s="87" t="s">
        <v>949</v>
      </c>
      <c r="D1063" s="87" t="s">
        <v>950</v>
      </c>
      <c r="E1063" s="82"/>
    </row>
    <row r="1064" spans="1:5" ht="20" customHeight="1" x14ac:dyDescent="0.15">
      <c r="A1064" s="86" t="s">
        <v>471</v>
      </c>
      <c r="B1064" s="87" t="s">
        <v>585</v>
      </c>
      <c r="C1064" s="87" t="s">
        <v>586</v>
      </c>
      <c r="D1064" s="87" t="s">
        <v>587</v>
      </c>
      <c r="E1064" s="82"/>
    </row>
    <row r="1065" spans="1:5" ht="20" customHeight="1" x14ac:dyDescent="0.15">
      <c r="A1065" s="84" t="s">
        <v>728</v>
      </c>
      <c r="B1065" s="87" t="s">
        <v>774</v>
      </c>
      <c r="C1065" s="87" t="s">
        <v>775</v>
      </c>
      <c r="D1065" s="87" t="s">
        <v>776</v>
      </c>
      <c r="E1065" s="82"/>
    </row>
    <row r="1066" spans="1:5" ht="20" customHeight="1" x14ac:dyDescent="0.15">
      <c r="A1066" s="88" t="s">
        <v>213</v>
      </c>
      <c r="B1066" s="87" t="s">
        <v>332</v>
      </c>
      <c r="C1066" s="87" t="s">
        <v>333</v>
      </c>
      <c r="D1066" s="87" t="s">
        <v>334</v>
      </c>
      <c r="E1066" s="82"/>
    </row>
    <row r="1067" spans="1:5" ht="20" customHeight="1" x14ac:dyDescent="0.15">
      <c r="A1067" s="84"/>
      <c r="B1067" s="87" t="s">
        <v>1234</v>
      </c>
      <c r="C1067" s="87" t="s">
        <v>1235</v>
      </c>
      <c r="D1067" s="87" t="s">
        <v>1236</v>
      </c>
      <c r="E1067" s="82"/>
    </row>
    <row r="1068" spans="1:5" ht="20" customHeight="1" x14ac:dyDescent="0.15">
      <c r="A1068" s="88" t="s">
        <v>213</v>
      </c>
      <c r="B1068" s="87" t="s">
        <v>338</v>
      </c>
      <c r="C1068" s="87" t="s">
        <v>339</v>
      </c>
      <c r="D1068" s="87" t="s">
        <v>340</v>
      </c>
      <c r="E1068" s="82"/>
    </row>
    <row r="1069" spans="1:5" ht="20" customHeight="1" x14ac:dyDescent="0.15">
      <c r="A1069" s="84" t="s">
        <v>213</v>
      </c>
      <c r="B1069" s="87" t="s">
        <v>343</v>
      </c>
      <c r="C1069" s="87" t="s">
        <v>344</v>
      </c>
      <c r="D1069" s="87" t="s">
        <v>1521</v>
      </c>
      <c r="E1069" s="82"/>
    </row>
    <row r="1070" spans="1:5" ht="20" customHeight="1" x14ac:dyDescent="0.15">
      <c r="A1070" s="89" t="s">
        <v>471</v>
      </c>
      <c r="B1070" s="87" t="s">
        <v>604</v>
      </c>
      <c r="C1070" s="87" t="s">
        <v>605</v>
      </c>
      <c r="D1070" s="87" t="s">
        <v>606</v>
      </c>
      <c r="E1070" s="82"/>
    </row>
    <row r="1071" spans="1:5" ht="20" customHeight="1" x14ac:dyDescent="0.15">
      <c r="A1071" s="88" t="s">
        <v>213</v>
      </c>
      <c r="B1071" s="87" t="s">
        <v>348</v>
      </c>
      <c r="C1071" s="87" t="s">
        <v>349</v>
      </c>
      <c r="D1071" s="87" t="s">
        <v>1528</v>
      </c>
      <c r="E1071" s="82"/>
    </row>
    <row r="1072" spans="1:5" ht="20" customHeight="1" x14ac:dyDescent="0.15">
      <c r="A1072" s="89"/>
      <c r="B1072" s="87" t="s">
        <v>1268</v>
      </c>
      <c r="C1072" s="87" t="s">
        <v>1269</v>
      </c>
      <c r="D1072" s="87" t="s">
        <v>1520</v>
      </c>
      <c r="E1072" s="82"/>
    </row>
    <row r="1073" spans="1:5" ht="20" customHeight="1" x14ac:dyDescent="0.15">
      <c r="A1073" s="84" t="s">
        <v>862</v>
      </c>
      <c r="B1073" s="87" t="s">
        <v>959</v>
      </c>
      <c r="C1073" s="87" t="s">
        <v>960</v>
      </c>
      <c r="D1073" s="87" t="s">
        <v>959</v>
      </c>
      <c r="E1073" s="82"/>
    </row>
    <row r="1074" spans="1:5" ht="20" customHeight="1" x14ac:dyDescent="0.15">
      <c r="A1074" s="88" t="s">
        <v>213</v>
      </c>
      <c r="B1074" s="87" t="s">
        <v>350</v>
      </c>
      <c r="C1074" s="87" t="s">
        <v>351</v>
      </c>
      <c r="D1074" s="87" t="s">
        <v>352</v>
      </c>
      <c r="E1074" s="82"/>
    </row>
    <row r="1075" spans="1:5" ht="20" customHeight="1" x14ac:dyDescent="0.15">
      <c r="A1075" s="84"/>
      <c r="B1075" s="87" t="s">
        <v>1270</v>
      </c>
      <c r="C1075" s="87" t="s">
        <v>1271</v>
      </c>
      <c r="D1075" s="87" t="s">
        <v>1272</v>
      </c>
      <c r="E1075" s="82"/>
    </row>
    <row r="1076" spans="1:5" ht="20" customHeight="1" x14ac:dyDescent="0.15">
      <c r="A1076" s="86"/>
      <c r="B1076" s="87" t="s">
        <v>1273</v>
      </c>
      <c r="C1076" s="87" t="s">
        <v>1274</v>
      </c>
      <c r="D1076" s="87" t="s">
        <v>1273</v>
      </c>
      <c r="E1076" s="82"/>
    </row>
    <row r="1077" spans="1:5" ht="20" customHeight="1" x14ac:dyDescent="0.15">
      <c r="A1077" s="84" t="s">
        <v>728</v>
      </c>
      <c r="B1077" s="87" t="s">
        <v>777</v>
      </c>
      <c r="C1077" s="87" t="s">
        <v>778</v>
      </c>
      <c r="D1077" s="87" t="s">
        <v>777</v>
      </c>
      <c r="E1077" s="82"/>
    </row>
    <row r="1078" spans="1:5" ht="20" customHeight="1" x14ac:dyDescent="0.15">
      <c r="A1078" s="89" t="s">
        <v>213</v>
      </c>
      <c r="B1078" s="87" t="s">
        <v>353</v>
      </c>
      <c r="C1078" s="87" t="s">
        <v>354</v>
      </c>
      <c r="D1078" s="87" t="s">
        <v>355</v>
      </c>
      <c r="E1078" s="82"/>
    </row>
    <row r="1079" spans="1:5" ht="20" customHeight="1" x14ac:dyDescent="0.15">
      <c r="A1079" s="84" t="s">
        <v>862</v>
      </c>
      <c r="B1079" s="87" t="s">
        <v>961</v>
      </c>
      <c r="C1079" s="87" t="s">
        <v>962</v>
      </c>
      <c r="D1079" s="87" t="s">
        <v>1519</v>
      </c>
      <c r="E1079" s="82"/>
    </row>
    <row r="1080" spans="1:5" ht="20" customHeight="1" x14ac:dyDescent="0.15">
      <c r="A1080" s="89" t="s">
        <v>213</v>
      </c>
      <c r="B1080" s="87" t="s">
        <v>356</v>
      </c>
      <c r="C1080" s="87" t="s">
        <v>357</v>
      </c>
      <c r="D1080" s="87" t="s">
        <v>1518</v>
      </c>
      <c r="E1080" s="82"/>
    </row>
    <row r="1081" spans="1:5" ht="20" customHeight="1" x14ac:dyDescent="0.15">
      <c r="A1081" s="84" t="s">
        <v>862</v>
      </c>
      <c r="B1081" s="87" t="s">
        <v>963</v>
      </c>
      <c r="C1081" s="87" t="s">
        <v>964</v>
      </c>
      <c r="D1081" s="87" t="s">
        <v>2160</v>
      </c>
      <c r="E1081" s="82"/>
    </row>
    <row r="1082" spans="1:5" ht="20" customHeight="1" x14ac:dyDescent="0.15">
      <c r="A1082" s="86"/>
      <c r="B1082" s="87" t="s">
        <v>1275</v>
      </c>
      <c r="C1082" s="87" t="s">
        <v>1276</v>
      </c>
      <c r="D1082" s="87" t="s">
        <v>2246</v>
      </c>
      <c r="E1082" s="82"/>
    </row>
    <row r="1083" spans="1:5" ht="20" customHeight="1" x14ac:dyDescent="0.15">
      <c r="A1083" s="84" t="s">
        <v>728</v>
      </c>
      <c r="B1083" s="87" t="s">
        <v>779</v>
      </c>
      <c r="C1083" s="87" t="s">
        <v>780</v>
      </c>
      <c r="D1083" s="87" t="s">
        <v>781</v>
      </c>
      <c r="E1083" s="82"/>
    </row>
    <row r="1084" spans="1:5" ht="20" customHeight="1" x14ac:dyDescent="0.15">
      <c r="A1084" s="88" t="s">
        <v>213</v>
      </c>
      <c r="B1084" s="87" t="s">
        <v>358</v>
      </c>
      <c r="C1084" s="87" t="s">
        <v>359</v>
      </c>
      <c r="D1084" s="87" t="s">
        <v>1527</v>
      </c>
      <c r="E1084" s="82"/>
    </row>
    <row r="1085" spans="1:5" ht="20" customHeight="1" x14ac:dyDescent="0.15">
      <c r="A1085" s="84" t="s">
        <v>862</v>
      </c>
      <c r="B1085" s="87" t="s">
        <v>966</v>
      </c>
      <c r="C1085" s="87" t="s">
        <v>967</v>
      </c>
      <c r="D1085" s="87" t="s">
        <v>968</v>
      </c>
      <c r="E1085" s="82"/>
    </row>
    <row r="1086" spans="1:5" ht="20" customHeight="1" x14ac:dyDescent="0.15">
      <c r="A1086" s="84" t="s">
        <v>862</v>
      </c>
      <c r="B1086" s="87" t="s">
        <v>969</v>
      </c>
      <c r="C1086" s="87" t="s">
        <v>970</v>
      </c>
      <c r="D1086" s="87" t="s">
        <v>1517</v>
      </c>
      <c r="E1086" s="82"/>
    </row>
    <row r="1087" spans="1:5" ht="20" customHeight="1" x14ac:dyDescent="0.15">
      <c r="A1087" s="88"/>
      <c r="B1087" s="87" t="s">
        <v>1278</v>
      </c>
      <c r="C1087" s="87" t="s">
        <v>1279</v>
      </c>
      <c r="D1087" s="87" t="s">
        <v>2161</v>
      </c>
      <c r="E1087" s="82"/>
    </row>
    <row r="1088" spans="1:5" ht="20" customHeight="1" x14ac:dyDescent="0.15">
      <c r="A1088" s="89" t="s">
        <v>728</v>
      </c>
      <c r="B1088" s="87" t="s">
        <v>782</v>
      </c>
      <c r="C1088" s="87" t="s">
        <v>783</v>
      </c>
      <c r="D1088" s="87" t="s">
        <v>2162</v>
      </c>
      <c r="E1088" s="82"/>
    </row>
    <row r="1089" spans="1:5" ht="20" customHeight="1" x14ac:dyDescent="0.15">
      <c r="A1089" s="89" t="s">
        <v>213</v>
      </c>
      <c r="B1089" s="87" t="s">
        <v>360</v>
      </c>
      <c r="C1089" s="87" t="s">
        <v>361</v>
      </c>
      <c r="D1089" s="87" t="s">
        <v>1515</v>
      </c>
      <c r="E1089" s="82"/>
    </row>
    <row r="1090" spans="1:5" ht="20" customHeight="1" x14ac:dyDescent="0.15">
      <c r="A1090" s="84" t="s">
        <v>862</v>
      </c>
      <c r="B1090" s="87" t="s">
        <v>971</v>
      </c>
      <c r="C1090" s="87" t="s">
        <v>972</v>
      </c>
      <c r="D1090" s="87" t="s">
        <v>973</v>
      </c>
      <c r="E1090" s="82"/>
    </row>
    <row r="1091" spans="1:5" ht="20" customHeight="1" x14ac:dyDescent="0.15">
      <c r="A1091" s="84" t="s">
        <v>862</v>
      </c>
      <c r="B1091" s="87" t="s">
        <v>974</v>
      </c>
      <c r="C1091" s="87" t="s">
        <v>975</v>
      </c>
      <c r="D1091" s="87" t="s">
        <v>2163</v>
      </c>
      <c r="E1091" s="82"/>
    </row>
    <row r="1092" spans="1:5" ht="20" customHeight="1" x14ac:dyDescent="0.15">
      <c r="A1092" s="86" t="s">
        <v>471</v>
      </c>
      <c r="B1092" s="87" t="s">
        <v>607</v>
      </c>
      <c r="C1092" s="87" t="s">
        <v>608</v>
      </c>
      <c r="D1092" s="87" t="s">
        <v>607</v>
      </c>
      <c r="E1092" s="82"/>
    </row>
    <row r="1093" spans="1:5" ht="20" customHeight="1" x14ac:dyDescent="0.15">
      <c r="A1093" s="89"/>
      <c r="B1093" s="87" t="s">
        <v>1284</v>
      </c>
      <c r="C1093" s="87" t="s">
        <v>1285</v>
      </c>
      <c r="D1093" s="87" t="s">
        <v>1284</v>
      </c>
      <c r="E1093" s="82"/>
    </row>
    <row r="1094" spans="1:5" ht="20" customHeight="1" x14ac:dyDescent="0.15">
      <c r="A1094" s="84"/>
      <c r="B1094" s="87" t="s">
        <v>1286</v>
      </c>
      <c r="C1094" s="87" t="s">
        <v>1287</v>
      </c>
      <c r="D1094" s="87" t="s">
        <v>1288</v>
      </c>
      <c r="E1094" s="82"/>
    </row>
    <row r="1095" spans="1:5" ht="20" customHeight="1" x14ac:dyDescent="0.15">
      <c r="A1095" s="84" t="s">
        <v>728</v>
      </c>
      <c r="B1095" s="87" t="s">
        <v>784</v>
      </c>
      <c r="C1095" s="87" t="s">
        <v>785</v>
      </c>
      <c r="D1095" s="87" t="s">
        <v>786</v>
      </c>
      <c r="E1095" s="82"/>
    </row>
    <row r="1096" spans="1:5" ht="20" customHeight="1" x14ac:dyDescent="0.15">
      <c r="A1096" s="89" t="s">
        <v>471</v>
      </c>
      <c r="B1096" s="87" t="s">
        <v>611</v>
      </c>
      <c r="C1096" s="87" t="s">
        <v>612</v>
      </c>
      <c r="D1096" s="87" t="s">
        <v>1500</v>
      </c>
      <c r="E1096" s="82"/>
    </row>
    <row r="1097" spans="1:5" ht="20" customHeight="1" x14ac:dyDescent="0.15">
      <c r="A1097" s="86"/>
      <c r="B1097" s="87" t="s">
        <v>1289</v>
      </c>
      <c r="C1097" s="87" t="s">
        <v>1290</v>
      </c>
      <c r="D1097" s="87" t="s">
        <v>1511</v>
      </c>
      <c r="E1097" s="82"/>
    </row>
    <row r="1098" spans="1:5" ht="20" customHeight="1" x14ac:dyDescent="0.15">
      <c r="A1098" s="86" t="s">
        <v>471</v>
      </c>
      <c r="B1098" s="87" t="s">
        <v>616</v>
      </c>
      <c r="C1098" s="87" t="s">
        <v>617</v>
      </c>
      <c r="D1098" s="87" t="s">
        <v>618</v>
      </c>
      <c r="E1098" s="82"/>
    </row>
    <row r="1099" spans="1:5" ht="20" customHeight="1" x14ac:dyDescent="0.15">
      <c r="A1099" s="86" t="s">
        <v>213</v>
      </c>
      <c r="B1099" s="87" t="s">
        <v>365</v>
      </c>
      <c r="C1099" s="87" t="s">
        <v>366</v>
      </c>
      <c r="D1099" s="87" t="s">
        <v>367</v>
      </c>
      <c r="E1099" s="82"/>
    </row>
    <row r="1100" spans="1:5" ht="20" customHeight="1" x14ac:dyDescent="0.15">
      <c r="A1100" s="86" t="s">
        <v>471</v>
      </c>
      <c r="B1100" s="87" t="s">
        <v>619</v>
      </c>
      <c r="C1100" s="87" t="s">
        <v>620</v>
      </c>
      <c r="D1100" s="87" t="s">
        <v>621</v>
      </c>
      <c r="E1100" s="82"/>
    </row>
    <row r="1101" spans="1:5" ht="20" customHeight="1" x14ac:dyDescent="0.15">
      <c r="A1101" s="84" t="s">
        <v>862</v>
      </c>
      <c r="B1101" s="87" t="s">
        <v>980</v>
      </c>
      <c r="C1101" s="87" t="s">
        <v>981</v>
      </c>
      <c r="D1101" s="87" t="s">
        <v>982</v>
      </c>
      <c r="E1101" s="82"/>
    </row>
    <row r="1102" spans="1:5" ht="20" customHeight="1" x14ac:dyDescent="0.15">
      <c r="A1102" s="86" t="s">
        <v>471</v>
      </c>
      <c r="B1102" s="87" t="s">
        <v>622</v>
      </c>
      <c r="C1102" s="87" t="s">
        <v>623</v>
      </c>
      <c r="D1102" s="87" t="s">
        <v>624</v>
      </c>
      <c r="E1102" s="82"/>
    </row>
    <row r="1103" spans="1:5" ht="20" customHeight="1" x14ac:dyDescent="0.15">
      <c r="A1103" s="84" t="s">
        <v>728</v>
      </c>
      <c r="B1103" s="87" t="s">
        <v>787</v>
      </c>
      <c r="C1103" s="87" t="s">
        <v>788</v>
      </c>
      <c r="D1103" s="87" t="s">
        <v>789</v>
      </c>
      <c r="E1103" s="82"/>
    </row>
    <row r="1104" spans="1:5" ht="20" customHeight="1" x14ac:dyDescent="0.15">
      <c r="A1104" s="84" t="s">
        <v>213</v>
      </c>
      <c r="B1104" s="87" t="s">
        <v>368</v>
      </c>
      <c r="C1104" s="87" t="s">
        <v>369</v>
      </c>
      <c r="D1104" s="87" t="s">
        <v>370</v>
      </c>
      <c r="E1104" s="82"/>
    </row>
    <row r="1105" spans="1:5" ht="20" customHeight="1" x14ac:dyDescent="0.15">
      <c r="A1105" s="84" t="s">
        <v>728</v>
      </c>
      <c r="B1105" s="87" t="s">
        <v>790</v>
      </c>
      <c r="C1105" s="87" t="s">
        <v>791</v>
      </c>
      <c r="D1105" s="87" t="s">
        <v>792</v>
      </c>
      <c r="E1105" s="82"/>
    </row>
    <row r="1106" spans="1:5" ht="20" customHeight="1" x14ac:dyDescent="0.15">
      <c r="A1106" s="86" t="s">
        <v>471</v>
      </c>
      <c r="B1106" s="87" t="s">
        <v>625</v>
      </c>
      <c r="C1106" s="87" t="s">
        <v>626</v>
      </c>
      <c r="D1106" s="87" t="s">
        <v>627</v>
      </c>
      <c r="E1106" s="82"/>
    </row>
    <row r="1107" spans="1:5" ht="20" customHeight="1" x14ac:dyDescent="0.15">
      <c r="A1107" s="84" t="s">
        <v>862</v>
      </c>
      <c r="B1107" s="87" t="s">
        <v>983</v>
      </c>
      <c r="C1107" s="87" t="s">
        <v>984</v>
      </c>
      <c r="D1107" s="87" t="s">
        <v>985</v>
      </c>
      <c r="E1107" s="82"/>
    </row>
    <row r="1108" spans="1:5" ht="20" customHeight="1" x14ac:dyDescent="0.15">
      <c r="A1108" s="84" t="s">
        <v>728</v>
      </c>
      <c r="B1108" s="87" t="s">
        <v>793</v>
      </c>
      <c r="C1108" s="87" t="s">
        <v>794</v>
      </c>
      <c r="D1108" s="87" t="s">
        <v>795</v>
      </c>
      <c r="E1108" s="82"/>
    </row>
    <row r="1109" spans="1:5" ht="20" customHeight="1" x14ac:dyDescent="0.15">
      <c r="A1109" s="86"/>
      <c r="B1109" s="87" t="s">
        <v>1306</v>
      </c>
      <c r="C1109" s="87" t="s">
        <v>1307</v>
      </c>
      <c r="D1109" s="87" t="s">
        <v>2165</v>
      </c>
      <c r="E1109" s="82"/>
    </row>
    <row r="1110" spans="1:5" ht="20" customHeight="1" x14ac:dyDescent="0.15">
      <c r="A1110" s="84" t="s">
        <v>862</v>
      </c>
      <c r="B1110" s="87" t="s">
        <v>986</v>
      </c>
      <c r="C1110" s="87" t="s">
        <v>987</v>
      </c>
      <c r="D1110" s="87" t="s">
        <v>988</v>
      </c>
      <c r="E1110" s="82"/>
    </row>
    <row r="1111" spans="1:5" ht="20" customHeight="1" x14ac:dyDescent="0.15">
      <c r="A1111" s="84" t="s">
        <v>728</v>
      </c>
      <c r="B1111" s="87" t="s">
        <v>796</v>
      </c>
      <c r="C1111" s="87" t="s">
        <v>797</v>
      </c>
      <c r="D1111" s="87" t="s">
        <v>798</v>
      </c>
      <c r="E1111" s="82"/>
    </row>
    <row r="1112" spans="1:5" ht="20" customHeight="1" x14ac:dyDescent="0.15">
      <c r="A1112" s="84" t="s">
        <v>728</v>
      </c>
      <c r="B1112" s="87" t="s">
        <v>799</v>
      </c>
      <c r="C1112" s="87" t="s">
        <v>800</v>
      </c>
      <c r="D1112" s="87" t="s">
        <v>801</v>
      </c>
      <c r="E1112" s="82"/>
    </row>
    <row r="1113" spans="1:5" ht="20" customHeight="1" x14ac:dyDescent="0.15">
      <c r="A1113" s="86" t="s">
        <v>471</v>
      </c>
      <c r="B1113" s="87" t="s">
        <v>628</v>
      </c>
      <c r="C1113" s="87" t="s">
        <v>629</v>
      </c>
      <c r="D1113" s="87" t="s">
        <v>630</v>
      </c>
      <c r="E1113" s="82"/>
    </row>
    <row r="1114" spans="1:5" ht="20" customHeight="1" x14ac:dyDescent="0.15">
      <c r="A1114" s="86" t="s">
        <v>471</v>
      </c>
      <c r="B1114" s="87" t="s">
        <v>631</v>
      </c>
      <c r="C1114" s="87" t="s">
        <v>632</v>
      </c>
      <c r="D1114" s="87" t="s">
        <v>2168</v>
      </c>
      <c r="E1114" s="82"/>
    </row>
    <row r="1115" spans="1:5" ht="20" customHeight="1" x14ac:dyDescent="0.15">
      <c r="A1115" s="84" t="s">
        <v>213</v>
      </c>
      <c r="B1115" s="87" t="s">
        <v>233</v>
      </c>
      <c r="C1115" s="87" t="s">
        <v>234</v>
      </c>
      <c r="D1115" s="87" t="s">
        <v>2169</v>
      </c>
      <c r="E1115" s="82"/>
    </row>
    <row r="1116" spans="1:5" ht="20" customHeight="1" x14ac:dyDescent="0.15">
      <c r="A1116" s="84" t="s">
        <v>213</v>
      </c>
      <c r="B1116" s="87" t="s">
        <v>236</v>
      </c>
      <c r="C1116" s="87" t="s">
        <v>237</v>
      </c>
      <c r="D1116" s="87" t="s">
        <v>2170</v>
      </c>
      <c r="E1116" s="82"/>
    </row>
    <row r="1117" spans="1:5" ht="20" customHeight="1" x14ac:dyDescent="0.15">
      <c r="A1117" s="86" t="s">
        <v>471</v>
      </c>
      <c r="B1117" s="87" t="s">
        <v>634</v>
      </c>
      <c r="C1117" s="87" t="s">
        <v>635</v>
      </c>
      <c r="D1117" s="87" t="s">
        <v>2171</v>
      </c>
      <c r="E1117" s="82"/>
    </row>
    <row r="1118" spans="1:5" ht="20" customHeight="1" x14ac:dyDescent="0.15">
      <c r="A1118" s="84" t="s">
        <v>862</v>
      </c>
      <c r="B1118" s="87" t="s">
        <v>989</v>
      </c>
      <c r="C1118" s="87" t="s">
        <v>990</v>
      </c>
      <c r="D1118" s="87" t="s">
        <v>2172</v>
      </c>
      <c r="E1118" s="82"/>
    </row>
    <row r="1119" spans="1:5" ht="20" customHeight="1" x14ac:dyDescent="0.15">
      <c r="A1119" s="84" t="s">
        <v>862</v>
      </c>
      <c r="B1119" s="87" t="s">
        <v>992</v>
      </c>
      <c r="C1119" s="87" t="s">
        <v>993</v>
      </c>
      <c r="D1119" s="87" t="s">
        <v>994</v>
      </c>
      <c r="E1119" s="82"/>
    </row>
    <row r="1120" spans="1:5" ht="20" customHeight="1" x14ac:dyDescent="0.15">
      <c r="A1120" s="86" t="s">
        <v>471</v>
      </c>
      <c r="B1120" s="87" t="s">
        <v>637</v>
      </c>
      <c r="C1120" s="87" t="s">
        <v>638</v>
      </c>
      <c r="D1120" s="87" t="s">
        <v>639</v>
      </c>
      <c r="E1120" s="82"/>
    </row>
    <row r="1121" spans="1:5" ht="20" customHeight="1" x14ac:dyDescent="0.15">
      <c r="A1121" s="91" t="s">
        <v>728</v>
      </c>
      <c r="B1121" s="87" t="s">
        <v>805</v>
      </c>
      <c r="C1121" s="87" t="s">
        <v>806</v>
      </c>
      <c r="D1121" s="87" t="s">
        <v>807</v>
      </c>
      <c r="E1121" s="82"/>
    </row>
    <row r="1122" spans="1:5" ht="20" customHeight="1" x14ac:dyDescent="0.15">
      <c r="A1122" s="86" t="s">
        <v>471</v>
      </c>
      <c r="B1122" s="87" t="s">
        <v>640</v>
      </c>
      <c r="C1122" s="87" t="s">
        <v>641</v>
      </c>
      <c r="D1122" s="87" t="s">
        <v>642</v>
      </c>
      <c r="E1122" s="82"/>
    </row>
    <row r="1123" spans="1:5" ht="20" customHeight="1" x14ac:dyDescent="0.15">
      <c r="A1123" s="84" t="s">
        <v>728</v>
      </c>
      <c r="B1123" s="87" t="s">
        <v>811</v>
      </c>
      <c r="C1123" s="87" t="s">
        <v>812</v>
      </c>
      <c r="D1123" s="87" t="s">
        <v>813</v>
      </c>
      <c r="E1123" s="82"/>
    </row>
    <row r="1124" spans="1:5" ht="20" customHeight="1" x14ac:dyDescent="0.15">
      <c r="A1124" s="84" t="s">
        <v>371</v>
      </c>
      <c r="B1124" s="87" t="s">
        <v>372</v>
      </c>
      <c r="C1124" s="87" t="s">
        <v>373</v>
      </c>
      <c r="D1124" s="87" t="s">
        <v>374</v>
      </c>
      <c r="E1124" s="82"/>
    </row>
    <row r="1125" spans="1:5" ht="20" customHeight="1" x14ac:dyDescent="0.15">
      <c r="A1125" s="89" t="s">
        <v>471</v>
      </c>
      <c r="B1125" s="87" t="s">
        <v>643</v>
      </c>
      <c r="C1125" s="87" t="s">
        <v>644</v>
      </c>
      <c r="D1125" s="87" t="s">
        <v>645</v>
      </c>
      <c r="E1125" s="82"/>
    </row>
    <row r="1126" spans="1:5" ht="20" customHeight="1" x14ac:dyDescent="0.15">
      <c r="A1126" s="86"/>
      <c r="B1126" s="87" t="s">
        <v>1329</v>
      </c>
      <c r="C1126" s="87" t="s">
        <v>1330</v>
      </c>
      <c r="D1126" s="87" t="s">
        <v>2175</v>
      </c>
      <c r="E1126" s="82"/>
    </row>
    <row r="1127" spans="1:5" ht="20" customHeight="1" x14ac:dyDescent="0.15">
      <c r="A1127" s="84" t="s">
        <v>728</v>
      </c>
      <c r="B1127" s="87" t="s">
        <v>814</v>
      </c>
      <c r="C1127" s="87" t="s">
        <v>815</v>
      </c>
      <c r="D1127" s="87" t="s">
        <v>816</v>
      </c>
      <c r="E1127" s="82"/>
    </row>
    <row r="1128" spans="1:5" ht="20" customHeight="1" x14ac:dyDescent="0.15">
      <c r="A1128" s="86"/>
      <c r="B1128" s="87" t="s">
        <v>1336</v>
      </c>
      <c r="C1128" s="87" t="s">
        <v>1337</v>
      </c>
      <c r="D1128" s="87" t="s">
        <v>2176</v>
      </c>
      <c r="E1128" s="82"/>
    </row>
    <row r="1129" spans="1:5" ht="20" customHeight="1" x14ac:dyDescent="0.15">
      <c r="A1129" s="84" t="s">
        <v>862</v>
      </c>
      <c r="B1129" s="87" t="s">
        <v>997</v>
      </c>
      <c r="C1129" s="87" t="s">
        <v>998</v>
      </c>
      <c r="D1129" s="87" t="s">
        <v>999</v>
      </c>
      <c r="E1129" s="82"/>
    </row>
    <row r="1130" spans="1:5" ht="20" customHeight="1" x14ac:dyDescent="0.15">
      <c r="A1130" s="84" t="s">
        <v>471</v>
      </c>
      <c r="B1130" s="87" t="s">
        <v>646</v>
      </c>
      <c r="C1130" s="87" t="s">
        <v>647</v>
      </c>
      <c r="D1130" s="87" t="s">
        <v>2177</v>
      </c>
      <c r="E1130" s="82"/>
    </row>
    <row r="1131" spans="1:5" ht="20" customHeight="1" x14ac:dyDescent="0.15">
      <c r="A1131" s="86"/>
      <c r="B1131" s="87" t="s">
        <v>1338</v>
      </c>
      <c r="C1131" s="87" t="s">
        <v>1339</v>
      </c>
      <c r="D1131" s="87" t="s">
        <v>2178</v>
      </c>
      <c r="E1131" s="82"/>
    </row>
    <row r="1132" spans="1:5" ht="20" customHeight="1" x14ac:dyDescent="0.15">
      <c r="A1132" s="86" t="s">
        <v>471</v>
      </c>
      <c r="B1132" s="87" t="s">
        <v>649</v>
      </c>
      <c r="C1132" s="87" t="s">
        <v>650</v>
      </c>
      <c r="D1132" s="87" t="s">
        <v>651</v>
      </c>
      <c r="E1132" s="82"/>
    </row>
    <row r="1133" spans="1:5" ht="20" customHeight="1" x14ac:dyDescent="0.15">
      <c r="A1133" s="84" t="s">
        <v>862</v>
      </c>
      <c r="B1133" s="87" t="s">
        <v>1000</v>
      </c>
      <c r="C1133" s="87" t="s">
        <v>1001</v>
      </c>
      <c r="D1133" s="87" t="s">
        <v>1000</v>
      </c>
      <c r="E1133" s="82"/>
    </row>
    <row r="1134" spans="1:5" ht="20" customHeight="1" x14ac:dyDescent="0.15">
      <c r="A1134" s="88" t="s">
        <v>213</v>
      </c>
      <c r="B1134" s="87" t="s">
        <v>381</v>
      </c>
      <c r="C1134" s="87" t="s">
        <v>382</v>
      </c>
      <c r="D1134" s="87" t="s">
        <v>2179</v>
      </c>
      <c r="E1134" s="82"/>
    </row>
    <row r="1135" spans="1:5" ht="20" customHeight="1" x14ac:dyDescent="0.15">
      <c r="A1135" s="89"/>
      <c r="B1135" s="87" t="s">
        <v>1343</v>
      </c>
      <c r="C1135" s="87" t="s">
        <v>1344</v>
      </c>
      <c r="D1135" s="87" t="s">
        <v>1345</v>
      </c>
      <c r="E1135" s="82"/>
    </row>
    <row r="1136" spans="1:5" ht="20" customHeight="1" x14ac:dyDescent="0.15">
      <c r="A1136" s="86" t="s">
        <v>471</v>
      </c>
      <c r="B1136" s="87" t="s">
        <v>654</v>
      </c>
      <c r="C1136" s="87" t="s">
        <v>655</v>
      </c>
      <c r="D1136" s="87" t="s">
        <v>656</v>
      </c>
      <c r="E1136" s="82"/>
    </row>
    <row r="1137" spans="1:5" ht="20" customHeight="1" x14ac:dyDescent="0.15">
      <c r="A1137" s="88"/>
      <c r="B1137" s="87" t="s">
        <v>1349</v>
      </c>
      <c r="C1137" s="87" t="s">
        <v>1350</v>
      </c>
      <c r="D1137" s="87" t="s">
        <v>1351</v>
      </c>
      <c r="E1137" s="82"/>
    </row>
    <row r="1138" spans="1:5" ht="20" customHeight="1" x14ac:dyDescent="0.15">
      <c r="A1138" s="89"/>
      <c r="B1138" s="87" t="s">
        <v>1352</v>
      </c>
      <c r="C1138" s="87" t="s">
        <v>1353</v>
      </c>
      <c r="D1138" s="87" t="s">
        <v>1351</v>
      </c>
      <c r="E1138" s="82"/>
    </row>
    <row r="1139" spans="1:5" ht="20" customHeight="1" x14ac:dyDescent="0.15">
      <c r="A1139" s="84" t="s">
        <v>728</v>
      </c>
      <c r="B1139" s="87" t="s">
        <v>817</v>
      </c>
      <c r="C1139" s="87" t="s">
        <v>818</v>
      </c>
      <c r="D1139" s="87" t="s">
        <v>819</v>
      </c>
      <c r="E1139" s="82"/>
    </row>
    <row r="1140" spans="1:5" ht="20" customHeight="1" x14ac:dyDescent="0.15">
      <c r="A1140" s="84" t="s">
        <v>471</v>
      </c>
      <c r="B1140" s="87" t="s">
        <v>657</v>
      </c>
      <c r="C1140" s="87" t="s">
        <v>658</v>
      </c>
      <c r="D1140" s="87" t="s">
        <v>657</v>
      </c>
      <c r="E1140" s="82"/>
    </row>
    <row r="1141" spans="1:5" ht="20" customHeight="1" x14ac:dyDescent="0.15">
      <c r="A1141" s="86"/>
      <c r="B1141" s="87" t="s">
        <v>1355</v>
      </c>
      <c r="C1141" s="87">
        <v>0</v>
      </c>
      <c r="D1141" s="87" t="s">
        <v>1498</v>
      </c>
      <c r="E1141" s="82"/>
    </row>
    <row r="1142" spans="1:5" ht="20" customHeight="1" x14ac:dyDescent="0.15">
      <c r="A1142" s="84" t="s">
        <v>728</v>
      </c>
      <c r="B1142" s="87" t="s">
        <v>823</v>
      </c>
      <c r="C1142" s="87" t="s">
        <v>824</v>
      </c>
      <c r="D1142" s="87" t="s">
        <v>825</v>
      </c>
      <c r="E1142" s="82"/>
    </row>
    <row r="1143" spans="1:5" ht="20" customHeight="1" x14ac:dyDescent="0.15">
      <c r="A1143" s="84"/>
      <c r="B1143" s="87" t="s">
        <v>1356</v>
      </c>
      <c r="C1143" s="87" t="s">
        <v>1357</v>
      </c>
      <c r="D1143" s="87" t="s">
        <v>1417</v>
      </c>
      <c r="E1143" s="82"/>
    </row>
    <row r="1144" spans="1:5" ht="20" customHeight="1" x14ac:dyDescent="0.15">
      <c r="A1144" s="84" t="s">
        <v>213</v>
      </c>
      <c r="B1144" s="87" t="s">
        <v>383</v>
      </c>
      <c r="C1144" s="87" t="s">
        <v>384</v>
      </c>
      <c r="D1144" s="87" t="s">
        <v>2181</v>
      </c>
      <c r="E1144" s="82"/>
    </row>
    <row r="1145" spans="1:5" ht="20" customHeight="1" x14ac:dyDescent="0.15">
      <c r="A1145" s="84" t="s">
        <v>728</v>
      </c>
      <c r="B1145" s="87" t="s">
        <v>826</v>
      </c>
      <c r="C1145" s="87" t="s">
        <v>827</v>
      </c>
      <c r="D1145" s="87" t="s">
        <v>828</v>
      </c>
      <c r="E1145" s="82"/>
    </row>
    <row r="1146" spans="1:5" ht="20" customHeight="1" x14ac:dyDescent="0.15">
      <c r="A1146" s="84" t="s">
        <v>471</v>
      </c>
      <c r="B1146" s="87" t="s">
        <v>674</v>
      </c>
      <c r="C1146" s="87" t="s">
        <v>675</v>
      </c>
      <c r="D1146" s="87" t="s">
        <v>676</v>
      </c>
      <c r="E1146" s="82"/>
    </row>
    <row r="1147" spans="1:5" ht="20" customHeight="1" x14ac:dyDescent="0.15">
      <c r="A1147" s="84" t="s">
        <v>862</v>
      </c>
      <c r="B1147" s="87" t="s">
        <v>1012</v>
      </c>
      <c r="C1147" s="87" t="s">
        <v>1013</v>
      </c>
      <c r="D1147" s="87" t="s">
        <v>1014</v>
      </c>
      <c r="E1147" s="82"/>
    </row>
    <row r="1148" spans="1:5" ht="20" customHeight="1" x14ac:dyDescent="0.15">
      <c r="A1148" s="84" t="s">
        <v>728</v>
      </c>
      <c r="B1148" s="87" t="s">
        <v>829</v>
      </c>
      <c r="C1148" s="87" t="s">
        <v>830</v>
      </c>
      <c r="D1148" s="87" t="s">
        <v>831</v>
      </c>
      <c r="E1148" s="82"/>
    </row>
    <row r="1149" spans="1:5" ht="20" customHeight="1" x14ac:dyDescent="0.15">
      <c r="A1149" s="86" t="s">
        <v>471</v>
      </c>
      <c r="B1149" s="87" t="s">
        <v>677</v>
      </c>
      <c r="C1149" s="87" t="s">
        <v>678</v>
      </c>
      <c r="D1149" s="87" t="s">
        <v>679</v>
      </c>
      <c r="E1149" s="82"/>
    </row>
    <row r="1150" spans="1:5" ht="20" customHeight="1" x14ac:dyDescent="0.15">
      <c r="A1150" s="84" t="s">
        <v>213</v>
      </c>
      <c r="B1150" s="87" t="s">
        <v>415</v>
      </c>
      <c r="C1150" s="87" t="s">
        <v>416</v>
      </c>
      <c r="D1150" s="87" t="s">
        <v>415</v>
      </c>
      <c r="E1150" s="82"/>
    </row>
    <row r="1151" spans="1:5" ht="20" customHeight="1" x14ac:dyDescent="0.15">
      <c r="A1151" s="86"/>
      <c r="B1151" s="87" t="s">
        <v>1396</v>
      </c>
      <c r="C1151" s="87" t="s">
        <v>1397</v>
      </c>
      <c r="D1151" s="87" t="s">
        <v>1396</v>
      </c>
      <c r="E1151" s="82"/>
    </row>
    <row r="1152" spans="1:5" ht="20" customHeight="1" x14ac:dyDescent="0.15">
      <c r="A1152" s="84"/>
      <c r="B1152" s="87" t="s">
        <v>1398</v>
      </c>
      <c r="C1152" s="87" t="s">
        <v>1399</v>
      </c>
      <c r="D1152" s="87" t="s">
        <v>1398</v>
      </c>
      <c r="E1152" s="82"/>
    </row>
    <row r="1153" spans="1:5" ht="20" customHeight="1" x14ac:dyDescent="0.15">
      <c r="A1153" s="84" t="s">
        <v>862</v>
      </c>
      <c r="B1153" s="87" t="s">
        <v>1017</v>
      </c>
      <c r="C1153" s="87" t="s">
        <v>1018</v>
      </c>
      <c r="D1153" s="87" t="s">
        <v>2182</v>
      </c>
      <c r="E1153" s="82"/>
    </row>
    <row r="1154" spans="1:5" ht="20" customHeight="1" x14ac:dyDescent="0.15">
      <c r="A1154" s="89" t="s">
        <v>471</v>
      </c>
      <c r="B1154" s="87" t="s">
        <v>680</v>
      </c>
      <c r="C1154" s="87" t="s">
        <v>681</v>
      </c>
      <c r="D1154" s="87" t="s">
        <v>682</v>
      </c>
      <c r="E1154" s="82"/>
    </row>
    <row r="1155" spans="1:5" ht="20" customHeight="1" x14ac:dyDescent="0.15">
      <c r="A1155" s="86"/>
      <c r="B1155" s="87" t="s">
        <v>1400</v>
      </c>
      <c r="C1155" s="87" t="s">
        <v>1401</v>
      </c>
      <c r="D1155" s="87" t="s">
        <v>2183</v>
      </c>
      <c r="E1155" s="82"/>
    </row>
    <row r="1156" spans="1:5" ht="20" customHeight="1" x14ac:dyDescent="0.15">
      <c r="A1156" s="84" t="s">
        <v>213</v>
      </c>
      <c r="B1156" s="87" t="s">
        <v>417</v>
      </c>
      <c r="C1156" s="87" t="s">
        <v>418</v>
      </c>
      <c r="D1156" s="87" t="s">
        <v>2184</v>
      </c>
      <c r="E1156" s="82"/>
    </row>
    <row r="1157" spans="1:5" ht="20" customHeight="1" x14ac:dyDescent="0.15">
      <c r="A1157" s="84" t="s">
        <v>213</v>
      </c>
      <c r="B1157" s="87" t="s">
        <v>420</v>
      </c>
      <c r="C1157" s="87" t="s">
        <v>421</v>
      </c>
      <c r="D1157" s="87" t="s">
        <v>2185</v>
      </c>
      <c r="E1157" s="82"/>
    </row>
    <row r="1158" spans="1:5" ht="20" customHeight="1" x14ac:dyDescent="0.15">
      <c r="A1158" s="84" t="s">
        <v>862</v>
      </c>
      <c r="B1158" s="87" t="s">
        <v>1019</v>
      </c>
      <c r="C1158" s="87" t="s">
        <v>1020</v>
      </c>
      <c r="D1158" s="87" t="s">
        <v>2186</v>
      </c>
      <c r="E1158" s="82"/>
    </row>
    <row r="1159" spans="1:5" ht="20" customHeight="1" x14ac:dyDescent="0.15">
      <c r="A1159" s="86" t="s">
        <v>213</v>
      </c>
      <c r="B1159" s="87" t="s">
        <v>423</v>
      </c>
      <c r="C1159" s="87" t="s">
        <v>424</v>
      </c>
      <c r="D1159" s="87" t="s">
        <v>425</v>
      </c>
      <c r="E1159" s="82"/>
    </row>
    <row r="1160" spans="1:5" ht="20" customHeight="1" x14ac:dyDescent="0.15">
      <c r="A1160" s="86" t="s">
        <v>213</v>
      </c>
      <c r="B1160" s="87" t="s">
        <v>426</v>
      </c>
      <c r="C1160" s="87" t="s">
        <v>427</v>
      </c>
      <c r="D1160" s="87" t="s">
        <v>428</v>
      </c>
      <c r="E1160" s="82"/>
    </row>
    <row r="1161" spans="1:5" ht="20" customHeight="1" x14ac:dyDescent="0.15">
      <c r="A1161" s="84" t="s">
        <v>213</v>
      </c>
      <c r="B1161" s="87" t="s">
        <v>429</v>
      </c>
      <c r="C1161" s="87" t="s">
        <v>430</v>
      </c>
      <c r="D1161" s="87" t="s">
        <v>431</v>
      </c>
      <c r="E1161" s="82"/>
    </row>
    <row r="1162" spans="1:5" ht="20" customHeight="1" x14ac:dyDescent="0.15">
      <c r="A1162" s="84" t="s">
        <v>213</v>
      </c>
      <c r="B1162" s="87" t="s">
        <v>432</v>
      </c>
      <c r="C1162" s="87" t="s">
        <v>433</v>
      </c>
      <c r="D1162" s="87" t="s">
        <v>434</v>
      </c>
      <c r="E1162" s="82"/>
    </row>
    <row r="1163" spans="1:5" ht="20" customHeight="1" x14ac:dyDescent="0.15">
      <c r="A1163" s="84" t="s">
        <v>213</v>
      </c>
      <c r="B1163" s="87" t="s">
        <v>435</v>
      </c>
      <c r="C1163" s="87" t="s">
        <v>436</v>
      </c>
      <c r="D1163" s="87" t="s">
        <v>437</v>
      </c>
      <c r="E1163" s="82"/>
    </row>
    <row r="1164" spans="1:5" ht="20" customHeight="1" x14ac:dyDescent="0.15">
      <c r="A1164" s="84" t="s">
        <v>862</v>
      </c>
      <c r="B1164" s="87" t="s">
        <v>1022</v>
      </c>
      <c r="C1164" s="87" t="s">
        <v>1023</v>
      </c>
      <c r="D1164" s="87" t="s">
        <v>1024</v>
      </c>
      <c r="E1164" s="82"/>
    </row>
    <row r="1165" spans="1:5" ht="20" customHeight="1" x14ac:dyDescent="0.15">
      <c r="A1165" s="86" t="s">
        <v>471</v>
      </c>
      <c r="B1165" s="87" t="s">
        <v>683</v>
      </c>
      <c r="C1165" s="87" t="s">
        <v>684</v>
      </c>
      <c r="D1165" s="87" t="s">
        <v>685</v>
      </c>
      <c r="E1165" s="82"/>
    </row>
    <row r="1166" spans="1:5" ht="20" customHeight="1" x14ac:dyDescent="0.15">
      <c r="A1166" s="84" t="s">
        <v>471</v>
      </c>
      <c r="B1166" s="87" t="s">
        <v>686</v>
      </c>
      <c r="C1166" s="87" t="s">
        <v>687</v>
      </c>
      <c r="D1166" s="87" t="s">
        <v>688</v>
      </c>
      <c r="E1166" s="82"/>
    </row>
    <row r="1167" spans="1:5" ht="20" customHeight="1" x14ac:dyDescent="0.15">
      <c r="A1167" s="84" t="s">
        <v>862</v>
      </c>
      <c r="B1167" s="87" t="s">
        <v>1025</v>
      </c>
      <c r="C1167" s="87" t="s">
        <v>1026</v>
      </c>
      <c r="D1167" s="87" t="s">
        <v>1027</v>
      </c>
      <c r="E1167" s="82"/>
    </row>
    <row r="1168" spans="1:5" ht="20" customHeight="1" x14ac:dyDescent="0.15">
      <c r="A1168" s="84" t="s">
        <v>471</v>
      </c>
      <c r="B1168" s="87" t="s">
        <v>689</v>
      </c>
      <c r="C1168" s="87" t="s">
        <v>690</v>
      </c>
      <c r="D1168" s="87" t="s">
        <v>691</v>
      </c>
      <c r="E1168" s="82"/>
    </row>
    <row r="1169" spans="1:5" ht="20" customHeight="1" x14ac:dyDescent="0.15">
      <c r="A1169" s="90" t="s">
        <v>213</v>
      </c>
      <c r="B1169" s="87" t="s">
        <v>438</v>
      </c>
      <c r="C1169" s="87" t="s">
        <v>439</v>
      </c>
      <c r="D1169" s="87" t="s">
        <v>440</v>
      </c>
      <c r="E1169" s="82"/>
    </row>
    <row r="1170" spans="1:5" ht="20" customHeight="1" x14ac:dyDescent="0.15">
      <c r="A1170" s="84" t="s">
        <v>862</v>
      </c>
      <c r="B1170" s="87" t="s">
        <v>1028</v>
      </c>
      <c r="C1170" s="87" t="s">
        <v>1029</v>
      </c>
      <c r="D1170" s="87" t="s">
        <v>1030</v>
      </c>
      <c r="E1170" s="82"/>
    </row>
    <row r="1171" spans="1:5" ht="20" customHeight="1" x14ac:dyDescent="0.15">
      <c r="A1171" s="84" t="s">
        <v>213</v>
      </c>
      <c r="B1171" s="87" t="s">
        <v>441</v>
      </c>
      <c r="C1171" s="87" t="s">
        <v>442</v>
      </c>
      <c r="D1171" s="87" t="s">
        <v>443</v>
      </c>
      <c r="E1171" s="82"/>
    </row>
    <row r="1172" spans="1:5" ht="20" customHeight="1" x14ac:dyDescent="0.15">
      <c r="A1172" s="84" t="s">
        <v>213</v>
      </c>
      <c r="B1172" s="87" t="s">
        <v>444</v>
      </c>
      <c r="C1172" s="87" t="s">
        <v>445</v>
      </c>
      <c r="D1172" s="87" t="s">
        <v>446</v>
      </c>
      <c r="E1172" s="82"/>
    </row>
    <row r="1173" spans="1:5" ht="20" customHeight="1" x14ac:dyDescent="0.15">
      <c r="A1173" s="84" t="s">
        <v>213</v>
      </c>
      <c r="B1173" s="87" t="s">
        <v>447</v>
      </c>
      <c r="C1173" s="87" t="s">
        <v>448</v>
      </c>
      <c r="D1173" s="87" t="s">
        <v>449</v>
      </c>
      <c r="E1173" s="82"/>
    </row>
    <row r="1174" spans="1:5" ht="20" customHeight="1" x14ac:dyDescent="0.15">
      <c r="A1174" s="84" t="s">
        <v>862</v>
      </c>
      <c r="B1174" s="87" t="s">
        <v>5752</v>
      </c>
      <c r="C1174" s="87" t="s">
        <v>5753</v>
      </c>
      <c r="D1174" s="87" t="s">
        <v>5754</v>
      </c>
      <c r="E1174" s="82"/>
    </row>
    <row r="1175" spans="1:5" ht="20" customHeight="1" x14ac:dyDescent="0.15">
      <c r="A1175" s="84" t="s">
        <v>213</v>
      </c>
      <c r="B1175" s="87" t="s">
        <v>450</v>
      </c>
      <c r="C1175" s="87" t="s">
        <v>451</v>
      </c>
      <c r="D1175" s="87" t="s">
        <v>452</v>
      </c>
      <c r="E1175" s="82"/>
    </row>
    <row r="1176" spans="1:5" ht="20" customHeight="1" x14ac:dyDescent="0.15">
      <c r="A1176" s="84" t="s">
        <v>862</v>
      </c>
      <c r="B1176" s="87" t="s">
        <v>1031</v>
      </c>
      <c r="C1176" s="87" t="s">
        <v>1032</v>
      </c>
      <c r="D1176" s="87" t="s">
        <v>1033</v>
      </c>
      <c r="E1176" s="82"/>
    </row>
    <row r="1177" spans="1:5" ht="20" customHeight="1" x14ac:dyDescent="0.15">
      <c r="A1177" s="86" t="s">
        <v>471</v>
      </c>
      <c r="B1177" s="87" t="s">
        <v>692</v>
      </c>
      <c r="C1177" s="87" t="s">
        <v>693</v>
      </c>
      <c r="D1177" s="87" t="s">
        <v>694</v>
      </c>
      <c r="E1177" s="82"/>
    </row>
    <row r="1178" spans="1:5" ht="20" customHeight="1" x14ac:dyDescent="0.15">
      <c r="A1178" s="86" t="s">
        <v>471</v>
      </c>
      <c r="B1178" s="87" t="s">
        <v>695</v>
      </c>
      <c r="C1178" s="87" t="s">
        <v>696</v>
      </c>
      <c r="D1178" s="87" t="s">
        <v>697</v>
      </c>
      <c r="E1178" s="82"/>
    </row>
    <row r="1179" spans="1:5" ht="20" customHeight="1" x14ac:dyDescent="0.15">
      <c r="A1179" s="86" t="s">
        <v>471</v>
      </c>
      <c r="B1179" s="87" t="s">
        <v>698</v>
      </c>
      <c r="C1179" s="87" t="s">
        <v>699</v>
      </c>
      <c r="D1179" s="87" t="s">
        <v>700</v>
      </c>
      <c r="E1179" s="82"/>
    </row>
    <row r="1180" spans="1:5" ht="20" customHeight="1" x14ac:dyDescent="0.15">
      <c r="A1180" s="84" t="s">
        <v>862</v>
      </c>
      <c r="B1180" s="87" t="s">
        <v>1034</v>
      </c>
      <c r="C1180" s="87" t="s">
        <v>1035</v>
      </c>
      <c r="D1180" s="87" t="s">
        <v>1036</v>
      </c>
      <c r="E1180" s="82"/>
    </row>
    <row r="1181" spans="1:5" ht="20" customHeight="1" x14ac:dyDescent="0.15">
      <c r="A1181" s="86" t="s">
        <v>471</v>
      </c>
      <c r="B1181" s="87" t="s">
        <v>701</v>
      </c>
      <c r="C1181" s="87" t="s">
        <v>702</v>
      </c>
      <c r="D1181" s="87" t="s">
        <v>703</v>
      </c>
      <c r="E1181" s="82"/>
    </row>
    <row r="1182" spans="1:5" ht="20" customHeight="1" x14ac:dyDescent="0.15">
      <c r="A1182" s="84" t="s">
        <v>471</v>
      </c>
      <c r="B1182" s="87" t="s">
        <v>704</v>
      </c>
      <c r="C1182" s="87" t="s">
        <v>705</v>
      </c>
      <c r="D1182" s="87" t="s">
        <v>706</v>
      </c>
      <c r="E1182" s="82"/>
    </row>
    <row r="1183" spans="1:5" ht="20" customHeight="1" x14ac:dyDescent="0.15">
      <c r="A1183" s="84" t="s">
        <v>213</v>
      </c>
      <c r="B1183" s="87" t="s">
        <v>453</v>
      </c>
      <c r="C1183" s="87" t="s">
        <v>454</v>
      </c>
      <c r="D1183" s="87" t="s">
        <v>455</v>
      </c>
      <c r="E1183" s="82"/>
    </row>
    <row r="1184" spans="1:5" ht="20" customHeight="1" x14ac:dyDescent="0.15">
      <c r="A1184" s="84" t="s">
        <v>471</v>
      </c>
      <c r="B1184" s="87" t="s">
        <v>707</v>
      </c>
      <c r="C1184" s="87" t="s">
        <v>708</v>
      </c>
      <c r="D1184" s="87" t="s">
        <v>709</v>
      </c>
      <c r="E1184" s="82"/>
    </row>
    <row r="1185" spans="1:5" ht="20" customHeight="1" x14ac:dyDescent="0.15">
      <c r="A1185" s="84" t="s">
        <v>728</v>
      </c>
      <c r="B1185" s="87" t="s">
        <v>832</v>
      </c>
      <c r="C1185" s="87" t="s">
        <v>833</v>
      </c>
      <c r="D1185" s="87" t="s">
        <v>834</v>
      </c>
      <c r="E1185" s="82"/>
    </row>
    <row r="1186" spans="1:5" ht="20" customHeight="1" x14ac:dyDescent="0.15">
      <c r="A1186" s="84" t="s">
        <v>862</v>
      </c>
      <c r="B1186" s="87" t="s">
        <v>1037</v>
      </c>
      <c r="C1186" s="87" t="s">
        <v>1038</v>
      </c>
      <c r="D1186" s="87" t="s">
        <v>1039</v>
      </c>
      <c r="E1186" s="82"/>
    </row>
    <row r="1187" spans="1:5" ht="20" customHeight="1" x14ac:dyDescent="0.15">
      <c r="A1187" s="84" t="s">
        <v>862</v>
      </c>
      <c r="B1187" s="87" t="s">
        <v>1040</v>
      </c>
      <c r="C1187" s="87" t="s">
        <v>1041</v>
      </c>
      <c r="D1187" s="87" t="s">
        <v>1042</v>
      </c>
      <c r="E1187" s="82"/>
    </row>
    <row r="1188" spans="1:5" ht="20" customHeight="1" x14ac:dyDescent="0.15">
      <c r="A1188" s="84" t="s">
        <v>862</v>
      </c>
      <c r="B1188" s="87" t="s">
        <v>1043</v>
      </c>
      <c r="C1188" s="87" t="s">
        <v>1044</v>
      </c>
      <c r="D1188" s="87" t="s">
        <v>1045</v>
      </c>
      <c r="E1188" s="82"/>
    </row>
    <row r="1189" spans="1:5" ht="20" customHeight="1" x14ac:dyDescent="0.15">
      <c r="A1189" s="84" t="s">
        <v>728</v>
      </c>
      <c r="B1189" s="87" t="s">
        <v>835</v>
      </c>
      <c r="C1189" s="87" t="s">
        <v>836</v>
      </c>
      <c r="D1189" s="87" t="s">
        <v>837</v>
      </c>
      <c r="E1189" s="82"/>
    </row>
    <row r="1190" spans="1:5" ht="20" customHeight="1" x14ac:dyDescent="0.15">
      <c r="A1190" s="84" t="s">
        <v>728</v>
      </c>
      <c r="B1190" s="87" t="s">
        <v>838</v>
      </c>
      <c r="C1190" s="87" t="s">
        <v>839</v>
      </c>
      <c r="D1190" s="87" t="s">
        <v>840</v>
      </c>
      <c r="E1190" s="82"/>
    </row>
    <row r="1191" spans="1:5" ht="20" customHeight="1" x14ac:dyDescent="0.15">
      <c r="A1191" s="84" t="s">
        <v>728</v>
      </c>
      <c r="B1191" s="87" t="s">
        <v>841</v>
      </c>
      <c r="C1191" s="87" t="s">
        <v>842</v>
      </c>
      <c r="D1191" s="87" t="s">
        <v>843</v>
      </c>
      <c r="E1191" s="82"/>
    </row>
    <row r="1192" spans="1:5" ht="20" customHeight="1" x14ac:dyDescent="0.15">
      <c r="A1192" s="84" t="s">
        <v>728</v>
      </c>
      <c r="B1192" s="87" t="s">
        <v>844</v>
      </c>
      <c r="C1192" s="87" t="s">
        <v>845</v>
      </c>
      <c r="D1192" s="87" t="s">
        <v>846</v>
      </c>
      <c r="E1192" s="82"/>
    </row>
    <row r="1193" spans="1:5" ht="20" customHeight="1" x14ac:dyDescent="0.15">
      <c r="A1193" s="84" t="s">
        <v>728</v>
      </c>
      <c r="B1193" s="87" t="s">
        <v>847</v>
      </c>
      <c r="C1193" s="87" t="s">
        <v>848</v>
      </c>
      <c r="D1193" s="87" t="s">
        <v>849</v>
      </c>
      <c r="E1193" s="82"/>
    </row>
    <row r="1194" spans="1:5" ht="20" customHeight="1" x14ac:dyDescent="0.15">
      <c r="A1194" s="84" t="s">
        <v>728</v>
      </c>
      <c r="B1194" s="87" t="s">
        <v>850</v>
      </c>
      <c r="C1194" s="87" t="s">
        <v>851</v>
      </c>
      <c r="D1194" s="87" t="s">
        <v>852</v>
      </c>
      <c r="E1194" s="82"/>
    </row>
    <row r="1195" spans="1:5" ht="20" customHeight="1" x14ac:dyDescent="0.15">
      <c r="A1195" s="84" t="s">
        <v>728</v>
      </c>
      <c r="B1195" s="87" t="s">
        <v>853</v>
      </c>
      <c r="C1195" s="87" t="s">
        <v>854</v>
      </c>
      <c r="D1195" s="87" t="s">
        <v>855</v>
      </c>
      <c r="E1195" s="82"/>
    </row>
    <row r="1196" spans="1:5" ht="20" customHeight="1" x14ac:dyDescent="0.15">
      <c r="A1196" s="84" t="s">
        <v>862</v>
      </c>
      <c r="B1196" s="87" t="s">
        <v>1046</v>
      </c>
      <c r="C1196" s="87" t="s">
        <v>1047</v>
      </c>
      <c r="D1196" s="87" t="s">
        <v>1048</v>
      </c>
      <c r="E1196" s="82"/>
    </row>
    <row r="1197" spans="1:5" ht="20" customHeight="1" x14ac:dyDescent="0.15">
      <c r="A1197" s="84" t="s">
        <v>728</v>
      </c>
      <c r="B1197" s="87" t="s">
        <v>856</v>
      </c>
      <c r="C1197" s="87" t="s">
        <v>857</v>
      </c>
      <c r="D1197" s="87" t="s">
        <v>858</v>
      </c>
      <c r="E1197" s="82"/>
    </row>
    <row r="1198" spans="1:5" ht="20" customHeight="1" x14ac:dyDescent="0.15">
      <c r="A1198" s="86" t="s">
        <v>213</v>
      </c>
      <c r="B1198" s="87" t="s">
        <v>456</v>
      </c>
      <c r="C1198" s="87" t="s">
        <v>457</v>
      </c>
      <c r="D1198" s="87" t="s">
        <v>458</v>
      </c>
      <c r="E1198" s="82"/>
    </row>
    <row r="1199" spans="1:5" ht="20" customHeight="1" x14ac:dyDescent="0.15">
      <c r="A1199" s="84" t="s">
        <v>471</v>
      </c>
      <c r="B1199" s="87" t="s">
        <v>710</v>
      </c>
      <c r="C1199" s="87" t="s">
        <v>711</v>
      </c>
      <c r="D1199" s="87" t="s">
        <v>712</v>
      </c>
      <c r="E1199" s="82"/>
    </row>
    <row r="1200" spans="1:5" ht="20" customHeight="1" x14ac:dyDescent="0.15">
      <c r="A1200" s="84" t="s">
        <v>213</v>
      </c>
      <c r="B1200" s="87" t="s">
        <v>459</v>
      </c>
      <c r="C1200" s="87" t="s">
        <v>460</v>
      </c>
      <c r="D1200" s="87" t="s">
        <v>461</v>
      </c>
      <c r="E1200" s="82"/>
    </row>
    <row r="1201" spans="1:5" ht="20" customHeight="1" x14ac:dyDescent="0.15">
      <c r="A1201" s="84" t="s">
        <v>213</v>
      </c>
      <c r="B1201" s="87" t="s">
        <v>462</v>
      </c>
      <c r="C1201" s="87" t="s">
        <v>463</v>
      </c>
      <c r="D1201" s="87" t="s">
        <v>464</v>
      </c>
      <c r="E1201" s="82"/>
    </row>
    <row r="1202" spans="1:5" ht="20" customHeight="1" x14ac:dyDescent="0.15">
      <c r="A1202" s="84" t="s">
        <v>213</v>
      </c>
      <c r="B1202" s="87" t="s">
        <v>465</v>
      </c>
      <c r="C1202" s="87" t="s">
        <v>466</v>
      </c>
      <c r="D1202" s="87" t="s">
        <v>467</v>
      </c>
      <c r="E1202" s="82"/>
    </row>
    <row r="1203" spans="1:5" ht="20" customHeight="1" x14ac:dyDescent="0.15">
      <c r="A1203" s="84" t="s">
        <v>213</v>
      </c>
      <c r="B1203" s="87" t="s">
        <v>468</v>
      </c>
      <c r="C1203" s="87" t="s">
        <v>469</v>
      </c>
      <c r="D1203" s="87" t="s">
        <v>470</v>
      </c>
      <c r="E1203" s="82"/>
    </row>
    <row r="1204" spans="1:5" ht="20" customHeight="1" x14ac:dyDescent="0.15">
      <c r="A1204" s="86" t="s">
        <v>471</v>
      </c>
      <c r="B1204" s="87" t="s">
        <v>713</v>
      </c>
      <c r="C1204" s="87" t="s">
        <v>714</v>
      </c>
      <c r="D1204" s="87" t="s">
        <v>715</v>
      </c>
      <c r="E1204" s="82"/>
    </row>
    <row r="1205" spans="1:5" ht="20" customHeight="1" x14ac:dyDescent="0.15">
      <c r="A1205" s="84"/>
      <c r="B1205" s="87" t="s">
        <v>1403</v>
      </c>
      <c r="C1205" s="87">
        <v>0</v>
      </c>
      <c r="D1205" s="87" t="s">
        <v>1404</v>
      </c>
      <c r="E1205" s="82"/>
    </row>
    <row r="1206" spans="1:5" ht="20" customHeight="1" x14ac:dyDescent="0.15">
      <c r="A1206" s="86" t="s">
        <v>471</v>
      </c>
      <c r="B1206" s="87" t="s">
        <v>716</v>
      </c>
      <c r="C1206" s="87" t="s">
        <v>717</v>
      </c>
      <c r="D1206" s="87" t="s">
        <v>718</v>
      </c>
      <c r="E1206" s="82"/>
    </row>
    <row r="1207" spans="1:5" ht="20" customHeight="1" x14ac:dyDescent="0.15">
      <c r="A1207" s="86" t="s">
        <v>471</v>
      </c>
      <c r="B1207" s="87" t="s">
        <v>719</v>
      </c>
      <c r="C1207" s="87" t="s">
        <v>720</v>
      </c>
      <c r="D1207" s="87" t="s">
        <v>721</v>
      </c>
      <c r="E1207" s="82"/>
    </row>
    <row r="1208" spans="1:5" ht="20" customHeight="1" x14ac:dyDescent="0.15">
      <c r="A1208" s="86" t="s">
        <v>471</v>
      </c>
      <c r="B1208" s="87" t="s">
        <v>722</v>
      </c>
      <c r="C1208" s="87" t="s">
        <v>723</v>
      </c>
      <c r="D1208" s="87" t="s">
        <v>724</v>
      </c>
      <c r="E1208" s="82"/>
    </row>
    <row r="1209" spans="1:5" ht="20" customHeight="1" x14ac:dyDescent="0.15">
      <c r="A1209" s="84" t="s">
        <v>862</v>
      </c>
      <c r="B1209" s="87" t="s">
        <v>1049</v>
      </c>
      <c r="C1209" s="87" t="s">
        <v>1050</v>
      </c>
      <c r="D1209" s="87" t="s">
        <v>1051</v>
      </c>
      <c r="E1209" s="82"/>
    </row>
    <row r="1210" spans="1:5" ht="20" customHeight="1" x14ac:dyDescent="0.15">
      <c r="A1210" s="84" t="s">
        <v>862</v>
      </c>
      <c r="B1210" s="87" t="s">
        <v>1052</v>
      </c>
      <c r="C1210" s="87" t="s">
        <v>1053</v>
      </c>
      <c r="D1210" s="87" t="s">
        <v>1054</v>
      </c>
      <c r="E1210" s="82"/>
    </row>
    <row r="1211" spans="1:5" ht="20" customHeight="1" x14ac:dyDescent="0.15">
      <c r="A1211" s="86"/>
      <c r="B1211" s="87" t="s">
        <v>1406</v>
      </c>
      <c r="C1211" s="87" t="s">
        <v>1407</v>
      </c>
      <c r="D1211" s="87" t="s">
        <v>1408</v>
      </c>
      <c r="E1211" s="82"/>
    </row>
    <row r="1212" spans="1:5" ht="20" customHeight="1" x14ac:dyDescent="0.15">
      <c r="A1212" s="84"/>
      <c r="B1212" s="87" t="s">
        <v>1409</v>
      </c>
      <c r="C1212" s="87" t="s">
        <v>1410</v>
      </c>
      <c r="D1212" s="87" t="s">
        <v>2249</v>
      </c>
      <c r="E1212" s="82"/>
    </row>
    <row r="1213" spans="1:5" ht="20" customHeight="1" x14ac:dyDescent="0.15">
      <c r="A1213" s="86" t="s">
        <v>471</v>
      </c>
      <c r="B1213" s="87" t="s">
        <v>725</v>
      </c>
      <c r="C1213" s="87" t="s">
        <v>726</v>
      </c>
      <c r="D1213" s="87" t="s">
        <v>727</v>
      </c>
      <c r="E1213" s="82"/>
    </row>
    <row r="1214" spans="1:5" ht="20" customHeight="1" x14ac:dyDescent="0.15">
      <c r="A1214" s="84" t="s">
        <v>862</v>
      </c>
      <c r="B1214" s="87" t="s">
        <v>1055</v>
      </c>
      <c r="C1214" s="87" t="s">
        <v>978</v>
      </c>
      <c r="D1214" s="87" t="s">
        <v>1055</v>
      </c>
      <c r="E1214" s="82"/>
    </row>
    <row r="1215" spans="1:5" ht="20" customHeight="1" x14ac:dyDescent="0.15">
      <c r="A1215" s="86" t="s">
        <v>78</v>
      </c>
      <c r="B1215" s="87" t="s">
        <v>84</v>
      </c>
      <c r="C1215" s="87" t="s">
        <v>85</v>
      </c>
      <c r="D1215" s="87" t="s">
        <v>1474</v>
      </c>
      <c r="E1215" s="82"/>
    </row>
    <row r="1216" spans="1:5" ht="20" customHeight="1" x14ac:dyDescent="0.15">
      <c r="A1216" s="86" t="s">
        <v>78</v>
      </c>
      <c r="B1216" s="87" t="s">
        <v>87</v>
      </c>
      <c r="C1216" s="87" t="s">
        <v>88</v>
      </c>
      <c r="D1216" s="87" t="s">
        <v>1475</v>
      </c>
      <c r="E1216" s="82"/>
    </row>
    <row r="1217" spans="1:5" ht="20" customHeight="1" x14ac:dyDescent="0.15">
      <c r="A1217" s="86" t="s">
        <v>78</v>
      </c>
      <c r="B1217" s="87" t="s">
        <v>90</v>
      </c>
      <c r="C1217" s="87" t="s">
        <v>91</v>
      </c>
      <c r="D1217" s="87" t="s">
        <v>92</v>
      </c>
      <c r="E1217" s="82"/>
    </row>
    <row r="1218" spans="1:5" ht="20" customHeight="1" x14ac:dyDescent="0.15">
      <c r="A1218" s="86" t="s">
        <v>78</v>
      </c>
      <c r="B1218" s="87" t="s">
        <v>93</v>
      </c>
      <c r="C1218" s="87" t="s">
        <v>94</v>
      </c>
      <c r="D1218" s="87" t="s">
        <v>95</v>
      </c>
      <c r="E1218" s="82"/>
    </row>
    <row r="1219" spans="1:5" ht="20" customHeight="1" x14ac:dyDescent="0.15">
      <c r="A1219" s="86" t="s">
        <v>78</v>
      </c>
      <c r="B1219" s="87" t="s">
        <v>96</v>
      </c>
      <c r="C1219" s="87" t="s">
        <v>97</v>
      </c>
      <c r="D1219" s="87" t="s">
        <v>98</v>
      </c>
      <c r="E1219" s="82"/>
    </row>
    <row r="1220" spans="1:5" ht="20" customHeight="1" x14ac:dyDescent="0.15">
      <c r="A1220" s="86" t="s">
        <v>78</v>
      </c>
      <c r="B1220" s="87" t="s">
        <v>99</v>
      </c>
      <c r="C1220" s="87" t="s">
        <v>100</v>
      </c>
      <c r="D1220" s="87" t="s">
        <v>101</v>
      </c>
      <c r="E1220" s="82"/>
    </row>
    <row r="1221" spans="1:5" ht="20" customHeight="1" x14ac:dyDescent="0.15">
      <c r="A1221" s="86" t="s">
        <v>78</v>
      </c>
      <c r="B1221" s="87" t="s">
        <v>102</v>
      </c>
      <c r="C1221" s="87" t="s">
        <v>103</v>
      </c>
      <c r="D1221" s="87" t="s">
        <v>104</v>
      </c>
      <c r="E1221" s="82"/>
    </row>
    <row r="1222" spans="1:5" ht="20" customHeight="1" x14ac:dyDescent="0.15">
      <c r="A1222" s="86" t="s">
        <v>78</v>
      </c>
      <c r="B1222" s="87" t="s">
        <v>105</v>
      </c>
      <c r="C1222" s="87" t="s">
        <v>106</v>
      </c>
      <c r="D1222" s="87" t="s">
        <v>107</v>
      </c>
      <c r="E1222" s="82"/>
    </row>
    <row r="1223" spans="1:5" ht="20" customHeight="1" x14ac:dyDescent="0.15">
      <c r="A1223" s="86" t="s">
        <v>78</v>
      </c>
      <c r="B1223" s="87" t="s">
        <v>108</v>
      </c>
      <c r="C1223" s="87" t="s">
        <v>109</v>
      </c>
      <c r="D1223" s="87" t="s">
        <v>1574</v>
      </c>
      <c r="E1223" s="82"/>
    </row>
    <row r="1224" spans="1:5" ht="20" customHeight="1" x14ac:dyDescent="0.15">
      <c r="A1224" s="86" t="s">
        <v>78</v>
      </c>
      <c r="B1224" s="87" t="s">
        <v>111</v>
      </c>
      <c r="C1224" s="87" t="s">
        <v>112</v>
      </c>
      <c r="D1224" s="87" t="s">
        <v>1573</v>
      </c>
      <c r="E1224" s="82"/>
    </row>
    <row r="1225" spans="1:5" ht="20" customHeight="1" x14ac:dyDescent="0.15">
      <c r="A1225" s="86" t="s">
        <v>78</v>
      </c>
      <c r="B1225" s="87" t="s">
        <v>114</v>
      </c>
      <c r="C1225" s="87" t="s">
        <v>115</v>
      </c>
      <c r="D1225" s="87" t="s">
        <v>116</v>
      </c>
      <c r="E1225" s="82"/>
    </row>
    <row r="1226" spans="1:5" ht="20" customHeight="1" x14ac:dyDescent="0.15">
      <c r="A1226" s="86" t="s">
        <v>78</v>
      </c>
      <c r="B1226" s="87" t="s">
        <v>117</v>
      </c>
      <c r="C1226" s="87" t="s">
        <v>118</v>
      </c>
      <c r="D1226" s="87" t="s">
        <v>1572</v>
      </c>
      <c r="E1226" s="82"/>
    </row>
    <row r="1227" spans="1:5" ht="20" customHeight="1" x14ac:dyDescent="0.15">
      <c r="A1227" s="86" t="s">
        <v>78</v>
      </c>
      <c r="B1227" s="87" t="s">
        <v>2117</v>
      </c>
      <c r="C1227" s="87" t="s">
        <v>1101</v>
      </c>
      <c r="D1227" s="87" t="s">
        <v>2118</v>
      </c>
      <c r="E1227" s="82"/>
    </row>
    <row r="1228" spans="1:5" ht="20" customHeight="1" x14ac:dyDescent="0.15">
      <c r="A1228" s="86" t="s">
        <v>78</v>
      </c>
      <c r="B1228" s="87" t="s">
        <v>1106</v>
      </c>
      <c r="C1228" s="87" t="s">
        <v>1107</v>
      </c>
      <c r="D1228" s="87" t="s">
        <v>1108</v>
      </c>
      <c r="E1228" s="82"/>
    </row>
    <row r="1229" spans="1:5" ht="20" customHeight="1" x14ac:dyDescent="0.15">
      <c r="A1229" s="86" t="s">
        <v>78</v>
      </c>
      <c r="B1229" s="87" t="s">
        <v>1123</v>
      </c>
      <c r="C1229" s="87" t="s">
        <v>1124</v>
      </c>
      <c r="D1229" s="87" t="s">
        <v>2120</v>
      </c>
      <c r="E1229" s="82"/>
    </row>
    <row r="1230" spans="1:5" ht="20" customHeight="1" x14ac:dyDescent="0.15">
      <c r="A1230" s="84" t="s">
        <v>859</v>
      </c>
      <c r="B1230" s="87" t="s">
        <v>860</v>
      </c>
      <c r="C1230" s="87">
        <v>0</v>
      </c>
      <c r="D1230" s="87" t="s">
        <v>861</v>
      </c>
      <c r="E1230" s="82"/>
    </row>
    <row r="1231" spans="1:5" ht="20" customHeight="1" x14ac:dyDescent="0.15">
      <c r="A1231" s="86" t="s">
        <v>862</v>
      </c>
      <c r="B1231" s="87" t="s">
        <v>1097</v>
      </c>
      <c r="C1231" s="87" t="s">
        <v>1098</v>
      </c>
      <c r="D1231" s="87" t="s">
        <v>1099</v>
      </c>
      <c r="E1231" s="82"/>
    </row>
    <row r="1232" spans="1:5" ht="20" customHeight="1" x14ac:dyDescent="0.15">
      <c r="A1232" s="86" t="s">
        <v>213</v>
      </c>
      <c r="B1232" s="87" t="s">
        <v>1103</v>
      </c>
      <c r="C1232" s="87" t="s">
        <v>1104</v>
      </c>
      <c r="D1232" s="87" t="s">
        <v>1105</v>
      </c>
      <c r="E1232" s="82"/>
    </row>
    <row r="1233" spans="1:5" ht="20" customHeight="1" x14ac:dyDescent="0.15">
      <c r="A1233" s="84" t="s">
        <v>862</v>
      </c>
      <c r="B1233" s="87" t="s">
        <v>868</v>
      </c>
      <c r="C1233" s="87" t="s">
        <v>869</v>
      </c>
      <c r="D1233" s="87" t="s">
        <v>870</v>
      </c>
      <c r="E1233" s="82"/>
    </row>
    <row r="1234" spans="1:5" ht="20" customHeight="1" x14ac:dyDescent="0.15">
      <c r="A1234" s="86" t="s">
        <v>862</v>
      </c>
      <c r="B1234" s="87" t="s">
        <v>1109</v>
      </c>
      <c r="C1234" s="87" t="s">
        <v>1110</v>
      </c>
      <c r="D1234" s="87" t="s">
        <v>1111</v>
      </c>
      <c r="E1234" s="82"/>
    </row>
    <row r="1235" spans="1:5" ht="20" customHeight="1" x14ac:dyDescent="0.15">
      <c r="A1235" s="86" t="s">
        <v>213</v>
      </c>
      <c r="B1235" s="87" t="s">
        <v>244</v>
      </c>
      <c r="C1235" s="87" t="s">
        <v>245</v>
      </c>
      <c r="D1235" s="87" t="s">
        <v>246</v>
      </c>
      <c r="E1235" s="82"/>
    </row>
    <row r="1236" spans="1:5" ht="20" customHeight="1" x14ac:dyDescent="0.15">
      <c r="A1236" s="86" t="s">
        <v>213</v>
      </c>
      <c r="B1236" s="87" t="s">
        <v>221</v>
      </c>
      <c r="C1236" s="87" t="s">
        <v>222</v>
      </c>
      <c r="D1236" s="87" t="s">
        <v>223</v>
      </c>
      <c r="E1236" s="82"/>
    </row>
    <row r="1237" spans="1:5" ht="20" customHeight="1" x14ac:dyDescent="0.15">
      <c r="A1237" s="86" t="s">
        <v>213</v>
      </c>
      <c r="B1237" s="87" t="s">
        <v>247</v>
      </c>
      <c r="C1237" s="87" t="s">
        <v>248</v>
      </c>
      <c r="D1237" s="87" t="s">
        <v>249</v>
      </c>
      <c r="E1237" s="82"/>
    </row>
    <row r="1238" spans="1:5" ht="20" customHeight="1" x14ac:dyDescent="0.15">
      <c r="A1238" s="86" t="s">
        <v>471</v>
      </c>
      <c r="B1238" s="87" t="s">
        <v>474</v>
      </c>
      <c r="C1238" s="87" t="s">
        <v>475</v>
      </c>
      <c r="D1238" s="87" t="s">
        <v>476</v>
      </c>
      <c r="E1238" s="82"/>
    </row>
    <row r="1239" spans="1:5" ht="20" customHeight="1" x14ac:dyDescent="0.15">
      <c r="A1239" s="86" t="s">
        <v>471</v>
      </c>
      <c r="B1239" s="87" t="s">
        <v>477</v>
      </c>
      <c r="C1239" s="87" t="s">
        <v>478</v>
      </c>
      <c r="D1239" s="87" t="s">
        <v>479</v>
      </c>
      <c r="E1239" s="82"/>
    </row>
    <row r="1240" spans="1:5" ht="20" customHeight="1" x14ac:dyDescent="0.15">
      <c r="A1240" s="86" t="s">
        <v>213</v>
      </c>
      <c r="B1240" s="87" t="s">
        <v>224</v>
      </c>
      <c r="C1240" s="87" t="s">
        <v>225</v>
      </c>
      <c r="D1240" s="87" t="s">
        <v>226</v>
      </c>
      <c r="E1240" s="82"/>
    </row>
    <row r="1241" spans="1:5" ht="20" customHeight="1" x14ac:dyDescent="0.15">
      <c r="A1241" s="86" t="s">
        <v>862</v>
      </c>
      <c r="B1241" s="87" t="s">
        <v>2270</v>
      </c>
      <c r="C1241" s="87" t="s">
        <v>1113</v>
      </c>
      <c r="D1241" s="87" t="s">
        <v>2271</v>
      </c>
      <c r="E1241" s="82"/>
    </row>
    <row r="1242" spans="1:5" ht="20" customHeight="1" x14ac:dyDescent="0.15">
      <c r="A1242" s="86" t="s">
        <v>213</v>
      </c>
      <c r="B1242" s="87" t="s">
        <v>250</v>
      </c>
      <c r="C1242" s="87" t="s">
        <v>251</v>
      </c>
      <c r="D1242" s="87" t="s">
        <v>252</v>
      </c>
      <c r="E1242" s="82"/>
    </row>
    <row r="1243" spans="1:5" ht="20" customHeight="1" x14ac:dyDescent="0.15">
      <c r="A1243" s="86" t="s">
        <v>471</v>
      </c>
      <c r="B1243" s="87" t="s">
        <v>480</v>
      </c>
      <c r="C1243" s="87" t="s">
        <v>481</v>
      </c>
      <c r="D1243" s="87" t="s">
        <v>482</v>
      </c>
      <c r="E1243" s="82"/>
    </row>
    <row r="1244" spans="1:5" ht="20" customHeight="1" x14ac:dyDescent="0.15">
      <c r="A1244" s="86" t="s">
        <v>213</v>
      </c>
      <c r="B1244" s="87" t="s">
        <v>227</v>
      </c>
      <c r="C1244" s="87" t="s">
        <v>228</v>
      </c>
      <c r="D1244" s="87" t="s">
        <v>229</v>
      </c>
      <c r="E1244" s="82"/>
    </row>
    <row r="1245" spans="1:5" ht="20" customHeight="1" x14ac:dyDescent="0.15">
      <c r="A1245" s="86" t="s">
        <v>471</v>
      </c>
      <c r="B1245" s="87" t="s">
        <v>483</v>
      </c>
      <c r="C1245" s="87" t="s">
        <v>484</v>
      </c>
      <c r="D1245" s="87" t="s">
        <v>485</v>
      </c>
      <c r="E1245" s="82"/>
    </row>
    <row r="1246" spans="1:5" ht="20" customHeight="1" x14ac:dyDescent="0.15">
      <c r="A1246" s="86" t="s">
        <v>213</v>
      </c>
      <c r="B1246" s="87" t="s">
        <v>230</v>
      </c>
      <c r="C1246" s="87" t="s">
        <v>231</v>
      </c>
      <c r="D1246" s="87" t="s">
        <v>232</v>
      </c>
      <c r="E1246" s="82"/>
    </row>
    <row r="1247" spans="1:5" ht="20" customHeight="1" x14ac:dyDescent="0.15">
      <c r="A1247" s="86" t="s">
        <v>471</v>
      </c>
      <c r="B1247" s="87" t="s">
        <v>486</v>
      </c>
      <c r="C1247" s="87" t="s">
        <v>487</v>
      </c>
      <c r="D1247" s="87" t="s">
        <v>488</v>
      </c>
      <c r="E1247" s="82"/>
    </row>
    <row r="1248" spans="1:5" ht="20" customHeight="1" x14ac:dyDescent="0.15">
      <c r="A1248" s="86" t="s">
        <v>213</v>
      </c>
      <c r="B1248" s="87" t="s">
        <v>253</v>
      </c>
      <c r="C1248" s="87" t="s">
        <v>254</v>
      </c>
      <c r="D1248" s="87" t="s">
        <v>255</v>
      </c>
      <c r="E1248" s="82"/>
    </row>
    <row r="1249" spans="1:5" ht="20" customHeight="1" x14ac:dyDescent="0.15">
      <c r="A1249" s="86" t="s">
        <v>213</v>
      </c>
      <c r="B1249" s="87" t="s">
        <v>256</v>
      </c>
      <c r="C1249" s="87" t="s">
        <v>257</v>
      </c>
      <c r="D1249" s="87" t="s">
        <v>258</v>
      </c>
      <c r="E1249" s="82"/>
    </row>
    <row r="1250" spans="1:5" ht="20" customHeight="1" x14ac:dyDescent="0.15">
      <c r="A1250" s="86" t="s">
        <v>213</v>
      </c>
      <c r="B1250" s="87" t="s">
        <v>259</v>
      </c>
      <c r="C1250" s="87" t="s">
        <v>260</v>
      </c>
      <c r="D1250" s="87" t="s">
        <v>261</v>
      </c>
      <c r="E1250" s="82"/>
    </row>
    <row r="1251" spans="1:5" ht="20" customHeight="1" x14ac:dyDescent="0.15">
      <c r="A1251" s="86" t="s">
        <v>471</v>
      </c>
      <c r="B1251" s="87" t="s">
        <v>489</v>
      </c>
      <c r="C1251" s="87" t="s">
        <v>490</v>
      </c>
      <c r="D1251" s="87" t="s">
        <v>491</v>
      </c>
      <c r="E1251" s="82"/>
    </row>
    <row r="1252" spans="1:5" ht="20" customHeight="1" x14ac:dyDescent="0.15">
      <c r="A1252" s="86" t="s">
        <v>471</v>
      </c>
      <c r="B1252" s="87" t="s">
        <v>492</v>
      </c>
      <c r="C1252" s="87" t="s">
        <v>493</v>
      </c>
      <c r="D1252" s="87" t="s">
        <v>494</v>
      </c>
      <c r="E1252" s="82"/>
    </row>
    <row r="1253" spans="1:5" ht="20" customHeight="1" x14ac:dyDescent="0.15">
      <c r="A1253" s="86" t="s">
        <v>213</v>
      </c>
      <c r="B1253" s="87" t="s">
        <v>262</v>
      </c>
      <c r="C1253" s="87" t="s">
        <v>263</v>
      </c>
      <c r="D1253" s="87" t="s">
        <v>1608</v>
      </c>
      <c r="E1253" s="82"/>
    </row>
    <row r="1254" spans="1:5" ht="20" customHeight="1" x14ac:dyDescent="0.15">
      <c r="A1254" s="86" t="s">
        <v>213</v>
      </c>
      <c r="B1254" s="87" t="s">
        <v>265</v>
      </c>
      <c r="C1254" s="87"/>
      <c r="D1254" s="87" t="s">
        <v>266</v>
      </c>
      <c r="E1254" s="82"/>
    </row>
    <row r="1255" spans="1:5" ht="20" customHeight="1" x14ac:dyDescent="0.15">
      <c r="A1255" s="86" t="s">
        <v>213</v>
      </c>
      <c r="B1255" s="87" t="s">
        <v>267</v>
      </c>
      <c r="C1255" s="87" t="s">
        <v>268</v>
      </c>
      <c r="D1255" s="87" t="s">
        <v>269</v>
      </c>
      <c r="E1255" s="82"/>
    </row>
    <row r="1256" spans="1:5" ht="20" customHeight="1" x14ac:dyDescent="0.15">
      <c r="A1256" s="86" t="s">
        <v>471</v>
      </c>
      <c r="B1256" s="87" t="s">
        <v>495</v>
      </c>
      <c r="C1256" s="87" t="s">
        <v>496</v>
      </c>
      <c r="D1256" s="87" t="s">
        <v>497</v>
      </c>
      <c r="E1256" s="82"/>
    </row>
    <row r="1257" spans="1:5" ht="20" customHeight="1" x14ac:dyDescent="0.15">
      <c r="A1257" s="84" t="s">
        <v>862</v>
      </c>
      <c r="B1257" s="87" t="s">
        <v>871</v>
      </c>
      <c r="C1257" s="87">
        <v>0</v>
      </c>
      <c r="D1257" s="87" t="s">
        <v>872</v>
      </c>
      <c r="E1257" s="82"/>
    </row>
    <row r="1258" spans="1:5" ht="20" customHeight="1" x14ac:dyDescent="0.15">
      <c r="A1258" s="86" t="s">
        <v>471</v>
      </c>
      <c r="B1258" s="87" t="s">
        <v>498</v>
      </c>
      <c r="C1258" s="87"/>
      <c r="D1258" s="87" t="s">
        <v>499</v>
      </c>
      <c r="E1258" s="82"/>
    </row>
    <row r="1259" spans="1:5" ht="20" customHeight="1" x14ac:dyDescent="0.15">
      <c r="A1259" s="86" t="s">
        <v>471</v>
      </c>
      <c r="B1259" s="87" t="s">
        <v>500</v>
      </c>
      <c r="C1259" s="87"/>
      <c r="D1259" s="87" t="s">
        <v>501</v>
      </c>
      <c r="E1259" s="82"/>
    </row>
    <row r="1260" spans="1:5" ht="20" customHeight="1" x14ac:dyDescent="0.15">
      <c r="A1260" s="86" t="s">
        <v>213</v>
      </c>
      <c r="B1260" s="87" t="s">
        <v>270</v>
      </c>
      <c r="C1260" s="87" t="s">
        <v>271</v>
      </c>
      <c r="D1260" s="87" t="s">
        <v>272</v>
      </c>
      <c r="E1260" s="82"/>
    </row>
    <row r="1261" spans="1:5" ht="20" customHeight="1" x14ac:dyDescent="0.15">
      <c r="A1261" s="86" t="s">
        <v>213</v>
      </c>
      <c r="B1261" s="87" t="s">
        <v>273</v>
      </c>
      <c r="C1261" s="87" t="s">
        <v>274</v>
      </c>
      <c r="D1261" s="87" t="s">
        <v>275</v>
      </c>
      <c r="E1261" s="82"/>
    </row>
    <row r="1262" spans="1:5" ht="20" customHeight="1" x14ac:dyDescent="0.15">
      <c r="A1262" s="86" t="s">
        <v>728</v>
      </c>
      <c r="B1262" s="87" t="s">
        <v>1126</v>
      </c>
      <c r="C1262" s="87">
        <v>0</v>
      </c>
      <c r="D1262" s="87" t="s">
        <v>1127</v>
      </c>
      <c r="E1262" s="82"/>
    </row>
    <row r="1263" spans="1:5" ht="20" customHeight="1" x14ac:dyDescent="0.15">
      <c r="A1263" s="86" t="s">
        <v>471</v>
      </c>
      <c r="B1263" s="87" t="s">
        <v>502</v>
      </c>
      <c r="C1263" s="87"/>
      <c r="D1263" s="87" t="s">
        <v>503</v>
      </c>
      <c r="E1263" s="82"/>
    </row>
    <row r="1264" spans="1:5" ht="20" customHeight="1" x14ac:dyDescent="0.15">
      <c r="A1264" s="84" t="s">
        <v>728</v>
      </c>
      <c r="B1264" s="87" t="s">
        <v>729</v>
      </c>
      <c r="C1264" s="87">
        <v>0</v>
      </c>
      <c r="D1264" s="87" t="s">
        <v>730</v>
      </c>
      <c r="E1264" s="82"/>
    </row>
    <row r="1265" spans="1:8" ht="20" customHeight="1" x14ac:dyDescent="0.15">
      <c r="A1265" s="89"/>
      <c r="B1265" s="80" t="s">
        <v>2281</v>
      </c>
      <c r="C1265" s="80"/>
      <c r="D1265" s="80"/>
      <c r="E1265" s="80"/>
      <c r="F1265" s="80"/>
      <c r="G1265" s="80"/>
      <c r="H1265" s="80"/>
    </row>
    <row r="1266" spans="1:8" ht="20" customHeight="1" x14ac:dyDescent="0.15">
      <c r="A1266" s="89"/>
      <c r="B1266" s="87" t="s">
        <v>79</v>
      </c>
      <c r="C1266" s="87" t="s">
        <v>80</v>
      </c>
      <c r="D1266" s="87" t="s">
        <v>1488</v>
      </c>
      <c r="E1266" s="82" t="s">
        <v>2677</v>
      </c>
    </row>
    <row r="1267" spans="1:8" ht="20" customHeight="1" x14ac:dyDescent="0.15">
      <c r="A1267" s="89"/>
      <c r="B1267" s="87" t="s">
        <v>2285</v>
      </c>
      <c r="C1267" s="87"/>
      <c r="D1267" s="87"/>
      <c r="E1267" s="82"/>
    </row>
    <row r="1268" spans="1:8" ht="20" customHeight="1" x14ac:dyDescent="0.15">
      <c r="A1268" s="89"/>
      <c r="B1268" s="87" t="s">
        <v>2286</v>
      </c>
      <c r="C1268" s="87"/>
      <c r="D1268" s="87"/>
      <c r="E1268" s="82"/>
    </row>
    <row r="1269" spans="1:8" ht="20" customHeight="1" x14ac:dyDescent="0.15">
      <c r="A1269" s="89"/>
      <c r="B1269" s="87" t="s">
        <v>2288</v>
      </c>
      <c r="C1269" s="87"/>
      <c r="D1269" s="87"/>
      <c r="E1269" s="82"/>
    </row>
    <row r="1270" spans="1:8" ht="20" customHeight="1" x14ac:dyDescent="0.15">
      <c r="A1270" s="89"/>
      <c r="B1270" s="87" t="s">
        <v>216</v>
      </c>
      <c r="C1270" s="87"/>
      <c r="D1270" s="87"/>
      <c r="E1270" s="82"/>
    </row>
    <row r="1271" spans="1:8" ht="20" customHeight="1" x14ac:dyDescent="0.15">
      <c r="A1271" s="89"/>
      <c r="B1271" s="87" t="s">
        <v>2293</v>
      </c>
      <c r="C1271" s="87"/>
      <c r="D1271" s="87"/>
      <c r="E1271" s="82"/>
    </row>
    <row r="1272" spans="1:8" ht="20" customHeight="1" x14ac:dyDescent="0.15">
      <c r="A1272" s="89"/>
      <c r="B1272" s="87" t="s">
        <v>2294</v>
      </c>
      <c r="C1272" s="87"/>
      <c r="D1272" s="87"/>
      <c r="E1272" s="82"/>
    </row>
    <row r="1273" spans="1:8" ht="20" customHeight="1" x14ac:dyDescent="0.15">
      <c r="A1273" s="89"/>
      <c r="B1273" s="87" t="s">
        <v>2295</v>
      </c>
      <c r="C1273" s="87"/>
      <c r="D1273" s="87"/>
      <c r="E1273" s="82"/>
    </row>
    <row r="1274" spans="1:8" ht="20" customHeight="1" x14ac:dyDescent="0.15">
      <c r="A1274" s="89"/>
      <c r="B1274" s="87" t="s">
        <v>2296</v>
      </c>
      <c r="C1274" s="87"/>
      <c r="D1274" s="87"/>
      <c r="E1274" s="82"/>
    </row>
    <row r="1275" spans="1:8" ht="20" customHeight="1" x14ac:dyDescent="0.15">
      <c r="A1275" s="89"/>
      <c r="B1275" s="87" t="s">
        <v>2301</v>
      </c>
      <c r="C1275" s="87"/>
      <c r="D1275" s="87"/>
      <c r="E1275" s="82"/>
    </row>
    <row r="1276" spans="1:8" ht="20" customHeight="1" x14ac:dyDescent="0.15">
      <c r="A1276" s="89"/>
      <c r="B1276" s="87" t="s">
        <v>2304</v>
      </c>
      <c r="C1276" s="87"/>
      <c r="D1276" s="87"/>
      <c r="E1276" s="82"/>
    </row>
    <row r="1277" spans="1:8" ht="20" customHeight="1" x14ac:dyDescent="0.15">
      <c r="A1277" s="89"/>
      <c r="B1277" s="87" t="s">
        <v>2528</v>
      </c>
      <c r="C1277" s="87"/>
      <c r="D1277" s="87"/>
      <c r="E1277" s="82"/>
    </row>
    <row r="1278" spans="1:8" ht="20" customHeight="1" x14ac:dyDescent="0.15">
      <c r="A1278" s="89"/>
      <c r="B1278" s="87" t="s">
        <v>2311</v>
      </c>
      <c r="C1278" s="87"/>
      <c r="D1278" s="87"/>
      <c r="E1278" s="82"/>
    </row>
    <row r="1279" spans="1:8" ht="20" customHeight="1" x14ac:dyDescent="0.15">
      <c r="A1279" s="89"/>
      <c r="B1279" s="87" t="s">
        <v>1633</v>
      </c>
      <c r="C1279" s="87"/>
      <c r="D1279" s="87"/>
      <c r="E1279" s="82"/>
    </row>
    <row r="1280" spans="1:8" ht="20" customHeight="1" x14ac:dyDescent="0.15">
      <c r="A1280" s="89"/>
      <c r="B1280" s="87" t="s">
        <v>2319</v>
      </c>
      <c r="C1280" s="87"/>
      <c r="D1280" s="87"/>
      <c r="E1280" s="82"/>
    </row>
    <row r="1281" spans="1:5" ht="20" customHeight="1" x14ac:dyDescent="0.15">
      <c r="A1281" s="89"/>
      <c r="B1281" s="87" t="s">
        <v>5755</v>
      </c>
      <c r="C1281" s="87"/>
      <c r="D1281" s="87"/>
      <c r="E1281" s="82"/>
    </row>
    <row r="1282" spans="1:5" ht="20" customHeight="1" x14ac:dyDescent="0.15">
      <c r="A1282" s="89"/>
      <c r="B1282" s="87" t="s">
        <v>2529</v>
      </c>
      <c r="C1282" s="87"/>
      <c r="D1282" s="87"/>
      <c r="E1282" s="82"/>
    </row>
    <row r="1283" spans="1:5" ht="20" customHeight="1" x14ac:dyDescent="0.15">
      <c r="A1283" s="89"/>
      <c r="B1283" s="87" t="s">
        <v>2128</v>
      </c>
      <c r="C1283" s="87"/>
      <c r="D1283" s="87"/>
      <c r="E1283" s="82"/>
    </row>
    <row r="1284" spans="1:5" ht="20" customHeight="1" x14ac:dyDescent="0.15">
      <c r="A1284" s="89"/>
      <c r="B1284" s="87" t="s">
        <v>2131</v>
      </c>
      <c r="C1284" s="87"/>
      <c r="D1284" s="87"/>
      <c r="E1284" s="82"/>
    </row>
    <row r="1285" spans="1:5" ht="20" customHeight="1" x14ac:dyDescent="0.15">
      <c r="A1285" s="89"/>
      <c r="B1285" s="87" t="s">
        <v>2132</v>
      </c>
      <c r="C1285" s="87"/>
      <c r="D1285" s="87"/>
      <c r="E1285" s="82"/>
    </row>
    <row r="1286" spans="1:5" ht="20" customHeight="1" x14ac:dyDescent="0.15">
      <c r="A1286" s="89"/>
      <c r="B1286" s="87" t="s">
        <v>2139</v>
      </c>
      <c r="C1286" s="87"/>
      <c r="D1286" s="87"/>
      <c r="E1286" s="82"/>
    </row>
    <row r="1287" spans="1:5" ht="20" customHeight="1" x14ac:dyDescent="0.15">
      <c r="A1287" s="89"/>
      <c r="B1287" s="87" t="s">
        <v>2326</v>
      </c>
      <c r="C1287" s="87"/>
      <c r="D1287" s="87"/>
      <c r="E1287" s="82"/>
    </row>
    <row r="1288" spans="1:5" ht="20" customHeight="1" x14ac:dyDescent="0.15">
      <c r="A1288" s="89"/>
      <c r="B1288" s="87" t="s">
        <v>2335</v>
      </c>
      <c r="C1288" s="87"/>
      <c r="D1288" s="87"/>
      <c r="E1288" s="82"/>
    </row>
    <row r="1289" spans="1:5" ht="20" customHeight="1" x14ac:dyDescent="0.15">
      <c r="A1289" s="89"/>
      <c r="B1289" s="87" t="s">
        <v>2336</v>
      </c>
      <c r="C1289" s="87"/>
      <c r="D1289" s="87"/>
      <c r="E1289" s="82"/>
    </row>
    <row r="1290" spans="1:5" ht="20" customHeight="1" x14ac:dyDescent="0.15">
      <c r="A1290" s="89"/>
      <c r="B1290" s="87" t="s">
        <v>2353</v>
      </c>
      <c r="C1290" s="87"/>
      <c r="D1290" s="87"/>
      <c r="E1290" s="82"/>
    </row>
    <row r="1291" spans="1:5" ht="20" customHeight="1" x14ac:dyDescent="0.15">
      <c r="A1291" s="89"/>
      <c r="B1291" s="87" t="s">
        <v>2354</v>
      </c>
      <c r="C1291" s="87"/>
      <c r="D1291" s="87"/>
      <c r="E1291" s="82"/>
    </row>
    <row r="1292" spans="1:5" ht="20" customHeight="1" x14ac:dyDescent="0.15">
      <c r="A1292" s="89"/>
      <c r="B1292" s="87" t="s">
        <v>2390</v>
      </c>
      <c r="C1292" s="87"/>
      <c r="D1292" s="87"/>
      <c r="E1292" s="82"/>
    </row>
    <row r="1293" spans="1:5" ht="20" customHeight="1" x14ac:dyDescent="0.15">
      <c r="A1293" s="89"/>
      <c r="B1293" s="87" t="s">
        <v>2391</v>
      </c>
      <c r="C1293" s="87"/>
      <c r="D1293" s="87"/>
      <c r="E1293" s="82"/>
    </row>
    <row r="1294" spans="1:5" ht="20" customHeight="1" x14ac:dyDescent="0.15">
      <c r="A1294" s="89"/>
      <c r="B1294" s="87" t="s">
        <v>2394</v>
      </c>
      <c r="C1294" s="87"/>
      <c r="D1294" s="87"/>
      <c r="E1294" s="82"/>
    </row>
    <row r="1295" spans="1:5" ht="20" customHeight="1" x14ac:dyDescent="0.15">
      <c r="A1295" s="89"/>
      <c r="B1295" s="87" t="s">
        <v>2401</v>
      </c>
      <c r="C1295" s="87"/>
      <c r="D1295" s="87"/>
      <c r="E1295" s="82"/>
    </row>
    <row r="1296" spans="1:5" ht="20" customHeight="1" x14ac:dyDescent="0.15">
      <c r="A1296" s="89"/>
      <c r="B1296" s="87" t="s">
        <v>1284</v>
      </c>
      <c r="C1296" s="87"/>
      <c r="D1296" s="87"/>
      <c r="E1296" s="82"/>
    </row>
    <row r="1297" spans="1:5" ht="20" customHeight="1" x14ac:dyDescent="0.15">
      <c r="A1297" s="89"/>
      <c r="B1297" s="87" t="s">
        <v>2409</v>
      </c>
      <c r="C1297" s="87"/>
      <c r="D1297" s="87"/>
      <c r="E1297" s="82"/>
    </row>
    <row r="1298" spans="1:5" ht="20" customHeight="1" x14ac:dyDescent="0.15">
      <c r="A1298" s="89"/>
      <c r="B1298" s="87" t="s">
        <v>2411</v>
      </c>
      <c r="C1298" s="87"/>
      <c r="D1298" s="87"/>
      <c r="E1298" s="82"/>
    </row>
    <row r="1299" spans="1:5" ht="20" customHeight="1" x14ac:dyDescent="0.15">
      <c r="A1299" s="89"/>
      <c r="B1299" s="87" t="s">
        <v>628</v>
      </c>
      <c r="C1299" s="87"/>
      <c r="D1299" s="87"/>
      <c r="E1299" s="82"/>
    </row>
    <row r="1300" spans="1:5" ht="20" customHeight="1" x14ac:dyDescent="0.15">
      <c r="A1300" s="89"/>
      <c r="B1300" s="87" t="s">
        <v>2766</v>
      </c>
      <c r="C1300" s="87" t="s">
        <v>143</v>
      </c>
      <c r="D1300" s="87"/>
      <c r="E1300" s="82"/>
    </row>
    <row r="1301" spans="1:5" ht="20" customHeight="1" x14ac:dyDescent="0.15">
      <c r="A1301" s="89"/>
      <c r="B1301" s="87" t="s">
        <v>631</v>
      </c>
      <c r="C1301" s="87"/>
      <c r="D1301" s="87"/>
      <c r="E1301" s="82"/>
    </row>
    <row r="1302" spans="1:5" ht="20" customHeight="1" x14ac:dyDescent="0.15">
      <c r="A1302" s="89"/>
      <c r="B1302" s="87" t="s">
        <v>233</v>
      </c>
      <c r="C1302" s="87"/>
      <c r="D1302" s="87"/>
      <c r="E1302" s="82"/>
    </row>
    <row r="1303" spans="1:5" ht="20" customHeight="1" x14ac:dyDescent="0.15">
      <c r="A1303" s="89"/>
      <c r="B1303" s="87" t="s">
        <v>236</v>
      </c>
      <c r="C1303" s="87"/>
      <c r="D1303" s="87"/>
      <c r="E1303" s="82"/>
    </row>
    <row r="1304" spans="1:5" ht="20" customHeight="1" x14ac:dyDescent="0.15">
      <c r="A1304" s="89"/>
      <c r="B1304" s="87" t="s">
        <v>634</v>
      </c>
      <c r="C1304" s="87"/>
      <c r="D1304" s="87"/>
      <c r="E1304" s="82"/>
    </row>
    <row r="1305" spans="1:5" ht="20" customHeight="1" x14ac:dyDescent="0.15">
      <c r="A1305" s="89"/>
      <c r="B1305" s="87" t="s">
        <v>2414</v>
      </c>
      <c r="C1305" s="87"/>
      <c r="D1305" s="87"/>
      <c r="E1305" s="82"/>
    </row>
    <row r="1306" spans="1:5" ht="20" customHeight="1" x14ac:dyDescent="0.15">
      <c r="A1306" s="89"/>
      <c r="B1306" s="87" t="s">
        <v>2418</v>
      </c>
      <c r="C1306" s="87"/>
      <c r="D1306" s="87"/>
      <c r="E1306" s="82"/>
    </row>
    <row r="1307" spans="1:5" ht="20" customHeight="1" x14ac:dyDescent="0.15">
      <c r="A1307" s="89"/>
      <c r="B1307" s="87" t="s">
        <v>2424</v>
      </c>
      <c r="C1307" s="87"/>
      <c r="D1307" s="87"/>
      <c r="E1307" s="82"/>
    </row>
    <row r="1308" spans="1:5" ht="20" customHeight="1" x14ac:dyDescent="0.15">
      <c r="A1308" s="89"/>
      <c r="B1308" s="87" t="s">
        <v>2436</v>
      </c>
      <c r="C1308" s="87"/>
      <c r="D1308" s="87"/>
      <c r="E1308" s="82"/>
    </row>
    <row r="1309" spans="1:5" ht="20" customHeight="1" x14ac:dyDescent="0.15">
      <c r="A1309" s="89"/>
      <c r="B1309" s="87" t="s">
        <v>2280</v>
      </c>
      <c r="C1309" s="87"/>
      <c r="D1309" s="87"/>
      <c r="E1309" s="82"/>
    </row>
    <row r="1310" spans="1:5" ht="20" customHeight="1" x14ac:dyDescent="0.15">
      <c r="A1310" s="89"/>
      <c r="B1310" s="87" t="s">
        <v>2442</v>
      </c>
      <c r="C1310" s="87"/>
      <c r="D1310" s="87"/>
      <c r="E1310" s="82"/>
    </row>
    <row r="1311" spans="1:5" ht="20" customHeight="1" x14ac:dyDescent="0.15">
      <c r="A1311" s="89"/>
      <c r="B1311" s="87" t="s">
        <v>2443</v>
      </c>
      <c r="C1311" s="87"/>
      <c r="D1311" s="87"/>
      <c r="E1311" s="82"/>
    </row>
    <row r="1312" spans="1:5" ht="20" customHeight="1" x14ac:dyDescent="0.15">
      <c r="A1312" s="89"/>
      <c r="B1312" s="87" t="s">
        <v>2446</v>
      </c>
      <c r="C1312" s="87"/>
      <c r="D1312" s="87"/>
      <c r="E1312" s="82"/>
    </row>
    <row r="1313" spans="1:5" ht="20" customHeight="1" x14ac:dyDescent="0.15">
      <c r="A1313" s="89"/>
      <c r="B1313" s="87" t="s">
        <v>2448</v>
      </c>
      <c r="C1313" s="87"/>
      <c r="D1313" s="87"/>
      <c r="E1313" s="82"/>
    </row>
    <row r="1314" spans="1:5" ht="20" customHeight="1" x14ac:dyDescent="0.15">
      <c r="A1314" s="89"/>
      <c r="B1314" s="87" t="s">
        <v>2451</v>
      </c>
      <c r="C1314" s="87"/>
      <c r="D1314" s="87"/>
      <c r="E1314" s="82"/>
    </row>
    <row r="1315" spans="1:5" ht="20" customHeight="1" x14ac:dyDescent="0.15">
      <c r="A1315" s="89"/>
      <c r="B1315" s="87" t="s">
        <v>829</v>
      </c>
      <c r="C1315" s="87"/>
      <c r="D1315" s="87"/>
      <c r="E1315" s="82"/>
    </row>
    <row r="1316" spans="1:5" ht="20" customHeight="1" x14ac:dyDescent="0.15">
      <c r="A1316" s="89"/>
      <c r="B1316" s="87" t="s">
        <v>2456</v>
      </c>
      <c r="C1316" s="87"/>
      <c r="D1316" s="87"/>
      <c r="E1316" s="82"/>
    </row>
    <row r="1317" spans="1:5" ht="20" customHeight="1" x14ac:dyDescent="0.15">
      <c r="A1317" s="89"/>
      <c r="B1317" s="87" t="s">
        <v>2457</v>
      </c>
      <c r="C1317" s="87"/>
      <c r="D1317" s="87"/>
      <c r="E1317" s="82"/>
    </row>
    <row r="1318" spans="1:5" ht="20" customHeight="1" x14ac:dyDescent="0.15">
      <c r="A1318" s="89"/>
      <c r="B1318" s="87" t="s">
        <v>2458</v>
      </c>
      <c r="C1318" s="87"/>
      <c r="D1318" s="87"/>
      <c r="E1318" s="82"/>
    </row>
    <row r="1319" spans="1:5" ht="20" customHeight="1" x14ac:dyDescent="0.15">
      <c r="A1319" s="89"/>
      <c r="B1319" s="87" t="s">
        <v>2459</v>
      </c>
      <c r="C1319" s="87"/>
      <c r="D1319" s="87"/>
      <c r="E1319" s="82"/>
    </row>
    <row r="1320" spans="1:5" ht="20" customHeight="1" x14ac:dyDescent="0.15">
      <c r="A1320" s="89"/>
      <c r="B1320" s="87" t="s">
        <v>2460</v>
      </c>
      <c r="C1320" s="87"/>
      <c r="D1320" s="87"/>
      <c r="E1320" s="82"/>
    </row>
    <row r="1321" spans="1:5" ht="20" customHeight="1" x14ac:dyDescent="0.15">
      <c r="A1321" s="89"/>
      <c r="B1321" s="87" t="s">
        <v>2186</v>
      </c>
      <c r="C1321" s="87"/>
      <c r="D1321" s="87"/>
      <c r="E1321" s="82"/>
    </row>
    <row r="1322" spans="1:5" ht="20" customHeight="1" x14ac:dyDescent="0.15">
      <c r="A1322" s="89"/>
      <c r="B1322" s="87" t="s">
        <v>2491</v>
      </c>
      <c r="C1322" s="87"/>
      <c r="D1322" s="87"/>
      <c r="E1322" s="82"/>
    </row>
    <row r="1323" spans="1:5" ht="20" customHeight="1" x14ac:dyDescent="0.15">
      <c r="A1323" s="89"/>
      <c r="B1323" s="87" t="s">
        <v>2492</v>
      </c>
      <c r="C1323" s="87"/>
      <c r="D1323" s="87"/>
      <c r="E1323" s="82"/>
    </row>
    <row r="1324" spans="1:5" ht="20" customHeight="1" x14ac:dyDescent="0.15">
      <c r="A1324" s="89"/>
      <c r="B1324" s="87" t="s">
        <v>2461</v>
      </c>
      <c r="C1324" s="87"/>
      <c r="D1324" s="87"/>
      <c r="E1324" s="82"/>
    </row>
    <row r="1325" spans="1:5" ht="20" customHeight="1" x14ac:dyDescent="0.15">
      <c r="A1325" s="89"/>
      <c r="B1325" s="87" t="s">
        <v>2462</v>
      </c>
      <c r="C1325" s="87"/>
      <c r="D1325" s="87"/>
      <c r="E1325" s="82"/>
    </row>
    <row r="1326" spans="1:5" ht="20" customHeight="1" x14ac:dyDescent="0.15">
      <c r="A1326" s="89"/>
      <c r="B1326" s="87" t="s">
        <v>2463</v>
      </c>
      <c r="C1326" s="87"/>
      <c r="D1326" s="87"/>
      <c r="E1326" s="82"/>
    </row>
    <row r="1327" spans="1:5" ht="20" customHeight="1" x14ac:dyDescent="0.15">
      <c r="A1327" s="89"/>
      <c r="B1327" s="87" t="s">
        <v>2530</v>
      </c>
      <c r="C1327" s="87"/>
      <c r="D1327" s="87"/>
      <c r="E1327" s="82"/>
    </row>
    <row r="1328" spans="1:5" ht="20" customHeight="1" x14ac:dyDescent="0.15">
      <c r="A1328" s="89"/>
      <c r="B1328" s="87" t="s">
        <v>2465</v>
      </c>
      <c r="C1328" s="87"/>
      <c r="D1328" s="87"/>
      <c r="E1328" s="82"/>
    </row>
    <row r="1329" spans="1:5" ht="20" customHeight="1" x14ac:dyDescent="0.15">
      <c r="A1329" s="89"/>
      <c r="B1329" s="87" t="s">
        <v>1560</v>
      </c>
      <c r="C1329" s="87"/>
      <c r="D1329" s="87"/>
      <c r="E1329" s="82"/>
    </row>
    <row r="1330" spans="1:5" ht="20" customHeight="1" x14ac:dyDescent="0.15">
      <c r="A1330" s="89"/>
      <c r="B1330" s="87" t="s">
        <v>2466</v>
      </c>
      <c r="C1330" s="87"/>
      <c r="D1330" s="87"/>
      <c r="E1330" s="82"/>
    </row>
    <row r="1331" spans="1:5" ht="20" customHeight="1" x14ac:dyDescent="0.15">
      <c r="A1331" s="89"/>
      <c r="B1331" s="87" t="s">
        <v>2467</v>
      </c>
      <c r="C1331" s="87"/>
      <c r="D1331" s="87"/>
      <c r="E1331" s="82"/>
    </row>
    <row r="1332" spans="1:5" ht="20" customHeight="1" x14ac:dyDescent="0.15">
      <c r="A1332" s="89"/>
      <c r="B1332" s="87" t="s">
        <v>2468</v>
      </c>
      <c r="C1332" s="87"/>
      <c r="D1332" s="87"/>
      <c r="E1332" s="82"/>
    </row>
    <row r="1333" spans="1:5" ht="20" customHeight="1" x14ac:dyDescent="0.15">
      <c r="A1333" s="89"/>
      <c r="B1333" s="87" t="s">
        <v>2469</v>
      </c>
      <c r="C1333" s="87"/>
      <c r="D1333" s="87"/>
      <c r="E1333" s="82"/>
    </row>
    <row r="1334" spans="1:5" ht="20" customHeight="1" x14ac:dyDescent="0.15">
      <c r="A1334" s="89"/>
      <c r="B1334" s="87" t="s">
        <v>2470</v>
      </c>
      <c r="C1334" s="87"/>
      <c r="D1334" s="87"/>
      <c r="E1334" s="82"/>
    </row>
    <row r="1335" spans="1:5" ht="20" customHeight="1" x14ac:dyDescent="0.15">
      <c r="A1335" s="89"/>
      <c r="B1335" s="87" t="s">
        <v>2471</v>
      </c>
      <c r="C1335" s="87"/>
      <c r="D1335" s="87"/>
      <c r="E1335" s="82"/>
    </row>
    <row r="1336" spans="1:5" ht="20" customHeight="1" x14ac:dyDescent="0.15">
      <c r="A1336" s="89"/>
      <c r="B1336" s="87" t="s">
        <v>2472</v>
      </c>
      <c r="C1336" s="87"/>
      <c r="D1336" s="87"/>
      <c r="E1336" s="82"/>
    </row>
    <row r="1337" spans="1:5" ht="20" customHeight="1" x14ac:dyDescent="0.15">
      <c r="A1337" s="89"/>
      <c r="B1337" s="87" t="s">
        <v>1558</v>
      </c>
      <c r="C1337" s="87"/>
      <c r="D1337" s="87"/>
      <c r="E1337" s="82"/>
    </row>
    <row r="1338" spans="1:5" ht="20" customHeight="1" x14ac:dyDescent="0.15">
      <c r="A1338" s="89"/>
      <c r="B1338" s="87" t="s">
        <v>2473</v>
      </c>
      <c r="C1338" s="87"/>
      <c r="D1338" s="87"/>
      <c r="E1338" s="82"/>
    </row>
    <row r="1339" spans="1:5" ht="20" customHeight="1" x14ac:dyDescent="0.15">
      <c r="A1339" s="89"/>
      <c r="B1339" s="87" t="s">
        <v>2474</v>
      </c>
      <c r="C1339" s="87"/>
      <c r="D1339" s="87"/>
      <c r="E1339" s="82"/>
    </row>
    <row r="1340" spans="1:5" ht="20" customHeight="1" x14ac:dyDescent="0.15">
      <c r="A1340" s="89"/>
      <c r="B1340" s="87" t="s">
        <v>2475</v>
      </c>
      <c r="C1340" s="87"/>
      <c r="D1340" s="87"/>
      <c r="E1340" s="82"/>
    </row>
    <row r="1341" spans="1:5" ht="20" customHeight="1" x14ac:dyDescent="0.15">
      <c r="A1341" s="89"/>
      <c r="B1341" s="87" t="s">
        <v>2476</v>
      </c>
      <c r="C1341" s="87"/>
      <c r="D1341" s="87"/>
      <c r="E1341" s="82"/>
    </row>
    <row r="1342" spans="1:5" ht="20" customHeight="1" x14ac:dyDescent="0.15">
      <c r="A1342" s="89"/>
      <c r="B1342" s="87" t="s">
        <v>2477</v>
      </c>
      <c r="C1342" s="87"/>
      <c r="D1342" s="87"/>
      <c r="E1342" s="82"/>
    </row>
    <row r="1343" spans="1:5" ht="20" customHeight="1" x14ac:dyDescent="0.15">
      <c r="A1343" s="89"/>
      <c r="B1343" s="87" t="s">
        <v>2478</v>
      </c>
      <c r="C1343" s="87"/>
      <c r="D1343" s="87"/>
      <c r="E1343" s="82"/>
    </row>
    <row r="1344" spans="1:5" ht="20" customHeight="1" x14ac:dyDescent="0.15">
      <c r="A1344" s="89"/>
      <c r="B1344" s="87" t="s">
        <v>2479</v>
      </c>
      <c r="C1344" s="87"/>
      <c r="D1344" s="87"/>
      <c r="E1344" s="82"/>
    </row>
    <row r="1345" spans="1:5" ht="20" customHeight="1" x14ac:dyDescent="0.15">
      <c r="A1345" s="89"/>
      <c r="B1345" s="87" t="s">
        <v>2480</v>
      </c>
      <c r="C1345" s="87"/>
      <c r="D1345" s="87"/>
      <c r="E1345" s="82"/>
    </row>
    <row r="1346" spans="1:5" ht="20" customHeight="1" x14ac:dyDescent="0.15">
      <c r="A1346" s="89"/>
      <c r="B1346" s="87" t="s">
        <v>2481</v>
      </c>
      <c r="C1346" s="87"/>
      <c r="D1346" s="87"/>
      <c r="E1346" s="82"/>
    </row>
    <row r="1347" spans="1:5" ht="20" customHeight="1" x14ac:dyDescent="0.15">
      <c r="A1347" s="89"/>
      <c r="B1347" s="87" t="s">
        <v>2482</v>
      </c>
      <c r="C1347" s="87"/>
      <c r="D1347" s="87"/>
      <c r="E1347" s="82"/>
    </row>
    <row r="1348" spans="1:5" ht="20" customHeight="1" x14ac:dyDescent="0.15">
      <c r="A1348" s="89"/>
      <c r="B1348" s="87" t="s">
        <v>2483</v>
      </c>
      <c r="C1348" s="87"/>
      <c r="D1348" s="87"/>
      <c r="E1348" s="82"/>
    </row>
    <row r="1349" spans="1:5" ht="20" customHeight="1" x14ac:dyDescent="0.15">
      <c r="A1349" s="89"/>
      <c r="B1349" s="87" t="s">
        <v>2484</v>
      </c>
      <c r="C1349" s="87"/>
      <c r="D1349" s="87"/>
      <c r="E1349" s="82"/>
    </row>
    <row r="1350" spans="1:5" ht="20" customHeight="1" x14ac:dyDescent="0.15">
      <c r="A1350" s="89"/>
      <c r="B1350" s="87" t="s">
        <v>1551</v>
      </c>
      <c r="C1350" s="87"/>
      <c r="D1350" s="87"/>
      <c r="E1350" s="82"/>
    </row>
    <row r="1351" spans="1:5" ht="20" customHeight="1" x14ac:dyDescent="0.15">
      <c r="A1351" s="89"/>
      <c r="B1351" s="87" t="s">
        <v>2485</v>
      </c>
      <c r="C1351" s="87"/>
      <c r="D1351" s="87"/>
      <c r="E1351" s="82"/>
    </row>
    <row r="1352" spans="1:5" ht="20" customHeight="1" x14ac:dyDescent="0.15">
      <c r="A1352" s="89"/>
      <c r="B1352" s="87" t="s">
        <v>2486</v>
      </c>
      <c r="C1352" s="87"/>
      <c r="D1352" s="87"/>
      <c r="E1352" s="82"/>
    </row>
    <row r="1353" spans="1:5" ht="20" customHeight="1" x14ac:dyDescent="0.15">
      <c r="A1353" s="89"/>
      <c r="B1353" s="87" t="s">
        <v>2487</v>
      </c>
      <c r="C1353" s="87"/>
      <c r="D1353" s="87"/>
      <c r="E1353" s="82"/>
    </row>
    <row r="1354" spans="1:5" ht="20" customHeight="1" x14ac:dyDescent="0.15">
      <c r="A1354" s="89"/>
      <c r="B1354" s="87" t="s">
        <v>1550</v>
      </c>
      <c r="C1354" s="87"/>
      <c r="D1354" s="87"/>
      <c r="E1354" s="82"/>
    </row>
    <row r="1355" spans="1:5" ht="20" customHeight="1" x14ac:dyDescent="0.15">
      <c r="A1355" s="89"/>
      <c r="B1355" s="87" t="s">
        <v>2488</v>
      </c>
      <c r="C1355" s="87"/>
      <c r="D1355" s="87"/>
      <c r="E1355" s="82"/>
    </row>
    <row r="1356" spans="1:5" ht="20" customHeight="1" x14ac:dyDescent="0.15">
      <c r="A1356" s="89"/>
      <c r="B1356" s="87" t="s">
        <v>2489</v>
      </c>
      <c r="C1356" s="87"/>
      <c r="D1356" s="87"/>
      <c r="E1356" s="82"/>
    </row>
    <row r="1357" spans="1:5" ht="20" customHeight="1" x14ac:dyDescent="0.15">
      <c r="A1357" s="89"/>
      <c r="B1357" s="87" t="s">
        <v>2185</v>
      </c>
      <c r="C1357" s="87"/>
      <c r="D1357" s="87"/>
      <c r="E1357" s="82"/>
    </row>
    <row r="1358" spans="1:5" ht="20" customHeight="1" x14ac:dyDescent="0.15">
      <c r="A1358" s="89"/>
      <c r="B1358" s="87" t="s">
        <v>2493</v>
      </c>
      <c r="C1358" s="87"/>
      <c r="D1358" s="87"/>
      <c r="E1358" s="82"/>
    </row>
    <row r="1359" spans="1:5" ht="20" customHeight="1" x14ac:dyDescent="0.15">
      <c r="A1359" s="89"/>
      <c r="B1359" s="87" t="s">
        <v>2494</v>
      </c>
      <c r="C1359" s="87"/>
      <c r="D1359" s="87"/>
      <c r="E1359" s="82"/>
    </row>
    <row r="1360" spans="1:5" ht="20" customHeight="1" x14ac:dyDescent="0.15">
      <c r="A1360" s="89"/>
      <c r="B1360" s="87" t="s">
        <v>2495</v>
      </c>
      <c r="C1360" s="87"/>
      <c r="D1360" s="87"/>
      <c r="E1360" s="82"/>
    </row>
    <row r="1361" spans="1:5" ht="20" customHeight="1" x14ac:dyDescent="0.15">
      <c r="A1361" s="89"/>
      <c r="B1361" s="87" t="s">
        <v>2496</v>
      </c>
      <c r="C1361" s="87"/>
      <c r="D1361" s="87"/>
      <c r="E1361" s="82"/>
    </row>
    <row r="1362" spans="1:5" ht="20" customHeight="1" x14ac:dyDescent="0.15">
      <c r="A1362" s="89"/>
      <c r="B1362" s="87" t="s">
        <v>2497</v>
      </c>
      <c r="C1362" s="87"/>
      <c r="D1362" s="87"/>
      <c r="E1362" s="82"/>
    </row>
    <row r="1363" spans="1:5" ht="20" customHeight="1" x14ac:dyDescent="0.15">
      <c r="A1363" s="89"/>
      <c r="B1363" s="87" t="s">
        <v>2498</v>
      </c>
      <c r="C1363" s="87"/>
      <c r="D1363" s="87"/>
      <c r="E1363" s="82"/>
    </row>
    <row r="1364" spans="1:5" ht="20" customHeight="1" x14ac:dyDescent="0.15">
      <c r="A1364" s="89"/>
      <c r="B1364" s="87" t="s">
        <v>2499</v>
      </c>
      <c r="C1364" s="87"/>
      <c r="D1364" s="87"/>
      <c r="E1364" s="82"/>
    </row>
    <row r="1365" spans="1:5" ht="20" customHeight="1" x14ac:dyDescent="0.15">
      <c r="A1365" s="89"/>
      <c r="B1365" s="87" t="s">
        <v>2500</v>
      </c>
      <c r="C1365" s="87"/>
      <c r="D1365" s="87"/>
      <c r="E1365" s="82"/>
    </row>
    <row r="1366" spans="1:5" ht="20" customHeight="1" x14ac:dyDescent="0.15">
      <c r="A1366" s="89"/>
      <c r="B1366" s="87" t="s">
        <v>2501</v>
      </c>
      <c r="C1366" s="87"/>
      <c r="D1366" s="87"/>
      <c r="E1366" s="82"/>
    </row>
    <row r="1367" spans="1:5" ht="20" customHeight="1" x14ac:dyDescent="0.15">
      <c r="A1367" s="89"/>
      <c r="B1367" s="87" t="s">
        <v>2502</v>
      </c>
      <c r="C1367" s="87"/>
      <c r="D1367" s="87"/>
      <c r="E1367" s="82"/>
    </row>
    <row r="1368" spans="1:5" ht="20" customHeight="1" x14ac:dyDescent="0.15">
      <c r="A1368" s="89"/>
      <c r="B1368" s="87" t="s">
        <v>2503</v>
      </c>
      <c r="C1368" s="87"/>
      <c r="D1368" s="87"/>
      <c r="E1368" s="82"/>
    </row>
    <row r="1369" spans="1:5" ht="20" customHeight="1" x14ac:dyDescent="0.15">
      <c r="A1369" s="89"/>
      <c r="B1369" s="87" t="s">
        <v>2504</v>
      </c>
      <c r="C1369" s="87"/>
      <c r="D1369" s="87"/>
      <c r="E1369" s="82"/>
    </row>
    <row r="1370" spans="1:5" ht="20" customHeight="1" x14ac:dyDescent="0.15">
      <c r="A1370" s="89"/>
      <c r="B1370" s="87" t="s">
        <v>2505</v>
      </c>
      <c r="C1370" s="87"/>
      <c r="D1370" s="87"/>
      <c r="E1370" s="82"/>
    </row>
    <row r="1371" spans="1:5" ht="20" customHeight="1" x14ac:dyDescent="0.15">
      <c r="A1371" s="89"/>
      <c r="B1371" s="87" t="s">
        <v>2506</v>
      </c>
      <c r="C1371" s="87"/>
      <c r="D1371" s="87"/>
      <c r="E1371" s="82"/>
    </row>
    <row r="1372" spans="1:5" ht="20" customHeight="1" x14ac:dyDescent="0.15">
      <c r="A1372" s="89"/>
      <c r="B1372" s="87" t="s">
        <v>2507</v>
      </c>
      <c r="C1372" s="87"/>
      <c r="D1372" s="87"/>
      <c r="E1372" s="82"/>
    </row>
    <row r="1373" spans="1:5" ht="20" customHeight="1" x14ac:dyDescent="0.15">
      <c r="A1373" s="89"/>
      <c r="B1373" s="87" t="s">
        <v>2508</v>
      </c>
      <c r="C1373" s="87"/>
      <c r="D1373" s="87"/>
      <c r="E1373" s="82"/>
    </row>
    <row r="1374" spans="1:5" ht="20" customHeight="1" x14ac:dyDescent="0.15">
      <c r="A1374" s="89"/>
      <c r="B1374" s="87" t="s">
        <v>2509</v>
      </c>
      <c r="C1374" s="87"/>
      <c r="D1374" s="87"/>
      <c r="E1374" s="82"/>
    </row>
    <row r="1375" spans="1:5" ht="20" customHeight="1" x14ac:dyDescent="0.15">
      <c r="A1375" s="89"/>
      <c r="B1375" s="87" t="s">
        <v>2510</v>
      </c>
      <c r="C1375" s="87"/>
      <c r="D1375" s="87"/>
      <c r="E1375" s="82"/>
    </row>
    <row r="1376" spans="1:5" ht="20" customHeight="1" x14ac:dyDescent="0.15">
      <c r="A1376" s="89"/>
      <c r="B1376" s="87" t="s">
        <v>2511</v>
      </c>
      <c r="C1376" s="87"/>
      <c r="D1376" s="87"/>
      <c r="E1376" s="82"/>
    </row>
    <row r="1377" spans="1:8" ht="20" customHeight="1" x14ac:dyDescent="0.15">
      <c r="A1377" s="89"/>
      <c r="B1377" s="87" t="s">
        <v>2512</v>
      </c>
      <c r="C1377" s="87"/>
      <c r="D1377" s="87"/>
      <c r="E1377" s="82"/>
    </row>
    <row r="1378" spans="1:8" ht="20" customHeight="1" x14ac:dyDescent="0.15">
      <c r="A1378" s="89"/>
      <c r="B1378" s="87" t="s">
        <v>2513</v>
      </c>
      <c r="C1378" s="87"/>
      <c r="D1378" s="87"/>
      <c r="E1378" s="82"/>
    </row>
    <row r="1379" spans="1:8" ht="20" customHeight="1" x14ac:dyDescent="0.15">
      <c r="A1379" s="89"/>
      <c r="B1379" s="87" t="s">
        <v>2514</v>
      </c>
      <c r="C1379" s="87"/>
      <c r="D1379" s="87"/>
      <c r="E1379" s="82"/>
    </row>
    <row r="1380" spans="1:8" ht="20" customHeight="1" x14ac:dyDescent="0.15">
      <c r="A1380" s="89"/>
      <c r="B1380" s="87" t="s">
        <v>2515</v>
      </c>
      <c r="C1380" s="87"/>
      <c r="D1380" s="87"/>
      <c r="E1380" s="82"/>
    </row>
    <row r="1381" spans="1:8" ht="20" customHeight="1" x14ac:dyDescent="0.15">
      <c r="A1381" s="89"/>
      <c r="B1381" s="87" t="s">
        <v>2516</v>
      </c>
      <c r="C1381" s="87"/>
      <c r="D1381" s="87"/>
      <c r="E1381" s="82"/>
    </row>
    <row r="1382" spans="1:8" ht="20" customHeight="1" x14ac:dyDescent="0.15">
      <c r="A1382" s="89"/>
      <c r="B1382" s="87" t="s">
        <v>2274</v>
      </c>
      <c r="C1382" s="87"/>
      <c r="D1382" s="87" t="s">
        <v>2274</v>
      </c>
      <c r="E1382" s="82"/>
    </row>
    <row r="1383" spans="1:8" ht="20" customHeight="1" x14ac:dyDescent="0.15">
      <c r="A1383" s="89"/>
      <c r="B1383" s="80" t="s">
        <v>2284</v>
      </c>
      <c r="C1383" s="80"/>
      <c r="D1383" s="80"/>
      <c r="E1383" s="80"/>
      <c r="F1383" s="80"/>
      <c r="G1383" s="80"/>
      <c r="H1383" s="80"/>
    </row>
    <row r="1384" spans="1:8" ht="20" customHeight="1" x14ac:dyDescent="0.15">
      <c r="A1384" s="89"/>
      <c r="B1384" s="87" t="s">
        <v>79</v>
      </c>
      <c r="C1384" s="87" t="s">
        <v>80</v>
      </c>
      <c r="D1384" s="87" t="s">
        <v>1488</v>
      </c>
      <c r="E1384" s="82" t="s">
        <v>2677</v>
      </c>
    </row>
    <row r="1385" spans="1:8" ht="20" customHeight="1" x14ac:dyDescent="0.15">
      <c r="A1385" s="89"/>
      <c r="B1385" s="87" t="s">
        <v>2285</v>
      </c>
      <c r="C1385" s="87"/>
      <c r="D1385" s="87"/>
      <c r="E1385" s="82"/>
    </row>
    <row r="1386" spans="1:8" ht="20" customHeight="1" x14ac:dyDescent="0.15">
      <c r="A1386" s="89"/>
      <c r="B1386" s="87" t="s">
        <v>2286</v>
      </c>
      <c r="C1386" s="87"/>
      <c r="D1386" s="87"/>
      <c r="E1386" s="82"/>
    </row>
    <row r="1387" spans="1:8" ht="20" customHeight="1" x14ac:dyDescent="0.15">
      <c r="A1387" s="89"/>
      <c r="B1387" s="87" t="s">
        <v>2287</v>
      </c>
      <c r="C1387" s="87"/>
      <c r="D1387" s="87"/>
      <c r="E1387" s="82"/>
    </row>
    <row r="1388" spans="1:8" ht="20" customHeight="1" x14ac:dyDescent="0.15">
      <c r="A1388" s="89"/>
      <c r="B1388" s="87" t="s">
        <v>2288</v>
      </c>
      <c r="C1388" s="87"/>
      <c r="D1388" s="87"/>
      <c r="E1388" s="82"/>
    </row>
    <row r="1389" spans="1:8" ht="20" customHeight="1" x14ac:dyDescent="0.15">
      <c r="A1389" s="89"/>
      <c r="B1389" s="87" t="s">
        <v>216</v>
      </c>
      <c r="C1389" s="87"/>
      <c r="D1389" s="87"/>
      <c r="E1389" s="82"/>
    </row>
    <row r="1390" spans="1:8" ht="20" customHeight="1" x14ac:dyDescent="0.15">
      <c r="A1390" s="89"/>
      <c r="B1390" s="87" t="s">
        <v>2289</v>
      </c>
      <c r="C1390" s="87"/>
      <c r="D1390" s="87"/>
      <c r="E1390" s="82"/>
    </row>
    <row r="1391" spans="1:8" ht="20" customHeight="1" x14ac:dyDescent="0.15">
      <c r="A1391" s="89"/>
      <c r="B1391" s="87" t="s">
        <v>2290</v>
      </c>
      <c r="C1391" s="87"/>
      <c r="D1391" s="87"/>
      <c r="E1391" s="82"/>
    </row>
    <row r="1392" spans="1:8" ht="20" customHeight="1" x14ac:dyDescent="0.15">
      <c r="A1392" s="89"/>
      <c r="B1392" s="87" t="s">
        <v>2291</v>
      </c>
      <c r="C1392" s="87"/>
      <c r="D1392" s="87"/>
      <c r="E1392" s="82"/>
    </row>
    <row r="1393" spans="1:5" ht="20" customHeight="1" x14ac:dyDescent="0.15">
      <c r="A1393" s="89"/>
      <c r="B1393" s="87" t="s">
        <v>2292</v>
      </c>
      <c r="C1393" s="87"/>
      <c r="D1393" s="87"/>
      <c r="E1393" s="82"/>
    </row>
    <row r="1394" spans="1:5" ht="20" customHeight="1" x14ac:dyDescent="0.15">
      <c r="A1394" s="89"/>
      <c r="B1394" s="87" t="s">
        <v>2293</v>
      </c>
      <c r="C1394" s="87"/>
      <c r="D1394" s="87"/>
      <c r="E1394" s="82"/>
    </row>
    <row r="1395" spans="1:5" ht="20" customHeight="1" x14ac:dyDescent="0.15">
      <c r="A1395" s="89"/>
      <c r="B1395" s="87" t="s">
        <v>2294</v>
      </c>
      <c r="C1395" s="87"/>
      <c r="D1395" s="87"/>
      <c r="E1395" s="82"/>
    </row>
    <row r="1396" spans="1:5" ht="20" customHeight="1" x14ac:dyDescent="0.15">
      <c r="A1396" s="89"/>
      <c r="B1396" s="87" t="s">
        <v>2295</v>
      </c>
      <c r="C1396" s="87"/>
      <c r="D1396" s="87"/>
      <c r="E1396" s="82"/>
    </row>
    <row r="1397" spans="1:5" ht="20" customHeight="1" x14ac:dyDescent="0.15">
      <c r="A1397" s="89"/>
      <c r="B1397" s="87" t="s">
        <v>2296</v>
      </c>
      <c r="C1397" s="87"/>
      <c r="D1397" s="87"/>
      <c r="E1397" s="82"/>
    </row>
    <row r="1398" spans="1:5" ht="20" customHeight="1" x14ac:dyDescent="0.15">
      <c r="A1398" s="89"/>
      <c r="B1398" s="87" t="s">
        <v>2297</v>
      </c>
      <c r="C1398" s="87"/>
      <c r="D1398" s="87"/>
      <c r="E1398" s="82"/>
    </row>
    <row r="1399" spans="1:5" ht="20" customHeight="1" x14ac:dyDescent="0.15">
      <c r="A1399" s="89"/>
      <c r="B1399" s="87" t="s">
        <v>2298</v>
      </c>
      <c r="C1399" s="87"/>
      <c r="D1399" s="87"/>
      <c r="E1399" s="82"/>
    </row>
    <row r="1400" spans="1:5" ht="20" customHeight="1" x14ac:dyDescent="0.15">
      <c r="A1400" s="89"/>
      <c r="B1400" s="87" t="s">
        <v>2299</v>
      </c>
      <c r="C1400" s="87"/>
      <c r="D1400" s="87"/>
      <c r="E1400" s="82"/>
    </row>
    <row r="1401" spans="1:5" ht="20" customHeight="1" x14ac:dyDescent="0.15">
      <c r="A1401" s="89"/>
      <c r="B1401" s="87" t="s">
        <v>2300</v>
      </c>
      <c r="C1401" s="87"/>
      <c r="D1401" s="87"/>
      <c r="E1401" s="82"/>
    </row>
    <row r="1402" spans="1:5" ht="20" customHeight="1" x14ac:dyDescent="0.15">
      <c r="A1402" s="89"/>
      <c r="B1402" s="87" t="s">
        <v>2301</v>
      </c>
      <c r="C1402" s="87"/>
      <c r="D1402" s="87"/>
      <c r="E1402" s="82"/>
    </row>
    <row r="1403" spans="1:5" ht="20" customHeight="1" x14ac:dyDescent="0.15">
      <c r="A1403" s="89"/>
      <c r="B1403" s="87" t="s">
        <v>2302</v>
      </c>
      <c r="C1403" s="87"/>
      <c r="D1403" s="87"/>
      <c r="E1403" s="82"/>
    </row>
    <row r="1404" spans="1:5" ht="20" customHeight="1" x14ac:dyDescent="0.15">
      <c r="A1404" s="89"/>
      <c r="B1404" s="87" t="s">
        <v>2303</v>
      </c>
      <c r="C1404" s="87"/>
      <c r="D1404" s="87"/>
      <c r="E1404" s="82"/>
    </row>
    <row r="1405" spans="1:5" ht="20" customHeight="1" x14ac:dyDescent="0.15">
      <c r="A1405" s="89"/>
      <c r="B1405" s="87" t="s">
        <v>2304</v>
      </c>
      <c r="C1405" s="87"/>
      <c r="D1405" s="87"/>
      <c r="E1405" s="82"/>
    </row>
    <row r="1406" spans="1:5" ht="20" customHeight="1" x14ac:dyDescent="0.15">
      <c r="A1406" s="89"/>
      <c r="B1406" s="87" t="s">
        <v>7421</v>
      </c>
      <c r="C1406" s="87"/>
      <c r="D1406" s="87"/>
      <c r="E1406" s="82"/>
    </row>
    <row r="1407" spans="1:5" ht="20" customHeight="1" x14ac:dyDescent="0.15">
      <c r="A1407" s="89"/>
      <c r="B1407" s="87" t="s">
        <v>284</v>
      </c>
      <c r="C1407" s="87"/>
      <c r="D1407" s="87"/>
      <c r="E1407" s="82"/>
    </row>
    <row r="1408" spans="1:5" ht="20" customHeight="1" x14ac:dyDescent="0.15">
      <c r="A1408" s="89"/>
      <c r="B1408" s="87" t="s">
        <v>2282</v>
      </c>
      <c r="C1408" s="87"/>
      <c r="D1408" s="87"/>
      <c r="E1408" s="82"/>
    </row>
    <row r="1409" spans="1:5" ht="20" customHeight="1" x14ac:dyDescent="0.15">
      <c r="A1409" s="89"/>
      <c r="B1409" s="87" t="s">
        <v>2305</v>
      </c>
      <c r="C1409" s="87"/>
      <c r="D1409" s="87"/>
      <c r="E1409" s="82"/>
    </row>
    <row r="1410" spans="1:5" ht="20" customHeight="1" x14ac:dyDescent="0.15">
      <c r="A1410" s="89"/>
      <c r="B1410" s="87" t="s">
        <v>2306</v>
      </c>
      <c r="C1410" s="87"/>
      <c r="D1410" s="87"/>
      <c r="E1410" s="82"/>
    </row>
    <row r="1411" spans="1:5" ht="20" customHeight="1" x14ac:dyDescent="0.15">
      <c r="A1411" s="89"/>
      <c r="B1411" s="87" t="s">
        <v>890</v>
      </c>
      <c r="C1411" s="87"/>
      <c r="D1411" s="87"/>
      <c r="E1411" s="82"/>
    </row>
    <row r="1412" spans="1:5" ht="20" customHeight="1" x14ac:dyDescent="0.15">
      <c r="A1412" s="89"/>
      <c r="B1412" s="87" t="s">
        <v>2307</v>
      </c>
      <c r="C1412" s="87"/>
      <c r="D1412" s="87"/>
      <c r="E1412" s="82"/>
    </row>
    <row r="1413" spans="1:5" ht="20" customHeight="1" x14ac:dyDescent="0.15">
      <c r="A1413" s="89"/>
      <c r="B1413" s="87" t="s">
        <v>2308</v>
      </c>
      <c r="C1413" s="87"/>
      <c r="D1413" s="87"/>
      <c r="E1413" s="82"/>
    </row>
    <row r="1414" spans="1:5" ht="20" customHeight="1" x14ac:dyDescent="0.15">
      <c r="A1414" s="89"/>
      <c r="B1414" s="87" t="s">
        <v>2309</v>
      </c>
      <c r="C1414" s="87"/>
      <c r="D1414" s="87"/>
      <c r="E1414" s="82"/>
    </row>
    <row r="1415" spans="1:5" ht="20" customHeight="1" x14ac:dyDescent="0.15">
      <c r="A1415" s="89"/>
      <c r="B1415" s="87" t="s">
        <v>2310</v>
      </c>
      <c r="C1415" s="87"/>
      <c r="D1415" s="87"/>
      <c r="E1415" s="82"/>
    </row>
    <row r="1416" spans="1:5" ht="20" customHeight="1" x14ac:dyDescent="0.15">
      <c r="A1416" s="89"/>
      <c r="B1416" s="87" t="s">
        <v>2311</v>
      </c>
      <c r="C1416" s="87"/>
      <c r="D1416" s="87"/>
      <c r="E1416" s="82"/>
    </row>
    <row r="1417" spans="1:5" ht="20" customHeight="1" x14ac:dyDescent="0.15">
      <c r="A1417" s="89"/>
      <c r="B1417" s="87" t="s">
        <v>1633</v>
      </c>
      <c r="C1417" s="87"/>
      <c r="D1417" s="87"/>
      <c r="E1417" s="82"/>
    </row>
    <row r="1418" spans="1:5" ht="20" customHeight="1" x14ac:dyDescent="0.15">
      <c r="A1418" s="89"/>
      <c r="B1418" s="87" t="s">
        <v>1524</v>
      </c>
      <c r="C1418" s="87"/>
      <c r="D1418" s="87"/>
      <c r="E1418" s="82"/>
    </row>
    <row r="1419" spans="1:5" ht="20" customHeight="1" x14ac:dyDescent="0.15">
      <c r="A1419" s="89"/>
      <c r="B1419" s="87" t="s">
        <v>2312</v>
      </c>
      <c r="C1419" s="87"/>
      <c r="D1419" s="87"/>
      <c r="E1419" s="82"/>
    </row>
    <row r="1420" spans="1:5" ht="20" customHeight="1" x14ac:dyDescent="0.15">
      <c r="A1420" s="89"/>
      <c r="B1420" s="87" t="s">
        <v>1611</v>
      </c>
      <c r="C1420" s="87"/>
      <c r="D1420" s="87"/>
      <c r="E1420" s="82"/>
    </row>
    <row r="1421" spans="1:5" ht="20" customHeight="1" x14ac:dyDescent="0.15">
      <c r="A1421" s="89"/>
      <c r="B1421" s="87" t="s">
        <v>2313</v>
      </c>
      <c r="C1421" s="87"/>
      <c r="D1421" s="87"/>
      <c r="E1421" s="82"/>
    </row>
    <row r="1422" spans="1:5" ht="20" customHeight="1" x14ac:dyDescent="0.15">
      <c r="A1422" s="89"/>
      <c r="B1422" s="87" t="s">
        <v>2314</v>
      </c>
      <c r="C1422" s="87"/>
      <c r="D1422" s="87"/>
      <c r="E1422" s="82"/>
    </row>
    <row r="1423" spans="1:5" ht="20" customHeight="1" x14ac:dyDescent="0.15">
      <c r="A1423" s="89"/>
      <c r="B1423" s="87" t="s">
        <v>2315</v>
      </c>
      <c r="C1423" s="87"/>
      <c r="D1423" s="87"/>
      <c r="E1423" s="82"/>
    </row>
    <row r="1424" spans="1:5" ht="20" customHeight="1" x14ac:dyDescent="0.15">
      <c r="A1424" s="89"/>
      <c r="B1424" s="87" t="s">
        <v>2316</v>
      </c>
      <c r="C1424" s="87"/>
      <c r="D1424" s="87"/>
      <c r="E1424" s="82"/>
    </row>
    <row r="1425" spans="1:5" ht="20" customHeight="1" x14ac:dyDescent="0.15">
      <c r="A1425" s="89"/>
      <c r="B1425" s="87" t="s">
        <v>2317</v>
      </c>
      <c r="C1425" s="87"/>
      <c r="D1425" s="87"/>
      <c r="E1425" s="82"/>
    </row>
    <row r="1426" spans="1:5" ht="20" customHeight="1" x14ac:dyDescent="0.15">
      <c r="A1426" s="89"/>
      <c r="B1426" s="87" t="s">
        <v>2318</v>
      </c>
      <c r="C1426" s="87"/>
      <c r="D1426" s="87"/>
      <c r="E1426" s="82"/>
    </row>
    <row r="1427" spans="1:5" ht="20" customHeight="1" x14ac:dyDescent="0.15">
      <c r="A1427" s="89"/>
      <c r="B1427" s="87" t="s">
        <v>2319</v>
      </c>
      <c r="C1427" s="87"/>
      <c r="D1427" s="87"/>
      <c r="E1427" s="82"/>
    </row>
    <row r="1428" spans="1:5" ht="20" customHeight="1" x14ac:dyDescent="0.15">
      <c r="A1428" s="89"/>
      <c r="B1428" s="87" t="s">
        <v>2320</v>
      </c>
      <c r="C1428" s="87"/>
      <c r="D1428" s="87"/>
      <c r="E1428" s="82"/>
    </row>
    <row r="1429" spans="1:5" ht="20" customHeight="1" x14ac:dyDescent="0.15">
      <c r="A1429" s="89"/>
      <c r="B1429" s="87" t="s">
        <v>2321</v>
      </c>
      <c r="C1429" s="87"/>
      <c r="D1429" s="87"/>
      <c r="E1429" s="82"/>
    </row>
    <row r="1430" spans="1:5" ht="20" customHeight="1" x14ac:dyDescent="0.15">
      <c r="A1430" s="89"/>
      <c r="B1430" s="87" t="s">
        <v>1487</v>
      </c>
      <c r="C1430" s="87"/>
      <c r="D1430" s="87"/>
      <c r="E1430" s="82"/>
    </row>
    <row r="1431" spans="1:5" ht="20" customHeight="1" x14ac:dyDescent="0.15">
      <c r="A1431" s="89"/>
      <c r="B1431" s="87" t="s">
        <v>2128</v>
      </c>
      <c r="C1431" s="87"/>
      <c r="D1431" s="87"/>
      <c r="E1431" s="82"/>
    </row>
    <row r="1432" spans="1:5" ht="20" customHeight="1" x14ac:dyDescent="0.15">
      <c r="A1432" s="89"/>
      <c r="B1432" s="87" t="s">
        <v>2127</v>
      </c>
      <c r="C1432" s="87"/>
      <c r="D1432" s="87"/>
      <c r="E1432" s="82"/>
    </row>
    <row r="1433" spans="1:5" ht="20" customHeight="1" x14ac:dyDescent="0.15">
      <c r="A1433" s="89"/>
      <c r="B1433" s="87" t="s">
        <v>2130</v>
      </c>
      <c r="C1433" s="87"/>
      <c r="D1433" s="87"/>
      <c r="E1433" s="82"/>
    </row>
    <row r="1434" spans="1:5" ht="20" customHeight="1" x14ac:dyDescent="0.15">
      <c r="A1434" s="89"/>
      <c r="B1434" s="87" t="s">
        <v>1570</v>
      </c>
      <c r="C1434" s="87"/>
      <c r="D1434" s="87"/>
      <c r="E1434" s="82"/>
    </row>
    <row r="1435" spans="1:5" ht="20" customHeight="1" x14ac:dyDescent="0.15">
      <c r="A1435" s="89"/>
      <c r="B1435" s="87" t="s">
        <v>2131</v>
      </c>
      <c r="C1435" s="87"/>
      <c r="D1435" s="87"/>
      <c r="E1435" s="82"/>
    </row>
    <row r="1436" spans="1:5" ht="20" customHeight="1" x14ac:dyDescent="0.15">
      <c r="A1436" s="89"/>
      <c r="B1436" s="87" t="s">
        <v>1567</v>
      </c>
      <c r="C1436" s="87"/>
      <c r="D1436" s="87"/>
      <c r="E1436" s="82"/>
    </row>
    <row r="1437" spans="1:5" ht="20" customHeight="1" x14ac:dyDescent="0.15">
      <c r="A1437" s="89"/>
      <c r="B1437" s="87" t="s">
        <v>2132</v>
      </c>
      <c r="C1437" s="87"/>
      <c r="D1437" s="87"/>
      <c r="E1437" s="82"/>
    </row>
    <row r="1438" spans="1:5" ht="20" customHeight="1" x14ac:dyDescent="0.15">
      <c r="A1438" s="89"/>
      <c r="B1438" s="87" t="s">
        <v>2133</v>
      </c>
      <c r="C1438" s="87"/>
      <c r="D1438" s="87"/>
      <c r="E1438" s="82"/>
    </row>
    <row r="1439" spans="1:5" ht="20" customHeight="1" x14ac:dyDescent="0.15">
      <c r="A1439" s="89"/>
      <c r="B1439" s="87" t="s">
        <v>2322</v>
      </c>
      <c r="C1439" s="87"/>
      <c r="D1439" s="87"/>
      <c r="E1439" s="82"/>
    </row>
    <row r="1440" spans="1:5" ht="20" customHeight="1" x14ac:dyDescent="0.15">
      <c r="A1440" s="89"/>
      <c r="B1440" s="87" t="s">
        <v>2323</v>
      </c>
      <c r="C1440" s="87"/>
      <c r="D1440" s="87"/>
      <c r="E1440" s="82"/>
    </row>
    <row r="1441" spans="1:5" ht="20" customHeight="1" x14ac:dyDescent="0.15">
      <c r="A1441" s="89"/>
      <c r="B1441" s="87" t="s">
        <v>2324</v>
      </c>
      <c r="C1441" s="87"/>
      <c r="D1441" s="87"/>
      <c r="E1441" s="82"/>
    </row>
    <row r="1442" spans="1:5" ht="20" customHeight="1" x14ac:dyDescent="0.15">
      <c r="A1442" s="89"/>
      <c r="B1442" s="87" t="s">
        <v>2138</v>
      </c>
      <c r="C1442" s="87"/>
      <c r="D1442" s="87"/>
      <c r="E1442" s="82"/>
    </row>
    <row r="1443" spans="1:5" ht="20" customHeight="1" x14ac:dyDescent="0.15">
      <c r="A1443" s="89"/>
      <c r="B1443" s="87" t="s">
        <v>1568</v>
      </c>
      <c r="C1443" s="87"/>
      <c r="D1443" s="87"/>
      <c r="E1443" s="82"/>
    </row>
    <row r="1444" spans="1:5" ht="20" customHeight="1" x14ac:dyDescent="0.15">
      <c r="A1444" s="89"/>
      <c r="B1444" s="87" t="s">
        <v>2139</v>
      </c>
      <c r="C1444" s="87"/>
      <c r="D1444" s="87"/>
      <c r="E1444" s="82"/>
    </row>
    <row r="1445" spans="1:5" ht="20" customHeight="1" x14ac:dyDescent="0.15">
      <c r="A1445" s="89"/>
      <c r="B1445" s="87" t="s">
        <v>2325</v>
      </c>
      <c r="C1445" s="87"/>
      <c r="D1445" s="87"/>
      <c r="E1445" s="82"/>
    </row>
    <row r="1446" spans="1:5" ht="20" customHeight="1" x14ac:dyDescent="0.15">
      <c r="A1446" s="89"/>
      <c r="B1446" s="87" t="s">
        <v>2144</v>
      </c>
      <c r="C1446" s="87"/>
      <c r="D1446" s="87"/>
      <c r="E1446" s="82"/>
    </row>
    <row r="1447" spans="1:5" ht="20" customHeight="1" x14ac:dyDescent="0.15">
      <c r="A1447" s="89"/>
      <c r="B1447" s="87" t="s">
        <v>2326</v>
      </c>
      <c r="C1447" s="87"/>
      <c r="D1447" s="87"/>
      <c r="E1447" s="82"/>
    </row>
    <row r="1448" spans="1:5" ht="20" customHeight="1" x14ac:dyDescent="0.15">
      <c r="A1448" s="89"/>
      <c r="B1448" s="87" t="s">
        <v>2327</v>
      </c>
      <c r="C1448" s="87"/>
      <c r="D1448" s="87"/>
      <c r="E1448" s="82"/>
    </row>
    <row r="1449" spans="1:5" ht="20" customHeight="1" x14ac:dyDescent="0.15">
      <c r="A1449" s="89"/>
      <c r="B1449" s="87" t="s">
        <v>1634</v>
      </c>
      <c r="C1449" s="87"/>
      <c r="D1449" s="87"/>
      <c r="E1449" s="82"/>
    </row>
    <row r="1450" spans="1:5" ht="20" customHeight="1" x14ac:dyDescent="0.15">
      <c r="A1450" s="89"/>
      <c r="B1450" s="87" t="s">
        <v>1635</v>
      </c>
      <c r="C1450" s="87"/>
      <c r="D1450" s="87"/>
      <c r="E1450" s="82"/>
    </row>
    <row r="1451" spans="1:5" ht="20" customHeight="1" x14ac:dyDescent="0.15">
      <c r="A1451" s="89"/>
      <c r="B1451" s="87" t="s">
        <v>1482</v>
      </c>
      <c r="C1451" s="87"/>
      <c r="D1451" s="87"/>
      <c r="E1451" s="82"/>
    </row>
    <row r="1452" spans="1:5" ht="20" customHeight="1" x14ac:dyDescent="0.15">
      <c r="A1452" s="89"/>
      <c r="B1452" s="87" t="s">
        <v>2328</v>
      </c>
      <c r="C1452" s="87"/>
      <c r="D1452" s="87"/>
      <c r="E1452" s="82"/>
    </row>
    <row r="1453" spans="1:5" ht="20" customHeight="1" x14ac:dyDescent="0.15">
      <c r="A1453" s="89"/>
      <c r="B1453" s="87" t="s">
        <v>2329</v>
      </c>
      <c r="C1453" s="87"/>
      <c r="D1453" s="87"/>
      <c r="E1453" s="82"/>
    </row>
    <row r="1454" spans="1:5" ht="20" customHeight="1" x14ac:dyDescent="0.15">
      <c r="A1454" s="89"/>
      <c r="B1454" s="87" t="s">
        <v>1636</v>
      </c>
      <c r="C1454" s="87"/>
      <c r="D1454" s="87"/>
      <c r="E1454" s="82"/>
    </row>
    <row r="1455" spans="1:5" ht="20" customHeight="1" x14ac:dyDescent="0.15">
      <c r="A1455" s="89"/>
      <c r="B1455" s="87" t="s">
        <v>2330</v>
      </c>
      <c r="C1455" s="87"/>
      <c r="D1455" s="87"/>
      <c r="E1455" s="82"/>
    </row>
    <row r="1456" spans="1:5" ht="20" customHeight="1" x14ac:dyDescent="0.15">
      <c r="A1456" s="89"/>
      <c r="B1456" s="87" t="s">
        <v>2331</v>
      </c>
      <c r="C1456" s="87"/>
      <c r="D1456" s="87"/>
      <c r="E1456" s="82"/>
    </row>
    <row r="1457" spans="1:5" ht="20" customHeight="1" x14ac:dyDescent="0.15">
      <c r="A1457" s="89"/>
      <c r="B1457" s="87" t="s">
        <v>2332</v>
      </c>
      <c r="C1457" s="87"/>
      <c r="D1457" s="87"/>
      <c r="E1457" s="82"/>
    </row>
    <row r="1458" spans="1:5" ht="20" customHeight="1" x14ac:dyDescent="0.15">
      <c r="A1458" s="89"/>
      <c r="B1458" s="87" t="s">
        <v>2333</v>
      </c>
      <c r="C1458" s="87"/>
      <c r="D1458" s="87"/>
      <c r="E1458" s="82"/>
    </row>
    <row r="1459" spans="1:5" ht="20" customHeight="1" x14ac:dyDescent="0.15">
      <c r="A1459" s="89"/>
      <c r="B1459" s="87" t="s">
        <v>2334</v>
      </c>
      <c r="C1459" s="87"/>
      <c r="D1459" s="87"/>
      <c r="E1459" s="82"/>
    </row>
    <row r="1460" spans="1:5" ht="20" customHeight="1" x14ac:dyDescent="0.15">
      <c r="A1460" s="89"/>
      <c r="B1460" s="87" t="s">
        <v>2335</v>
      </c>
      <c r="C1460" s="87"/>
      <c r="D1460" s="87"/>
      <c r="E1460" s="82"/>
    </row>
    <row r="1461" spans="1:5" ht="20" customHeight="1" x14ac:dyDescent="0.15">
      <c r="A1461" s="89"/>
      <c r="B1461" s="87" t="s">
        <v>2336</v>
      </c>
      <c r="C1461" s="87"/>
      <c r="D1461" s="87"/>
      <c r="E1461" s="82"/>
    </row>
    <row r="1462" spans="1:5" ht="20" customHeight="1" x14ac:dyDescent="0.15">
      <c r="A1462" s="89"/>
      <c r="B1462" s="87" t="s">
        <v>2337</v>
      </c>
      <c r="C1462" s="87"/>
      <c r="D1462" s="87"/>
      <c r="E1462" s="82"/>
    </row>
    <row r="1463" spans="1:5" ht="20" customHeight="1" x14ac:dyDescent="0.15">
      <c r="A1463" s="89"/>
      <c r="B1463" s="87" t="s">
        <v>2338</v>
      </c>
      <c r="C1463" s="87"/>
      <c r="D1463" s="87"/>
      <c r="E1463" s="82"/>
    </row>
    <row r="1464" spans="1:5" ht="20" customHeight="1" x14ac:dyDescent="0.15">
      <c r="A1464" s="89"/>
      <c r="B1464" s="87" t="s">
        <v>2339</v>
      </c>
      <c r="C1464" s="87"/>
      <c r="D1464" s="87"/>
      <c r="E1464" s="82"/>
    </row>
    <row r="1465" spans="1:5" ht="20" customHeight="1" x14ac:dyDescent="0.15">
      <c r="A1465" s="89"/>
      <c r="B1465" s="87" t="s">
        <v>2340</v>
      </c>
      <c r="C1465" s="87"/>
      <c r="D1465" s="87"/>
      <c r="E1465" s="82"/>
    </row>
    <row r="1466" spans="1:5" ht="20" customHeight="1" x14ac:dyDescent="0.15">
      <c r="A1466" s="89"/>
      <c r="B1466" s="87" t="s">
        <v>2341</v>
      </c>
      <c r="C1466" s="87"/>
      <c r="D1466" s="87"/>
      <c r="E1466" s="82"/>
    </row>
    <row r="1467" spans="1:5" ht="20" customHeight="1" x14ac:dyDescent="0.15">
      <c r="A1467" s="89"/>
      <c r="B1467" s="87" t="s">
        <v>2342</v>
      </c>
      <c r="C1467" s="87"/>
      <c r="D1467" s="87"/>
      <c r="E1467" s="82"/>
    </row>
    <row r="1468" spans="1:5" ht="20" customHeight="1" x14ac:dyDescent="0.15">
      <c r="A1468" s="89"/>
      <c r="B1468" s="87" t="s">
        <v>2343</v>
      </c>
      <c r="C1468" s="87"/>
      <c r="D1468" s="87"/>
      <c r="E1468" s="82"/>
    </row>
    <row r="1469" spans="1:5" ht="20" customHeight="1" x14ac:dyDescent="0.15">
      <c r="A1469" s="89"/>
      <c r="B1469" s="87" t="s">
        <v>2344</v>
      </c>
      <c r="C1469" s="87"/>
      <c r="D1469" s="87"/>
      <c r="E1469" s="82"/>
    </row>
    <row r="1470" spans="1:5" ht="20" customHeight="1" x14ac:dyDescent="0.15">
      <c r="A1470" s="89"/>
      <c r="B1470" s="87" t="s">
        <v>2345</v>
      </c>
      <c r="C1470" s="87"/>
      <c r="D1470" s="87"/>
      <c r="E1470" s="82"/>
    </row>
    <row r="1471" spans="1:5" ht="20" customHeight="1" x14ac:dyDescent="0.15">
      <c r="A1471" s="89"/>
      <c r="B1471" s="87" t="s">
        <v>2346</v>
      </c>
      <c r="C1471" s="87"/>
      <c r="D1471" s="87"/>
      <c r="E1471" s="82"/>
    </row>
    <row r="1472" spans="1:5" ht="20" customHeight="1" x14ac:dyDescent="0.15">
      <c r="A1472" s="89"/>
      <c r="B1472" s="87" t="s">
        <v>2147</v>
      </c>
      <c r="C1472" s="87"/>
      <c r="D1472" s="87"/>
      <c r="E1472" s="82"/>
    </row>
    <row r="1473" spans="1:5" ht="20" customHeight="1" x14ac:dyDescent="0.15">
      <c r="A1473" s="89"/>
      <c r="B1473" s="87" t="s">
        <v>2347</v>
      </c>
      <c r="C1473" s="87"/>
      <c r="D1473" s="87"/>
      <c r="E1473" s="82"/>
    </row>
    <row r="1474" spans="1:5" ht="20" customHeight="1" x14ac:dyDescent="0.15">
      <c r="A1474" s="89"/>
      <c r="B1474" s="87" t="s">
        <v>2348</v>
      </c>
      <c r="C1474" s="87"/>
      <c r="D1474" s="87"/>
      <c r="E1474" s="82"/>
    </row>
    <row r="1475" spans="1:5" ht="20" customHeight="1" x14ac:dyDescent="0.15">
      <c r="A1475" s="89"/>
      <c r="B1475" s="87" t="s">
        <v>2349</v>
      </c>
      <c r="C1475" s="87"/>
      <c r="D1475" s="87"/>
      <c r="E1475" s="82"/>
    </row>
    <row r="1476" spans="1:5" ht="20" customHeight="1" x14ac:dyDescent="0.15">
      <c r="A1476" s="89"/>
      <c r="B1476" s="87" t="s">
        <v>2350</v>
      </c>
      <c r="C1476" s="87"/>
      <c r="D1476" s="87"/>
      <c r="E1476" s="82"/>
    </row>
    <row r="1477" spans="1:5" ht="20" customHeight="1" x14ac:dyDescent="0.15">
      <c r="A1477" s="89"/>
      <c r="B1477" s="87" t="s">
        <v>2351</v>
      </c>
      <c r="C1477" s="87"/>
      <c r="D1477" s="87"/>
      <c r="E1477" s="82"/>
    </row>
    <row r="1478" spans="1:5" ht="20" customHeight="1" x14ac:dyDescent="0.15">
      <c r="A1478" s="89"/>
      <c r="B1478" s="87" t="s">
        <v>2352</v>
      </c>
      <c r="C1478" s="87"/>
      <c r="D1478" s="87"/>
      <c r="E1478" s="82"/>
    </row>
    <row r="1479" spans="1:5" ht="20" customHeight="1" x14ac:dyDescent="0.15">
      <c r="A1479" s="89"/>
      <c r="B1479" s="87" t="s">
        <v>1480</v>
      </c>
      <c r="C1479" s="87"/>
      <c r="D1479" s="87"/>
      <c r="E1479" s="82"/>
    </row>
    <row r="1480" spans="1:5" ht="20" customHeight="1" x14ac:dyDescent="0.15">
      <c r="A1480" s="89"/>
      <c r="B1480" s="87" t="s">
        <v>2353</v>
      </c>
      <c r="C1480" s="87"/>
      <c r="D1480" s="87"/>
      <c r="E1480" s="82"/>
    </row>
    <row r="1481" spans="1:5" ht="20" customHeight="1" x14ac:dyDescent="0.15">
      <c r="A1481" s="89"/>
      <c r="B1481" s="87" t="s">
        <v>2354</v>
      </c>
      <c r="C1481" s="87"/>
      <c r="D1481" s="87"/>
      <c r="E1481" s="82"/>
    </row>
    <row r="1482" spans="1:5" ht="20" customHeight="1" x14ac:dyDescent="0.15">
      <c r="A1482" s="89"/>
      <c r="B1482" s="87" t="s">
        <v>2355</v>
      </c>
      <c r="C1482" s="87"/>
      <c r="D1482" s="87"/>
      <c r="E1482" s="82"/>
    </row>
    <row r="1483" spans="1:5" ht="20" customHeight="1" x14ac:dyDescent="0.15">
      <c r="A1483" s="89"/>
      <c r="B1483" s="87" t="s">
        <v>2356</v>
      </c>
      <c r="C1483" s="87"/>
      <c r="D1483" s="87"/>
      <c r="E1483" s="82"/>
    </row>
    <row r="1484" spans="1:5" ht="20" customHeight="1" x14ac:dyDescent="0.15">
      <c r="A1484" s="89"/>
      <c r="B1484" s="87" t="s">
        <v>2357</v>
      </c>
      <c r="C1484" s="87"/>
      <c r="D1484" s="87"/>
      <c r="E1484" s="82"/>
    </row>
    <row r="1485" spans="1:5" ht="20" customHeight="1" x14ac:dyDescent="0.15">
      <c r="A1485" s="89"/>
      <c r="B1485" s="87" t="s">
        <v>2358</v>
      </c>
      <c r="C1485" s="87"/>
      <c r="D1485" s="87"/>
      <c r="E1485" s="82"/>
    </row>
    <row r="1486" spans="1:5" ht="20" customHeight="1" x14ac:dyDescent="0.15">
      <c r="A1486" s="89"/>
      <c r="B1486" s="87" t="s">
        <v>2359</v>
      </c>
      <c r="C1486" s="87"/>
      <c r="D1486" s="87"/>
      <c r="E1486" s="82"/>
    </row>
    <row r="1487" spans="1:5" ht="20" customHeight="1" x14ac:dyDescent="0.15">
      <c r="A1487" s="89"/>
      <c r="B1487" s="87" t="s">
        <v>2360</v>
      </c>
      <c r="C1487" s="87"/>
      <c r="D1487" s="87"/>
      <c r="E1487" s="82"/>
    </row>
    <row r="1488" spans="1:5" ht="20" customHeight="1" x14ac:dyDescent="0.15">
      <c r="A1488" s="89"/>
      <c r="B1488" s="87" t="s">
        <v>2361</v>
      </c>
      <c r="C1488" s="87"/>
      <c r="D1488" s="87"/>
      <c r="E1488" s="82"/>
    </row>
    <row r="1489" spans="1:5" ht="20" customHeight="1" x14ac:dyDescent="0.15">
      <c r="A1489" s="89"/>
      <c r="B1489" s="87" t="s">
        <v>2113</v>
      </c>
      <c r="C1489" s="87"/>
      <c r="D1489" s="87"/>
      <c r="E1489" s="82"/>
    </row>
    <row r="1490" spans="1:5" ht="20" customHeight="1" x14ac:dyDescent="0.15">
      <c r="A1490" s="89"/>
      <c r="B1490" s="87" t="s">
        <v>2149</v>
      </c>
      <c r="C1490" s="87"/>
      <c r="D1490" s="87"/>
      <c r="E1490" s="82"/>
    </row>
    <row r="1491" spans="1:5" ht="20" customHeight="1" x14ac:dyDescent="0.15">
      <c r="A1491" s="89"/>
      <c r="B1491" s="87" t="s">
        <v>2362</v>
      </c>
      <c r="C1491" s="87"/>
      <c r="D1491" s="87"/>
      <c r="E1491" s="82"/>
    </row>
    <row r="1492" spans="1:5" ht="20" customHeight="1" x14ac:dyDescent="0.15">
      <c r="A1492" s="89"/>
      <c r="B1492" s="87" t="s">
        <v>2151</v>
      </c>
      <c r="C1492" s="87"/>
      <c r="D1492" s="87"/>
      <c r="E1492" s="82"/>
    </row>
    <row r="1493" spans="1:5" ht="20" customHeight="1" x14ac:dyDescent="0.15">
      <c r="A1493" s="89"/>
      <c r="B1493" s="87" t="s">
        <v>2155</v>
      </c>
      <c r="C1493" s="87"/>
      <c r="D1493" s="87"/>
      <c r="E1493" s="82"/>
    </row>
    <row r="1494" spans="1:5" ht="20" customHeight="1" x14ac:dyDescent="0.15">
      <c r="A1494" s="89"/>
      <c r="B1494" s="87" t="s">
        <v>2121</v>
      </c>
      <c r="C1494" s="87"/>
      <c r="D1494" s="87"/>
      <c r="E1494" s="82"/>
    </row>
    <row r="1495" spans="1:5" ht="20" customHeight="1" x14ac:dyDescent="0.15">
      <c r="A1495" s="89"/>
      <c r="B1495" s="87" t="s">
        <v>2363</v>
      </c>
      <c r="C1495" s="87"/>
      <c r="D1495" s="87"/>
      <c r="E1495" s="82"/>
    </row>
    <row r="1496" spans="1:5" ht="20" customHeight="1" x14ac:dyDescent="0.15">
      <c r="A1496" s="89"/>
      <c r="B1496" s="87" t="s">
        <v>2364</v>
      </c>
      <c r="C1496" s="87"/>
      <c r="D1496" s="87"/>
      <c r="E1496" s="82"/>
    </row>
    <row r="1497" spans="1:5" ht="20" customHeight="1" x14ac:dyDescent="0.15">
      <c r="A1497" s="89"/>
      <c r="B1497" s="87" t="s">
        <v>2365</v>
      </c>
      <c r="C1497" s="87"/>
      <c r="D1497" s="87"/>
      <c r="E1497" s="82"/>
    </row>
    <row r="1498" spans="1:5" ht="20" customHeight="1" x14ac:dyDescent="0.15">
      <c r="A1498" s="89"/>
      <c r="B1498" s="87" t="s">
        <v>2366</v>
      </c>
      <c r="C1498" s="87"/>
      <c r="D1498" s="87"/>
      <c r="E1498" s="82"/>
    </row>
    <row r="1499" spans="1:5" ht="20" customHeight="1" x14ac:dyDescent="0.15">
      <c r="A1499" s="89"/>
      <c r="B1499" s="87" t="s">
        <v>2367</v>
      </c>
      <c r="C1499" s="87"/>
      <c r="D1499" s="87"/>
      <c r="E1499" s="82"/>
    </row>
    <row r="1500" spans="1:5" ht="20" customHeight="1" x14ac:dyDescent="0.15">
      <c r="A1500" s="89"/>
      <c r="B1500" s="87" t="s">
        <v>2368</v>
      </c>
      <c r="C1500" s="87"/>
      <c r="D1500" s="87"/>
      <c r="E1500" s="82"/>
    </row>
    <row r="1501" spans="1:5" ht="20" customHeight="1" x14ac:dyDescent="0.15">
      <c r="A1501" s="89"/>
      <c r="B1501" s="87" t="s">
        <v>2369</v>
      </c>
      <c r="C1501" s="87"/>
      <c r="D1501" s="87"/>
      <c r="E1501" s="82"/>
    </row>
    <row r="1502" spans="1:5" ht="20" customHeight="1" x14ac:dyDescent="0.15">
      <c r="A1502" s="89"/>
      <c r="B1502" s="87" t="s">
        <v>2370</v>
      </c>
      <c r="C1502" s="87"/>
      <c r="D1502" s="87"/>
      <c r="E1502" s="82"/>
    </row>
    <row r="1503" spans="1:5" ht="20" customHeight="1" x14ac:dyDescent="0.15">
      <c r="A1503" s="89"/>
      <c r="B1503" s="87" t="s">
        <v>2371</v>
      </c>
      <c r="C1503" s="87"/>
      <c r="D1503" s="87"/>
      <c r="E1503" s="82"/>
    </row>
    <row r="1504" spans="1:5" ht="20" customHeight="1" x14ac:dyDescent="0.15">
      <c r="A1504" s="89"/>
      <c r="B1504" s="87" t="s">
        <v>2372</v>
      </c>
      <c r="C1504" s="87"/>
      <c r="D1504" s="87"/>
      <c r="E1504" s="82"/>
    </row>
    <row r="1505" spans="1:5" ht="20" customHeight="1" x14ac:dyDescent="0.15">
      <c r="A1505" s="89"/>
      <c r="B1505" s="87" t="s">
        <v>2373</v>
      </c>
      <c r="C1505" s="87"/>
      <c r="D1505" s="87"/>
      <c r="E1505" s="82"/>
    </row>
    <row r="1506" spans="1:5" ht="20" customHeight="1" x14ac:dyDescent="0.15">
      <c r="A1506" s="89"/>
      <c r="B1506" s="87" t="s">
        <v>2374</v>
      </c>
      <c r="C1506" s="87"/>
      <c r="D1506" s="87"/>
      <c r="E1506" s="82"/>
    </row>
    <row r="1507" spans="1:5" ht="20" customHeight="1" x14ac:dyDescent="0.15">
      <c r="A1507" s="89"/>
      <c r="B1507" s="87" t="s">
        <v>2375</v>
      </c>
      <c r="C1507" s="87"/>
      <c r="D1507" s="87"/>
      <c r="E1507" s="82"/>
    </row>
    <row r="1508" spans="1:5" ht="20" customHeight="1" x14ac:dyDescent="0.15">
      <c r="A1508" s="89"/>
      <c r="B1508" s="87" t="s">
        <v>2376</v>
      </c>
      <c r="C1508" s="87"/>
      <c r="D1508" s="87"/>
      <c r="E1508" s="82"/>
    </row>
    <row r="1509" spans="1:5" ht="20" customHeight="1" x14ac:dyDescent="0.15">
      <c r="A1509" s="89"/>
      <c r="B1509" s="87" t="s">
        <v>2377</v>
      </c>
      <c r="C1509" s="87"/>
      <c r="D1509" s="87"/>
      <c r="E1509" s="82"/>
    </row>
    <row r="1510" spans="1:5" ht="20" customHeight="1" x14ac:dyDescent="0.15">
      <c r="A1510" s="89"/>
      <c r="B1510" s="87" t="s">
        <v>2378</v>
      </c>
      <c r="C1510" s="87"/>
      <c r="D1510" s="87"/>
      <c r="E1510" s="82"/>
    </row>
    <row r="1511" spans="1:5" ht="20" customHeight="1" x14ac:dyDescent="0.15">
      <c r="A1511" s="89"/>
      <c r="B1511" s="87" t="s">
        <v>2379</v>
      </c>
      <c r="C1511" s="87"/>
      <c r="D1511" s="87"/>
      <c r="E1511" s="82"/>
    </row>
    <row r="1512" spans="1:5" ht="20" customHeight="1" x14ac:dyDescent="0.15">
      <c r="A1512" s="89"/>
      <c r="B1512" s="87" t="s">
        <v>2380</v>
      </c>
      <c r="C1512" s="87"/>
      <c r="D1512" s="87"/>
      <c r="E1512" s="82"/>
    </row>
    <row r="1513" spans="1:5" ht="20" customHeight="1" x14ac:dyDescent="0.15">
      <c r="A1513" s="89"/>
      <c r="B1513" s="87" t="s">
        <v>2381</v>
      </c>
      <c r="C1513" s="87"/>
      <c r="D1513" s="87"/>
      <c r="E1513" s="82"/>
    </row>
    <row r="1514" spans="1:5" ht="20" customHeight="1" x14ac:dyDescent="0.15">
      <c r="A1514" s="89"/>
      <c r="B1514" s="87" t="s">
        <v>2382</v>
      </c>
      <c r="C1514" s="87"/>
      <c r="D1514" s="87"/>
      <c r="E1514" s="82"/>
    </row>
    <row r="1515" spans="1:5" ht="20" customHeight="1" x14ac:dyDescent="0.15">
      <c r="A1515" s="89"/>
      <c r="B1515" s="87" t="s">
        <v>2383</v>
      </c>
      <c r="C1515" s="87"/>
      <c r="D1515" s="87"/>
      <c r="E1515" s="82"/>
    </row>
    <row r="1516" spans="1:5" ht="20" customHeight="1" x14ac:dyDescent="0.15">
      <c r="A1516" s="89"/>
      <c r="B1516" s="87" t="s">
        <v>2384</v>
      </c>
      <c r="C1516" s="87"/>
      <c r="D1516" s="87"/>
      <c r="E1516" s="82"/>
    </row>
    <row r="1517" spans="1:5" ht="20" customHeight="1" x14ac:dyDescent="0.15">
      <c r="A1517" s="89"/>
      <c r="B1517" s="87" t="s">
        <v>902</v>
      </c>
      <c r="C1517" s="87"/>
      <c r="D1517" s="87"/>
      <c r="E1517" s="82"/>
    </row>
    <row r="1518" spans="1:5" ht="20" customHeight="1" x14ac:dyDescent="0.15">
      <c r="A1518" s="89"/>
      <c r="B1518" s="87" t="s">
        <v>2385</v>
      </c>
      <c r="C1518" s="87"/>
      <c r="D1518" s="87"/>
      <c r="E1518" s="82"/>
    </row>
    <row r="1519" spans="1:5" ht="20" customHeight="1" x14ac:dyDescent="0.15">
      <c r="A1519" s="89"/>
      <c r="B1519" s="87" t="s">
        <v>2386</v>
      </c>
      <c r="C1519" s="87"/>
      <c r="D1519" s="87"/>
      <c r="E1519" s="82"/>
    </row>
    <row r="1520" spans="1:5" ht="20" customHeight="1" x14ac:dyDescent="0.15">
      <c r="A1520" s="89"/>
      <c r="B1520" s="87" t="s">
        <v>2387</v>
      </c>
      <c r="C1520" s="87"/>
      <c r="D1520" s="87"/>
      <c r="E1520" s="82"/>
    </row>
    <row r="1521" spans="1:5" ht="20" customHeight="1" x14ac:dyDescent="0.15">
      <c r="A1521" s="89"/>
      <c r="B1521" s="87" t="s">
        <v>2388</v>
      </c>
      <c r="C1521" s="87"/>
      <c r="D1521" s="87"/>
      <c r="E1521" s="82"/>
    </row>
    <row r="1522" spans="1:5" ht="20" customHeight="1" x14ac:dyDescent="0.15">
      <c r="A1522" s="89"/>
      <c r="B1522" s="87" t="s">
        <v>2389</v>
      </c>
      <c r="C1522" s="87"/>
      <c r="D1522" s="87"/>
      <c r="E1522" s="82"/>
    </row>
    <row r="1523" spans="1:5" ht="20" customHeight="1" x14ac:dyDescent="0.15">
      <c r="A1523" s="89"/>
      <c r="B1523" s="87" t="s">
        <v>2390</v>
      </c>
      <c r="C1523" s="87"/>
      <c r="D1523" s="87"/>
      <c r="E1523" s="82"/>
    </row>
    <row r="1524" spans="1:5" ht="20" customHeight="1" x14ac:dyDescent="0.15">
      <c r="A1524" s="89"/>
      <c r="B1524" s="87" t="s">
        <v>2391</v>
      </c>
      <c r="C1524" s="87"/>
      <c r="D1524" s="87"/>
      <c r="E1524" s="82"/>
    </row>
    <row r="1525" spans="1:5" ht="20" customHeight="1" x14ac:dyDescent="0.15">
      <c r="A1525" s="89"/>
      <c r="B1525" s="87" t="s">
        <v>2283</v>
      </c>
      <c r="C1525" s="87"/>
      <c r="D1525" s="87"/>
      <c r="E1525" s="82"/>
    </row>
    <row r="1526" spans="1:5" ht="20" customHeight="1" x14ac:dyDescent="0.15">
      <c r="A1526" s="89"/>
      <c r="B1526" s="87" t="s">
        <v>2392</v>
      </c>
      <c r="C1526" s="87"/>
      <c r="D1526" s="87"/>
      <c r="E1526" s="82"/>
    </row>
    <row r="1527" spans="1:5" ht="20" customHeight="1" x14ac:dyDescent="0.15">
      <c r="A1527" s="89"/>
      <c r="B1527" s="87" t="s">
        <v>2393</v>
      </c>
      <c r="C1527" s="87"/>
      <c r="D1527" s="87"/>
      <c r="E1527" s="82"/>
    </row>
    <row r="1528" spans="1:5" ht="20" customHeight="1" x14ac:dyDescent="0.15">
      <c r="A1528" s="89"/>
      <c r="B1528" s="87" t="s">
        <v>2394</v>
      </c>
      <c r="C1528" s="87"/>
      <c r="D1528" s="87"/>
      <c r="E1528" s="82"/>
    </row>
    <row r="1529" spans="1:5" ht="20" customHeight="1" x14ac:dyDescent="0.15">
      <c r="A1529" s="89"/>
      <c r="B1529" s="87" t="s">
        <v>2395</v>
      </c>
      <c r="C1529" s="87"/>
      <c r="D1529" s="87"/>
      <c r="E1529" s="82"/>
    </row>
    <row r="1530" spans="1:5" ht="20" customHeight="1" x14ac:dyDescent="0.15">
      <c r="A1530" s="89"/>
      <c r="B1530" s="87" t="s">
        <v>2396</v>
      </c>
      <c r="C1530" s="87"/>
      <c r="D1530" s="87"/>
      <c r="E1530" s="82"/>
    </row>
    <row r="1531" spans="1:5" ht="20" customHeight="1" x14ac:dyDescent="0.15">
      <c r="A1531" s="89"/>
      <c r="B1531" s="87" t="s">
        <v>2397</v>
      </c>
      <c r="C1531" s="87"/>
      <c r="D1531" s="87"/>
      <c r="E1531" s="82"/>
    </row>
    <row r="1532" spans="1:5" ht="20" customHeight="1" x14ac:dyDescent="0.15">
      <c r="A1532" s="89"/>
      <c r="B1532" s="87" t="s">
        <v>2398</v>
      </c>
      <c r="C1532" s="87"/>
      <c r="D1532" s="87"/>
      <c r="E1532" s="82"/>
    </row>
    <row r="1533" spans="1:5" ht="20" customHeight="1" x14ac:dyDescent="0.15">
      <c r="A1533" s="89"/>
      <c r="B1533" s="87" t="s">
        <v>2399</v>
      </c>
      <c r="C1533" s="87"/>
      <c r="D1533" s="87"/>
      <c r="E1533" s="82"/>
    </row>
    <row r="1534" spans="1:5" ht="20" customHeight="1" x14ac:dyDescent="0.15">
      <c r="A1534" s="89"/>
      <c r="B1534" s="87" t="s">
        <v>2400</v>
      </c>
      <c r="C1534" s="87"/>
      <c r="D1534" s="87"/>
      <c r="E1534" s="82"/>
    </row>
    <row r="1535" spans="1:5" ht="20" customHeight="1" x14ac:dyDescent="0.15">
      <c r="A1535" s="89"/>
      <c r="B1535" s="87" t="s">
        <v>2401</v>
      </c>
      <c r="C1535" s="87"/>
      <c r="D1535" s="87"/>
      <c r="E1535" s="82"/>
    </row>
    <row r="1536" spans="1:5" ht="20" customHeight="1" x14ac:dyDescent="0.15">
      <c r="A1536" s="89"/>
      <c r="B1536" s="87" t="s">
        <v>2402</v>
      </c>
      <c r="C1536" s="87"/>
      <c r="D1536" s="87"/>
      <c r="E1536" s="82"/>
    </row>
    <row r="1537" spans="1:5" ht="20" customHeight="1" x14ac:dyDescent="0.15">
      <c r="A1537" s="89"/>
      <c r="B1537" s="87" t="s">
        <v>2403</v>
      </c>
      <c r="C1537" s="87"/>
      <c r="D1537" s="87"/>
      <c r="E1537" s="82"/>
    </row>
    <row r="1538" spans="1:5" ht="20" customHeight="1" x14ac:dyDescent="0.15">
      <c r="A1538" s="89"/>
      <c r="B1538" s="87" t="s">
        <v>2404</v>
      </c>
      <c r="C1538" s="87"/>
      <c r="D1538" s="87"/>
      <c r="E1538" s="82"/>
    </row>
    <row r="1539" spans="1:5" ht="20" customHeight="1" x14ac:dyDescent="0.15">
      <c r="A1539" s="89"/>
      <c r="B1539" s="87" t="s">
        <v>1284</v>
      </c>
      <c r="C1539" s="87"/>
      <c r="D1539" s="87"/>
      <c r="E1539" s="82"/>
    </row>
    <row r="1540" spans="1:5" ht="20" customHeight="1" x14ac:dyDescent="0.15">
      <c r="A1540" s="89"/>
      <c r="B1540" s="87" t="s">
        <v>2405</v>
      </c>
      <c r="C1540" s="87"/>
      <c r="D1540" s="87"/>
      <c r="E1540" s="82"/>
    </row>
    <row r="1541" spans="1:5" ht="20" customHeight="1" x14ac:dyDescent="0.15">
      <c r="A1541" s="89"/>
      <c r="B1541" s="87" t="s">
        <v>2406</v>
      </c>
      <c r="C1541" s="87"/>
      <c r="D1541" s="87"/>
      <c r="E1541" s="82"/>
    </row>
    <row r="1542" spans="1:5" ht="20" customHeight="1" x14ac:dyDescent="0.15">
      <c r="A1542" s="89"/>
      <c r="B1542" s="87" t="s">
        <v>2407</v>
      </c>
      <c r="C1542" s="87"/>
      <c r="D1542" s="87"/>
      <c r="E1542" s="82"/>
    </row>
    <row r="1543" spans="1:5" ht="20" customHeight="1" x14ac:dyDescent="0.15">
      <c r="A1543" s="89"/>
      <c r="B1543" s="87" t="s">
        <v>2408</v>
      </c>
      <c r="C1543" s="87"/>
      <c r="D1543" s="87"/>
      <c r="E1543" s="82"/>
    </row>
    <row r="1544" spans="1:5" ht="20" customHeight="1" x14ac:dyDescent="0.15">
      <c r="A1544" s="89"/>
      <c r="B1544" s="87" t="s">
        <v>2409</v>
      </c>
      <c r="C1544" s="87"/>
      <c r="D1544" s="87"/>
      <c r="E1544" s="82"/>
    </row>
    <row r="1545" spans="1:5" ht="20" customHeight="1" x14ac:dyDescent="0.15">
      <c r="A1545" s="89"/>
      <c r="B1545" s="87" t="s">
        <v>2410</v>
      </c>
      <c r="C1545" s="87"/>
      <c r="D1545" s="87"/>
      <c r="E1545" s="82"/>
    </row>
    <row r="1546" spans="1:5" ht="20" customHeight="1" x14ac:dyDescent="0.15">
      <c r="A1546" s="89"/>
      <c r="B1546" s="87" t="s">
        <v>2411</v>
      </c>
      <c r="C1546" s="87"/>
      <c r="D1546" s="87"/>
      <c r="E1546" s="82"/>
    </row>
    <row r="1547" spans="1:5" ht="20" customHeight="1" x14ac:dyDescent="0.15">
      <c r="A1547" s="89"/>
      <c r="B1547" s="87" t="s">
        <v>628</v>
      </c>
      <c r="C1547" s="87"/>
      <c r="D1547" s="87"/>
      <c r="E1547" s="82"/>
    </row>
    <row r="1548" spans="1:5" ht="20" customHeight="1" x14ac:dyDescent="0.15">
      <c r="A1548" s="89"/>
      <c r="B1548" s="87" t="s">
        <v>2766</v>
      </c>
      <c r="C1548" s="87" t="s">
        <v>143</v>
      </c>
      <c r="D1548" s="87"/>
      <c r="E1548" s="82"/>
    </row>
    <row r="1549" spans="1:5" ht="20" customHeight="1" x14ac:dyDescent="0.15">
      <c r="A1549" s="89"/>
      <c r="B1549" s="87" t="s">
        <v>631</v>
      </c>
      <c r="C1549" s="87"/>
      <c r="D1549" s="87"/>
      <c r="E1549" s="82"/>
    </row>
    <row r="1550" spans="1:5" ht="20" customHeight="1" x14ac:dyDescent="0.15">
      <c r="A1550" s="89"/>
      <c r="B1550" s="87" t="s">
        <v>233</v>
      </c>
      <c r="C1550" s="87"/>
      <c r="D1550" s="87"/>
      <c r="E1550" s="82"/>
    </row>
    <row r="1551" spans="1:5" ht="20" customHeight="1" x14ac:dyDescent="0.15">
      <c r="A1551" s="89"/>
      <c r="B1551" s="87" t="s">
        <v>236</v>
      </c>
      <c r="C1551" s="87"/>
      <c r="D1551" s="87"/>
      <c r="E1551" s="82"/>
    </row>
    <row r="1552" spans="1:5" ht="20" customHeight="1" x14ac:dyDescent="0.15">
      <c r="A1552" s="89"/>
      <c r="B1552" s="87" t="s">
        <v>145</v>
      </c>
      <c r="C1552" s="87"/>
      <c r="D1552" s="87"/>
      <c r="E1552" s="82"/>
    </row>
    <row r="1553" spans="1:5" ht="20" customHeight="1" x14ac:dyDescent="0.15">
      <c r="A1553" s="89"/>
      <c r="B1553" s="87" t="s">
        <v>634</v>
      </c>
      <c r="C1553" s="87"/>
      <c r="D1553" s="87"/>
      <c r="E1553" s="82"/>
    </row>
    <row r="1554" spans="1:5" ht="20" customHeight="1" x14ac:dyDescent="0.15">
      <c r="A1554" s="89"/>
      <c r="B1554" s="87" t="s">
        <v>2412</v>
      </c>
      <c r="C1554" s="87"/>
      <c r="D1554" s="87"/>
      <c r="E1554" s="82"/>
    </row>
    <row r="1555" spans="1:5" ht="20" customHeight="1" x14ac:dyDescent="0.15">
      <c r="A1555" s="89"/>
      <c r="B1555" s="87" t="s">
        <v>2413</v>
      </c>
      <c r="C1555" s="87"/>
      <c r="D1555" s="87"/>
      <c r="E1555" s="82"/>
    </row>
    <row r="1556" spans="1:5" ht="20" customHeight="1" x14ac:dyDescent="0.15">
      <c r="A1556" s="89"/>
      <c r="B1556" s="87" t="s">
        <v>989</v>
      </c>
      <c r="C1556" s="87"/>
      <c r="D1556" s="87"/>
      <c r="E1556" s="82"/>
    </row>
    <row r="1557" spans="1:5" ht="20" customHeight="1" x14ac:dyDescent="0.15">
      <c r="A1557" s="89"/>
      <c r="B1557" s="87" t="s">
        <v>2414</v>
      </c>
      <c r="C1557" s="87"/>
      <c r="D1557" s="87"/>
      <c r="E1557" s="82"/>
    </row>
    <row r="1558" spans="1:5" ht="20" customHeight="1" x14ac:dyDescent="0.15">
      <c r="A1558" s="89"/>
      <c r="B1558" s="87" t="s">
        <v>2415</v>
      </c>
      <c r="C1558" s="87"/>
      <c r="D1558" s="87"/>
      <c r="E1558" s="82"/>
    </row>
    <row r="1559" spans="1:5" ht="20" customHeight="1" x14ac:dyDescent="0.15">
      <c r="A1559" s="89"/>
      <c r="B1559" s="87" t="s">
        <v>2416</v>
      </c>
      <c r="C1559" s="87"/>
      <c r="D1559" s="87"/>
      <c r="E1559" s="82"/>
    </row>
    <row r="1560" spans="1:5" ht="20" customHeight="1" x14ac:dyDescent="0.15">
      <c r="A1560" s="89"/>
      <c r="B1560" s="87" t="s">
        <v>2417</v>
      </c>
      <c r="C1560" s="87"/>
      <c r="D1560" s="87"/>
      <c r="E1560" s="82"/>
    </row>
    <row r="1561" spans="1:5" ht="20" customHeight="1" x14ac:dyDescent="0.15">
      <c r="A1561" s="89"/>
      <c r="B1561" s="87" t="s">
        <v>2418</v>
      </c>
      <c r="C1561" s="87"/>
      <c r="D1561" s="87"/>
      <c r="E1561" s="82"/>
    </row>
    <row r="1562" spans="1:5" ht="20" customHeight="1" x14ac:dyDescent="0.15">
      <c r="A1562" s="89"/>
      <c r="B1562" s="87" t="s">
        <v>2419</v>
      </c>
      <c r="C1562" s="87"/>
      <c r="D1562" s="87"/>
      <c r="E1562" s="82"/>
    </row>
    <row r="1563" spans="1:5" ht="20" customHeight="1" x14ac:dyDescent="0.15">
      <c r="A1563" s="89"/>
      <c r="B1563" s="87" t="s">
        <v>2420</v>
      </c>
      <c r="C1563" s="87"/>
      <c r="D1563" s="87"/>
      <c r="E1563" s="82"/>
    </row>
    <row r="1564" spans="1:5" ht="20" customHeight="1" x14ac:dyDescent="0.15">
      <c r="A1564" s="89"/>
      <c r="B1564" s="87" t="s">
        <v>2421</v>
      </c>
      <c r="C1564" s="87"/>
      <c r="D1564" s="87"/>
      <c r="E1564" s="82"/>
    </row>
    <row r="1565" spans="1:5" ht="20" customHeight="1" x14ac:dyDescent="0.15">
      <c r="A1565" s="89"/>
      <c r="B1565" s="87" t="s">
        <v>2422</v>
      </c>
      <c r="C1565" s="87"/>
      <c r="D1565" s="87"/>
      <c r="E1565" s="82"/>
    </row>
    <row r="1566" spans="1:5" ht="20" customHeight="1" x14ac:dyDescent="0.15">
      <c r="A1566" s="89"/>
      <c r="B1566" s="87" t="s">
        <v>2423</v>
      </c>
      <c r="C1566" s="87"/>
      <c r="D1566" s="87"/>
      <c r="E1566" s="82"/>
    </row>
    <row r="1567" spans="1:5" ht="20" customHeight="1" x14ac:dyDescent="0.15">
      <c r="A1567" s="89"/>
      <c r="B1567" s="87" t="s">
        <v>2424</v>
      </c>
      <c r="C1567" s="87"/>
      <c r="D1567" s="87"/>
      <c r="E1567" s="82"/>
    </row>
    <row r="1568" spans="1:5" ht="20" customHeight="1" x14ac:dyDescent="0.15">
      <c r="A1568" s="89"/>
      <c r="B1568" s="87" t="s">
        <v>2425</v>
      </c>
      <c r="C1568" s="87"/>
      <c r="D1568" s="87"/>
      <c r="E1568" s="82"/>
    </row>
    <row r="1569" spans="1:5" ht="20" customHeight="1" x14ac:dyDescent="0.15">
      <c r="A1569" s="89"/>
      <c r="B1569" s="87" t="s">
        <v>2426</v>
      </c>
      <c r="C1569" s="87"/>
      <c r="D1569" s="87"/>
      <c r="E1569" s="82"/>
    </row>
    <row r="1570" spans="1:5" ht="20" customHeight="1" x14ac:dyDescent="0.15">
      <c r="A1570" s="89"/>
      <c r="B1570" s="87" t="s">
        <v>2427</v>
      </c>
      <c r="C1570" s="87"/>
      <c r="D1570" s="87"/>
      <c r="E1570" s="82"/>
    </row>
    <row r="1571" spans="1:5" ht="20" customHeight="1" x14ac:dyDescent="0.15">
      <c r="A1571" s="89"/>
      <c r="B1571" s="87" t="s">
        <v>2428</v>
      </c>
      <c r="C1571" s="87"/>
      <c r="D1571" s="87"/>
      <c r="E1571" s="82"/>
    </row>
    <row r="1572" spans="1:5" ht="20" customHeight="1" x14ac:dyDescent="0.15">
      <c r="A1572" s="89"/>
      <c r="B1572" s="87" t="s">
        <v>2429</v>
      </c>
      <c r="C1572" s="87"/>
      <c r="D1572" s="87"/>
      <c r="E1572" s="82"/>
    </row>
    <row r="1573" spans="1:5" ht="20" customHeight="1" x14ac:dyDescent="0.15">
      <c r="A1573" s="89"/>
      <c r="B1573" s="87" t="s">
        <v>2430</v>
      </c>
      <c r="C1573" s="87"/>
      <c r="D1573" s="87"/>
      <c r="E1573" s="82"/>
    </row>
    <row r="1574" spans="1:5" ht="20" customHeight="1" x14ac:dyDescent="0.15">
      <c r="A1574" s="89"/>
      <c r="B1574" s="87" t="s">
        <v>2431</v>
      </c>
      <c r="C1574" s="87"/>
      <c r="D1574" s="87"/>
      <c r="E1574" s="82"/>
    </row>
    <row r="1575" spans="1:5" ht="20" customHeight="1" x14ac:dyDescent="0.15">
      <c r="A1575" s="89"/>
      <c r="B1575" s="87" t="s">
        <v>2432</v>
      </c>
      <c r="C1575" s="87"/>
      <c r="D1575" s="87"/>
      <c r="E1575" s="82"/>
    </row>
    <row r="1576" spans="1:5" ht="20" customHeight="1" x14ac:dyDescent="0.15">
      <c r="A1576" s="89"/>
      <c r="B1576" s="87" t="s">
        <v>2433</v>
      </c>
      <c r="C1576" s="87"/>
      <c r="D1576" s="87"/>
      <c r="E1576" s="82"/>
    </row>
    <row r="1577" spans="1:5" ht="20" customHeight="1" x14ac:dyDescent="0.15">
      <c r="A1577" s="89"/>
      <c r="B1577" s="87" t="s">
        <v>2434</v>
      </c>
      <c r="C1577" s="87"/>
      <c r="D1577" s="87"/>
      <c r="E1577" s="82"/>
    </row>
    <row r="1578" spans="1:5" ht="20" customHeight="1" x14ac:dyDescent="0.15">
      <c r="A1578" s="89"/>
      <c r="B1578" s="87" t="s">
        <v>2435</v>
      </c>
      <c r="C1578" s="87"/>
      <c r="D1578" s="87"/>
      <c r="E1578" s="82"/>
    </row>
    <row r="1579" spans="1:5" ht="20" customHeight="1" x14ac:dyDescent="0.15">
      <c r="A1579" s="89"/>
      <c r="B1579" s="87" t="s">
        <v>2436</v>
      </c>
      <c r="C1579" s="87"/>
      <c r="D1579" s="87"/>
      <c r="E1579" s="82"/>
    </row>
    <row r="1580" spans="1:5" ht="20" customHeight="1" x14ac:dyDescent="0.15">
      <c r="A1580" s="89"/>
      <c r="B1580" s="87" t="s">
        <v>2280</v>
      </c>
      <c r="C1580" s="87"/>
      <c r="D1580" s="87"/>
      <c r="E1580" s="82"/>
    </row>
    <row r="1581" spans="1:5" ht="20" customHeight="1" x14ac:dyDescent="0.15">
      <c r="A1581" s="89"/>
      <c r="B1581" s="87" t="s">
        <v>2437</v>
      </c>
      <c r="C1581" s="87"/>
      <c r="D1581" s="87"/>
      <c r="E1581" s="82"/>
    </row>
    <row r="1582" spans="1:5" ht="20" customHeight="1" x14ac:dyDescent="0.15">
      <c r="A1582" s="89"/>
      <c r="B1582" s="87" t="s">
        <v>2438</v>
      </c>
      <c r="C1582" s="87"/>
      <c r="D1582" s="87"/>
      <c r="E1582" s="82"/>
    </row>
    <row r="1583" spans="1:5" ht="20" customHeight="1" x14ac:dyDescent="0.15">
      <c r="A1583" s="89"/>
      <c r="B1583" s="87" t="s">
        <v>2439</v>
      </c>
      <c r="C1583" s="87"/>
      <c r="D1583" s="87"/>
      <c r="E1583" s="82"/>
    </row>
    <row r="1584" spans="1:5" ht="20" customHeight="1" x14ac:dyDescent="0.15">
      <c r="A1584" s="89"/>
      <c r="B1584" s="87" t="s">
        <v>2440</v>
      </c>
      <c r="C1584" s="87"/>
      <c r="D1584" s="87"/>
      <c r="E1584" s="82"/>
    </row>
    <row r="1585" spans="1:5" ht="20" customHeight="1" x14ac:dyDescent="0.15">
      <c r="A1585" s="89"/>
      <c r="B1585" s="87" t="s">
        <v>1351</v>
      </c>
      <c r="C1585" s="87"/>
      <c r="D1585" s="87"/>
      <c r="E1585" s="82"/>
    </row>
    <row r="1586" spans="1:5" ht="20" customHeight="1" x14ac:dyDescent="0.15">
      <c r="A1586" s="89"/>
      <c r="B1586" s="87" t="s">
        <v>2441</v>
      </c>
      <c r="C1586" s="87"/>
      <c r="D1586" s="87"/>
      <c r="E1586" s="82"/>
    </row>
    <row r="1587" spans="1:5" ht="20" customHeight="1" x14ac:dyDescent="0.15">
      <c r="A1587" s="89"/>
      <c r="B1587" s="87" t="s">
        <v>2442</v>
      </c>
      <c r="C1587" s="87"/>
      <c r="D1587" s="87"/>
      <c r="E1587" s="82"/>
    </row>
    <row r="1588" spans="1:5" ht="20" customHeight="1" x14ac:dyDescent="0.15">
      <c r="A1588" s="89"/>
      <c r="B1588" s="87" t="s">
        <v>2443</v>
      </c>
      <c r="C1588" s="87"/>
      <c r="D1588" s="87"/>
      <c r="E1588" s="82"/>
    </row>
    <row r="1589" spans="1:5" ht="20" customHeight="1" x14ac:dyDescent="0.15">
      <c r="A1589" s="89"/>
      <c r="B1589" s="87" t="s">
        <v>2444</v>
      </c>
      <c r="C1589" s="87"/>
      <c r="D1589" s="87"/>
      <c r="E1589" s="82"/>
    </row>
    <row r="1590" spans="1:5" ht="20" customHeight="1" x14ac:dyDescent="0.15">
      <c r="A1590" s="89"/>
      <c r="B1590" s="87" t="s">
        <v>2445</v>
      </c>
      <c r="C1590" s="87"/>
      <c r="D1590" s="87"/>
      <c r="E1590" s="82"/>
    </row>
    <row r="1591" spans="1:5" ht="20" customHeight="1" x14ac:dyDescent="0.15">
      <c r="A1591" s="89"/>
      <c r="B1591" s="87" t="s">
        <v>2446</v>
      </c>
      <c r="C1591" s="87"/>
      <c r="D1591" s="87"/>
      <c r="E1591" s="82"/>
    </row>
    <row r="1592" spans="1:5" ht="20" customHeight="1" x14ac:dyDescent="0.15">
      <c r="A1592" s="89"/>
      <c r="B1592" s="87" t="s">
        <v>2447</v>
      </c>
      <c r="C1592" s="87"/>
      <c r="D1592" s="87"/>
      <c r="E1592" s="82"/>
    </row>
    <row r="1593" spans="1:5" ht="20" customHeight="1" x14ac:dyDescent="0.15">
      <c r="A1593" s="89"/>
      <c r="B1593" s="87" t="s">
        <v>2448</v>
      </c>
      <c r="C1593" s="87"/>
      <c r="D1593" s="87"/>
      <c r="E1593" s="82"/>
    </row>
    <row r="1594" spans="1:5" ht="20" customHeight="1" x14ac:dyDescent="0.15">
      <c r="A1594" s="89"/>
      <c r="B1594" s="87" t="s">
        <v>2449</v>
      </c>
      <c r="C1594" s="87"/>
      <c r="D1594" s="87"/>
      <c r="E1594" s="82"/>
    </row>
    <row r="1595" spans="1:5" ht="20" customHeight="1" x14ac:dyDescent="0.15">
      <c r="A1595" s="89"/>
      <c r="B1595" s="87" t="s">
        <v>2450</v>
      </c>
      <c r="C1595" s="87"/>
      <c r="D1595" s="87"/>
      <c r="E1595" s="82"/>
    </row>
    <row r="1596" spans="1:5" ht="20" customHeight="1" x14ac:dyDescent="0.15">
      <c r="A1596" s="89"/>
      <c r="B1596" s="87" t="s">
        <v>139</v>
      </c>
      <c r="C1596" s="87"/>
      <c r="D1596" s="87"/>
      <c r="E1596" s="82"/>
    </row>
    <row r="1597" spans="1:5" ht="20" customHeight="1" x14ac:dyDescent="0.15">
      <c r="A1597" s="89"/>
      <c r="B1597" s="87" t="s">
        <v>367</v>
      </c>
      <c r="C1597" s="87"/>
      <c r="D1597" s="87"/>
      <c r="E1597" s="82"/>
    </row>
    <row r="1598" spans="1:5" ht="20" customHeight="1" x14ac:dyDescent="0.15">
      <c r="A1598" s="89"/>
      <c r="B1598" s="87" t="s">
        <v>982</v>
      </c>
      <c r="C1598" s="87"/>
      <c r="D1598" s="87"/>
      <c r="E1598" s="82"/>
    </row>
    <row r="1599" spans="1:5" ht="20" customHeight="1" x14ac:dyDescent="0.15">
      <c r="A1599" s="89"/>
      <c r="B1599" s="87" t="s">
        <v>624</v>
      </c>
      <c r="C1599" s="87"/>
      <c r="D1599" s="87"/>
      <c r="E1599" s="82"/>
    </row>
    <row r="1600" spans="1:5" ht="20" customHeight="1" x14ac:dyDescent="0.15">
      <c r="A1600" s="89"/>
      <c r="B1600" s="87" t="s">
        <v>2451</v>
      </c>
      <c r="C1600" s="87"/>
      <c r="D1600" s="87"/>
      <c r="E1600" s="82"/>
    </row>
    <row r="1601" spans="1:5" ht="20" customHeight="1" x14ac:dyDescent="0.15">
      <c r="A1601" s="89"/>
      <c r="B1601" s="87" t="s">
        <v>370</v>
      </c>
      <c r="C1601" s="87"/>
      <c r="D1601" s="87"/>
      <c r="E1601" s="82"/>
    </row>
    <row r="1602" spans="1:5" ht="20" customHeight="1" x14ac:dyDescent="0.15">
      <c r="A1602" s="89"/>
      <c r="B1602" s="87" t="s">
        <v>2452</v>
      </c>
      <c r="C1602" s="87"/>
      <c r="D1602" s="87"/>
      <c r="E1602" s="82"/>
    </row>
    <row r="1603" spans="1:5" ht="20" customHeight="1" x14ac:dyDescent="0.15">
      <c r="A1603" s="89"/>
      <c r="B1603" s="87" t="s">
        <v>674</v>
      </c>
      <c r="C1603" s="87"/>
      <c r="D1603" s="87"/>
      <c r="E1603" s="82"/>
    </row>
    <row r="1604" spans="1:5" ht="20" customHeight="1" x14ac:dyDescent="0.15">
      <c r="A1604" s="89"/>
      <c r="B1604" s="87" t="s">
        <v>1014</v>
      </c>
      <c r="C1604" s="87"/>
      <c r="D1604" s="87"/>
      <c r="E1604" s="82"/>
    </row>
    <row r="1605" spans="1:5" ht="20" customHeight="1" x14ac:dyDescent="0.15">
      <c r="A1605" s="89"/>
      <c r="B1605" s="87" t="s">
        <v>829</v>
      </c>
      <c r="C1605" s="87"/>
      <c r="D1605" s="87"/>
      <c r="E1605" s="82"/>
    </row>
    <row r="1606" spans="1:5" ht="20" customHeight="1" x14ac:dyDescent="0.15">
      <c r="A1606" s="89"/>
      <c r="B1606" s="87" t="s">
        <v>2453</v>
      </c>
      <c r="C1606" s="87"/>
      <c r="D1606" s="87"/>
      <c r="E1606" s="82"/>
    </row>
    <row r="1607" spans="1:5" ht="20" customHeight="1" x14ac:dyDescent="0.15">
      <c r="A1607" s="89"/>
      <c r="B1607" s="87" t="s">
        <v>2454</v>
      </c>
      <c r="C1607" s="87"/>
      <c r="D1607" s="87"/>
      <c r="E1607" s="82"/>
    </row>
    <row r="1608" spans="1:5" ht="20" customHeight="1" x14ac:dyDescent="0.15">
      <c r="A1608" s="89"/>
      <c r="B1608" s="87" t="s">
        <v>2455</v>
      </c>
      <c r="C1608" s="87"/>
      <c r="D1608" s="87"/>
      <c r="E1608" s="82"/>
    </row>
    <row r="1609" spans="1:5" ht="20" customHeight="1" x14ac:dyDescent="0.15">
      <c r="A1609" s="89"/>
      <c r="B1609" s="87" t="s">
        <v>2456</v>
      </c>
      <c r="C1609" s="87"/>
      <c r="D1609" s="87"/>
      <c r="E1609" s="82"/>
    </row>
    <row r="1610" spans="1:5" ht="20" customHeight="1" x14ac:dyDescent="0.15">
      <c r="A1610" s="89"/>
      <c r="B1610" s="87" t="s">
        <v>2521</v>
      </c>
      <c r="C1610" s="87"/>
      <c r="D1610" s="87"/>
      <c r="E1610" s="82"/>
    </row>
    <row r="1611" spans="1:5" ht="20" customHeight="1" x14ac:dyDescent="0.15">
      <c r="A1611" s="89"/>
      <c r="B1611" s="87" t="s">
        <v>2458</v>
      </c>
      <c r="C1611" s="87"/>
      <c r="D1611" s="87"/>
      <c r="E1611" s="82"/>
    </row>
    <row r="1612" spans="1:5" ht="20" customHeight="1" x14ac:dyDescent="0.15">
      <c r="A1612" s="89"/>
      <c r="B1612" s="87" t="s">
        <v>2459</v>
      </c>
      <c r="C1612" s="87"/>
      <c r="D1612" s="87"/>
      <c r="E1612" s="82"/>
    </row>
    <row r="1613" spans="1:5" ht="20" customHeight="1" x14ac:dyDescent="0.15">
      <c r="A1613" s="89"/>
      <c r="B1613" s="87" t="s">
        <v>2460</v>
      </c>
      <c r="C1613" s="87"/>
      <c r="D1613" s="87"/>
      <c r="E1613" s="82"/>
    </row>
    <row r="1614" spans="1:5" ht="20" customHeight="1" x14ac:dyDescent="0.15">
      <c r="A1614" s="89"/>
      <c r="B1614" s="87" t="s">
        <v>2186</v>
      </c>
      <c r="C1614" s="87"/>
      <c r="D1614" s="87"/>
      <c r="E1614" s="82"/>
    </row>
    <row r="1615" spans="1:5" ht="20" customHeight="1" x14ac:dyDescent="0.15">
      <c r="A1615" s="89"/>
      <c r="B1615" s="87" t="s">
        <v>2461</v>
      </c>
      <c r="C1615" s="87"/>
      <c r="D1615" s="87"/>
      <c r="E1615" s="82"/>
    </row>
    <row r="1616" spans="1:5" ht="20" customHeight="1" x14ac:dyDescent="0.15">
      <c r="A1616" s="89"/>
      <c r="B1616" s="87" t="s">
        <v>2462</v>
      </c>
      <c r="C1616" s="87"/>
      <c r="D1616" s="87"/>
      <c r="E1616" s="82"/>
    </row>
    <row r="1617" spans="1:5" ht="20" customHeight="1" x14ac:dyDescent="0.15">
      <c r="A1617" s="89"/>
      <c r="B1617" s="87" t="s">
        <v>2463</v>
      </c>
      <c r="C1617" s="87"/>
      <c r="D1617" s="87"/>
      <c r="E1617" s="82"/>
    </row>
    <row r="1618" spans="1:5" ht="20" customHeight="1" x14ac:dyDescent="0.15">
      <c r="A1618" s="89"/>
      <c r="B1618" s="87" t="s">
        <v>2464</v>
      </c>
      <c r="C1618" s="87"/>
      <c r="D1618" s="87"/>
      <c r="E1618" s="82"/>
    </row>
    <row r="1619" spans="1:5" ht="20" customHeight="1" x14ac:dyDescent="0.15">
      <c r="A1619" s="89"/>
      <c r="B1619" s="87" t="s">
        <v>2465</v>
      </c>
      <c r="C1619" s="87"/>
      <c r="D1619" s="87"/>
      <c r="E1619" s="82"/>
    </row>
    <row r="1620" spans="1:5" ht="20" customHeight="1" x14ac:dyDescent="0.15">
      <c r="A1620" s="89"/>
      <c r="B1620" s="87" t="s">
        <v>1560</v>
      </c>
      <c r="C1620" s="87"/>
      <c r="D1620" s="87"/>
      <c r="E1620" s="82"/>
    </row>
    <row r="1621" spans="1:5" ht="20" customHeight="1" x14ac:dyDescent="0.15">
      <c r="A1621" s="89"/>
      <c r="B1621" s="87" t="s">
        <v>2466</v>
      </c>
      <c r="C1621" s="87"/>
      <c r="D1621" s="87"/>
      <c r="E1621" s="82"/>
    </row>
    <row r="1622" spans="1:5" ht="20" customHeight="1" x14ac:dyDescent="0.15">
      <c r="A1622" s="89"/>
      <c r="B1622" s="87" t="s">
        <v>2467</v>
      </c>
      <c r="C1622" s="87"/>
      <c r="D1622" s="87"/>
      <c r="E1622" s="82"/>
    </row>
    <row r="1623" spans="1:5" ht="20" customHeight="1" x14ac:dyDescent="0.15">
      <c r="A1623" s="89"/>
      <c r="B1623" s="87" t="s">
        <v>2468</v>
      </c>
      <c r="C1623" s="87"/>
      <c r="D1623" s="87"/>
      <c r="E1623" s="82"/>
    </row>
    <row r="1624" spans="1:5" ht="20" customHeight="1" x14ac:dyDescent="0.15">
      <c r="A1624" s="89"/>
      <c r="B1624" s="87" t="s">
        <v>2469</v>
      </c>
      <c r="C1624" s="87"/>
      <c r="D1624" s="87"/>
      <c r="E1624" s="82"/>
    </row>
    <row r="1625" spans="1:5" ht="20" customHeight="1" x14ac:dyDescent="0.15">
      <c r="A1625" s="89"/>
      <c r="B1625" s="87" t="s">
        <v>2470</v>
      </c>
      <c r="C1625" s="87"/>
      <c r="D1625" s="87"/>
      <c r="E1625" s="82"/>
    </row>
    <row r="1626" spans="1:5" ht="20" customHeight="1" x14ac:dyDescent="0.15">
      <c r="A1626" s="89"/>
      <c r="B1626" s="87" t="s">
        <v>2471</v>
      </c>
      <c r="C1626" s="87"/>
      <c r="D1626" s="87"/>
      <c r="E1626" s="82"/>
    </row>
    <row r="1627" spans="1:5" ht="20" customHeight="1" x14ac:dyDescent="0.15">
      <c r="A1627" s="89"/>
      <c r="B1627" s="87" t="s">
        <v>2472</v>
      </c>
      <c r="C1627" s="87"/>
      <c r="D1627" s="87"/>
      <c r="E1627" s="82"/>
    </row>
    <row r="1628" spans="1:5" ht="20" customHeight="1" x14ac:dyDescent="0.15">
      <c r="A1628" s="89"/>
      <c r="B1628" s="87" t="s">
        <v>1558</v>
      </c>
      <c r="C1628" s="87"/>
      <c r="D1628" s="87"/>
      <c r="E1628" s="82"/>
    </row>
    <row r="1629" spans="1:5" ht="20" customHeight="1" x14ac:dyDescent="0.15">
      <c r="A1629" s="89"/>
      <c r="B1629" s="87" t="s">
        <v>2473</v>
      </c>
      <c r="C1629" s="87"/>
      <c r="D1629" s="87"/>
      <c r="E1629" s="82"/>
    </row>
    <row r="1630" spans="1:5" ht="20" customHeight="1" x14ac:dyDescent="0.15">
      <c r="A1630" s="89"/>
      <c r="B1630" s="87" t="s">
        <v>2474</v>
      </c>
      <c r="C1630" s="87"/>
      <c r="D1630" s="87"/>
      <c r="E1630" s="82"/>
    </row>
    <row r="1631" spans="1:5" ht="20" customHeight="1" x14ac:dyDescent="0.15">
      <c r="A1631" s="89"/>
      <c r="B1631" s="87" t="s">
        <v>2475</v>
      </c>
      <c r="C1631" s="87"/>
      <c r="D1631" s="87"/>
      <c r="E1631" s="82"/>
    </row>
    <row r="1632" spans="1:5" ht="20" customHeight="1" x14ac:dyDescent="0.15">
      <c r="A1632" s="89"/>
      <c r="B1632" s="87" t="s">
        <v>2476</v>
      </c>
      <c r="C1632" s="87"/>
      <c r="D1632" s="87"/>
      <c r="E1632" s="82"/>
    </row>
    <row r="1633" spans="1:5" ht="20" customHeight="1" x14ac:dyDescent="0.15">
      <c r="A1633" s="89"/>
      <c r="B1633" s="87" t="s">
        <v>2477</v>
      </c>
      <c r="C1633" s="87"/>
      <c r="D1633" s="87"/>
      <c r="E1633" s="82"/>
    </row>
    <row r="1634" spans="1:5" ht="20" customHeight="1" x14ac:dyDescent="0.15">
      <c r="A1634" s="89"/>
      <c r="B1634" s="87" t="s">
        <v>2478</v>
      </c>
      <c r="C1634" s="87"/>
      <c r="D1634" s="87"/>
      <c r="E1634" s="82"/>
    </row>
    <row r="1635" spans="1:5" ht="20" customHeight="1" x14ac:dyDescent="0.15">
      <c r="A1635" s="89"/>
      <c r="B1635" s="87" t="s">
        <v>2479</v>
      </c>
      <c r="C1635" s="87"/>
      <c r="D1635" s="87"/>
      <c r="E1635" s="82"/>
    </row>
    <row r="1636" spans="1:5" ht="20" customHeight="1" x14ac:dyDescent="0.15">
      <c r="A1636" s="89"/>
      <c r="B1636" s="87" t="s">
        <v>2480</v>
      </c>
      <c r="C1636" s="87"/>
      <c r="D1636" s="87"/>
      <c r="E1636" s="82"/>
    </row>
    <row r="1637" spans="1:5" ht="20" customHeight="1" x14ac:dyDescent="0.15">
      <c r="A1637" s="89"/>
      <c r="B1637" s="87" t="s">
        <v>2481</v>
      </c>
      <c r="C1637" s="87"/>
      <c r="D1637" s="87"/>
      <c r="E1637" s="82"/>
    </row>
    <row r="1638" spans="1:5" ht="20" customHeight="1" x14ac:dyDescent="0.15">
      <c r="A1638" s="89"/>
      <c r="B1638" s="87" t="s">
        <v>2482</v>
      </c>
      <c r="C1638" s="87"/>
      <c r="D1638" s="87"/>
      <c r="E1638" s="82"/>
    </row>
    <row r="1639" spans="1:5" ht="20" customHeight="1" x14ac:dyDescent="0.15">
      <c r="A1639" s="89"/>
      <c r="B1639" s="87" t="s">
        <v>2522</v>
      </c>
      <c r="C1639" s="87"/>
      <c r="D1639" s="87"/>
      <c r="E1639" s="82"/>
    </row>
    <row r="1640" spans="1:5" ht="20" customHeight="1" x14ac:dyDescent="0.15">
      <c r="A1640" s="89"/>
      <c r="B1640" s="87" t="s">
        <v>2484</v>
      </c>
      <c r="C1640" s="87"/>
      <c r="D1640" s="87"/>
      <c r="E1640" s="82"/>
    </row>
    <row r="1641" spans="1:5" ht="20" customHeight="1" x14ac:dyDescent="0.15">
      <c r="A1641" s="89"/>
      <c r="B1641" s="87" t="s">
        <v>1551</v>
      </c>
      <c r="C1641" s="87"/>
      <c r="D1641" s="87"/>
      <c r="E1641" s="82"/>
    </row>
    <row r="1642" spans="1:5" ht="20" customHeight="1" x14ac:dyDescent="0.15">
      <c r="A1642" s="89"/>
      <c r="B1642" s="87" t="s">
        <v>2485</v>
      </c>
      <c r="C1642" s="87"/>
      <c r="D1642" s="87"/>
      <c r="E1642" s="82"/>
    </row>
    <row r="1643" spans="1:5" ht="20" customHeight="1" x14ac:dyDescent="0.15">
      <c r="A1643" s="89"/>
      <c r="B1643" s="87" t="s">
        <v>2486</v>
      </c>
      <c r="C1643" s="87"/>
      <c r="D1643" s="87"/>
      <c r="E1643" s="82"/>
    </row>
    <row r="1644" spans="1:5" ht="20" customHeight="1" x14ac:dyDescent="0.15">
      <c r="A1644" s="89"/>
      <c r="B1644" s="87" t="s">
        <v>2487</v>
      </c>
      <c r="C1644" s="87"/>
      <c r="D1644" s="87"/>
      <c r="E1644" s="82"/>
    </row>
    <row r="1645" spans="1:5" ht="20" customHeight="1" x14ac:dyDescent="0.15">
      <c r="A1645" s="89"/>
      <c r="B1645" s="87" t="s">
        <v>1550</v>
      </c>
      <c r="C1645" s="87"/>
      <c r="D1645" s="87"/>
      <c r="E1645" s="82"/>
    </row>
    <row r="1646" spans="1:5" ht="20" customHeight="1" x14ac:dyDescent="0.15">
      <c r="A1646" s="89"/>
      <c r="B1646" s="87" t="s">
        <v>2488</v>
      </c>
      <c r="C1646" s="87"/>
      <c r="D1646" s="87"/>
      <c r="E1646" s="82"/>
    </row>
    <row r="1647" spans="1:5" ht="20" customHeight="1" x14ac:dyDescent="0.15">
      <c r="A1647" s="89"/>
      <c r="B1647" s="87" t="s">
        <v>2489</v>
      </c>
      <c r="C1647" s="87"/>
      <c r="D1647" s="87"/>
      <c r="E1647" s="82"/>
    </row>
    <row r="1648" spans="1:5" ht="20" customHeight="1" x14ac:dyDescent="0.15">
      <c r="A1648" s="89"/>
      <c r="B1648" s="87" t="s">
        <v>2490</v>
      </c>
      <c r="C1648" s="87"/>
      <c r="D1648" s="87"/>
      <c r="E1648" s="82"/>
    </row>
    <row r="1649" spans="1:5" ht="20" customHeight="1" x14ac:dyDescent="0.15">
      <c r="A1649" s="89"/>
      <c r="B1649" s="87" t="s">
        <v>2491</v>
      </c>
      <c r="C1649" s="87"/>
      <c r="D1649" s="87"/>
      <c r="E1649" s="82"/>
    </row>
    <row r="1650" spans="1:5" ht="20" customHeight="1" x14ac:dyDescent="0.15">
      <c r="A1650" s="89"/>
      <c r="B1650" s="87" t="s">
        <v>2492</v>
      </c>
      <c r="C1650" s="87"/>
      <c r="D1650" s="87"/>
      <c r="E1650" s="82"/>
    </row>
    <row r="1651" spans="1:5" ht="20" customHeight="1" x14ac:dyDescent="0.15">
      <c r="A1651" s="89"/>
      <c r="B1651" s="87" t="s">
        <v>2493</v>
      </c>
      <c r="C1651" s="87"/>
      <c r="D1651" s="87"/>
      <c r="E1651" s="82"/>
    </row>
    <row r="1652" spans="1:5" ht="20" customHeight="1" x14ac:dyDescent="0.15">
      <c r="A1652" s="89"/>
      <c r="B1652" s="87" t="s">
        <v>2494</v>
      </c>
      <c r="C1652" s="87"/>
      <c r="D1652" s="87"/>
      <c r="E1652" s="82"/>
    </row>
    <row r="1653" spans="1:5" ht="20" customHeight="1" x14ac:dyDescent="0.15">
      <c r="A1653" s="89"/>
      <c r="B1653" s="87" t="s">
        <v>2495</v>
      </c>
      <c r="C1653" s="87"/>
      <c r="D1653" s="87"/>
      <c r="E1653" s="82"/>
    </row>
    <row r="1654" spans="1:5" ht="20" customHeight="1" x14ac:dyDescent="0.15">
      <c r="A1654" s="89"/>
      <c r="B1654" s="87" t="s">
        <v>2496</v>
      </c>
      <c r="C1654" s="87"/>
      <c r="D1654" s="87"/>
      <c r="E1654" s="82"/>
    </row>
    <row r="1655" spans="1:5" ht="20" customHeight="1" x14ac:dyDescent="0.15">
      <c r="A1655" s="89"/>
      <c r="B1655" s="87" t="s">
        <v>2523</v>
      </c>
      <c r="C1655" s="87"/>
      <c r="D1655" s="87"/>
      <c r="E1655" s="82"/>
    </row>
    <row r="1656" spans="1:5" ht="20" customHeight="1" x14ac:dyDescent="0.15">
      <c r="A1656" s="89"/>
      <c r="B1656" s="87" t="s">
        <v>2498</v>
      </c>
      <c r="C1656" s="87"/>
      <c r="D1656" s="87"/>
      <c r="E1656" s="82"/>
    </row>
    <row r="1657" spans="1:5" ht="20" customHeight="1" x14ac:dyDescent="0.15">
      <c r="A1657" s="89"/>
      <c r="B1657" s="87" t="s">
        <v>2524</v>
      </c>
      <c r="C1657" s="87"/>
      <c r="D1657" s="87"/>
      <c r="E1657" s="82"/>
    </row>
    <row r="1658" spans="1:5" ht="20" customHeight="1" x14ac:dyDescent="0.15">
      <c r="A1658" s="89"/>
      <c r="B1658" s="87" t="s">
        <v>2500</v>
      </c>
      <c r="C1658" s="87"/>
      <c r="D1658" s="87"/>
      <c r="E1658" s="82"/>
    </row>
    <row r="1659" spans="1:5" ht="20" customHeight="1" x14ac:dyDescent="0.15">
      <c r="A1659" s="89"/>
      <c r="B1659" s="87" t="s">
        <v>2501</v>
      </c>
      <c r="C1659" s="87"/>
      <c r="D1659" s="87"/>
      <c r="E1659" s="82"/>
    </row>
    <row r="1660" spans="1:5" ht="20" customHeight="1" x14ac:dyDescent="0.15">
      <c r="A1660" s="89"/>
      <c r="B1660" s="87" t="s">
        <v>2502</v>
      </c>
      <c r="C1660" s="87"/>
      <c r="D1660" s="87"/>
      <c r="E1660" s="82"/>
    </row>
    <row r="1661" spans="1:5" ht="20" customHeight="1" x14ac:dyDescent="0.15">
      <c r="A1661" s="89"/>
      <c r="B1661" s="87" t="s">
        <v>2503</v>
      </c>
      <c r="C1661" s="87"/>
      <c r="D1661" s="87"/>
      <c r="E1661" s="82"/>
    </row>
    <row r="1662" spans="1:5" ht="20" customHeight="1" x14ac:dyDescent="0.15">
      <c r="A1662" s="89"/>
      <c r="B1662" s="87" t="s">
        <v>2504</v>
      </c>
      <c r="C1662" s="87"/>
      <c r="D1662" s="87"/>
      <c r="E1662" s="82"/>
    </row>
    <row r="1663" spans="1:5" ht="20" customHeight="1" x14ac:dyDescent="0.15">
      <c r="A1663" s="89"/>
      <c r="B1663" s="87" t="s">
        <v>2505</v>
      </c>
      <c r="C1663" s="87"/>
      <c r="D1663" s="87"/>
      <c r="E1663" s="82"/>
    </row>
    <row r="1664" spans="1:5" ht="20" customHeight="1" x14ac:dyDescent="0.15">
      <c r="A1664" s="89"/>
      <c r="B1664" s="87" t="s">
        <v>2506</v>
      </c>
      <c r="C1664" s="87"/>
      <c r="D1664" s="87"/>
      <c r="E1664" s="82"/>
    </row>
    <row r="1665" spans="1:5" ht="20" customHeight="1" x14ac:dyDescent="0.15">
      <c r="A1665" s="89"/>
      <c r="B1665" s="87" t="s">
        <v>2525</v>
      </c>
      <c r="C1665" s="87"/>
      <c r="D1665" s="87"/>
      <c r="E1665" s="82"/>
    </row>
    <row r="1666" spans="1:5" ht="20" customHeight="1" x14ac:dyDescent="0.15">
      <c r="A1666" s="89"/>
      <c r="B1666" s="87" t="s">
        <v>2508</v>
      </c>
      <c r="C1666" s="87"/>
      <c r="D1666" s="87"/>
      <c r="E1666" s="82"/>
    </row>
    <row r="1667" spans="1:5" ht="20" customHeight="1" x14ac:dyDescent="0.15">
      <c r="A1667" s="89"/>
      <c r="B1667" s="87" t="s">
        <v>2526</v>
      </c>
      <c r="C1667" s="87"/>
      <c r="D1667" s="87"/>
      <c r="E1667" s="82"/>
    </row>
    <row r="1668" spans="1:5" ht="20" customHeight="1" x14ac:dyDescent="0.15">
      <c r="A1668" s="89"/>
      <c r="B1668" s="87" t="s">
        <v>2510</v>
      </c>
      <c r="C1668" s="87"/>
      <c r="D1668" s="87"/>
      <c r="E1668" s="82"/>
    </row>
    <row r="1669" spans="1:5" ht="20" customHeight="1" x14ac:dyDescent="0.15">
      <c r="A1669" s="89"/>
      <c r="B1669" s="87" t="s">
        <v>2527</v>
      </c>
      <c r="C1669" s="87"/>
      <c r="D1669" s="87"/>
      <c r="E1669" s="82"/>
    </row>
    <row r="1670" spans="1:5" ht="20" customHeight="1" x14ac:dyDescent="0.15">
      <c r="A1670" s="89"/>
      <c r="B1670" s="87" t="s">
        <v>2512</v>
      </c>
      <c r="C1670" s="87"/>
      <c r="D1670" s="87"/>
      <c r="E1670" s="82"/>
    </row>
    <row r="1671" spans="1:5" ht="20" customHeight="1" x14ac:dyDescent="0.15">
      <c r="A1671" s="89"/>
      <c r="B1671" s="87" t="s">
        <v>2513</v>
      </c>
      <c r="C1671" s="87"/>
      <c r="D1671" s="87"/>
      <c r="E1671" s="82"/>
    </row>
    <row r="1672" spans="1:5" ht="20" customHeight="1" x14ac:dyDescent="0.15">
      <c r="A1672" s="89"/>
      <c r="B1672" s="87" t="s">
        <v>2514</v>
      </c>
      <c r="C1672" s="87"/>
      <c r="D1672" s="87"/>
      <c r="E1672" s="82"/>
    </row>
    <row r="1673" spans="1:5" ht="20" customHeight="1" x14ac:dyDescent="0.15">
      <c r="A1673" s="89"/>
      <c r="B1673" s="87" t="s">
        <v>2515</v>
      </c>
      <c r="C1673" s="87"/>
      <c r="D1673" s="87"/>
      <c r="E1673" s="82"/>
    </row>
    <row r="1674" spans="1:5" ht="20" customHeight="1" x14ac:dyDescent="0.15">
      <c r="A1674" s="89"/>
      <c r="B1674" s="87" t="s">
        <v>2516</v>
      </c>
      <c r="C1674" s="87"/>
      <c r="D1674" s="87"/>
      <c r="E1674" s="82"/>
    </row>
    <row r="1675" spans="1:5" ht="20" customHeight="1" x14ac:dyDescent="0.15">
      <c r="A1675" s="89"/>
      <c r="B1675" s="87" t="s">
        <v>2517</v>
      </c>
      <c r="C1675" s="87"/>
      <c r="D1675" s="87"/>
      <c r="E1675" s="82"/>
    </row>
    <row r="1676" spans="1:5" ht="20" customHeight="1" x14ac:dyDescent="0.15">
      <c r="A1676" s="89"/>
      <c r="B1676" s="87" t="s">
        <v>2518</v>
      </c>
      <c r="C1676" s="87"/>
      <c r="D1676" s="87"/>
      <c r="E1676" s="82"/>
    </row>
    <row r="1677" spans="1:5" ht="20" customHeight="1" x14ac:dyDescent="0.15">
      <c r="A1677" s="89"/>
      <c r="B1677" s="87" t="s">
        <v>2519</v>
      </c>
      <c r="C1677" s="87"/>
      <c r="D1677" s="87"/>
      <c r="E1677" s="82"/>
    </row>
    <row r="1678" spans="1:5" ht="20" customHeight="1" x14ac:dyDescent="0.15">
      <c r="A1678" s="89"/>
      <c r="B1678" s="87" t="s">
        <v>2520</v>
      </c>
      <c r="C1678" s="87"/>
      <c r="D1678" s="87"/>
      <c r="E1678" s="82"/>
    </row>
    <row r="1679" spans="1:5" ht="20" customHeight="1" x14ac:dyDescent="0.15">
      <c r="A1679" s="89"/>
      <c r="B1679" s="87" t="s">
        <v>1420</v>
      </c>
      <c r="C1679" s="87"/>
      <c r="D1679" s="87" t="s">
        <v>1420</v>
      </c>
      <c r="E1679" s="82"/>
    </row>
    <row r="1680" spans="1:5" ht="20" customHeight="1" x14ac:dyDescent="0.15">
      <c r="A1680" s="89"/>
      <c r="B1680" s="151" t="s">
        <v>2272</v>
      </c>
      <c r="C1680" s="151"/>
      <c r="D1680" s="151"/>
      <c r="E1680" s="82"/>
    </row>
    <row r="1681" spans="1:5" ht="20" customHeight="1" x14ac:dyDescent="0.15">
      <c r="A1681" s="86"/>
      <c r="B1681" s="87" t="s">
        <v>1058</v>
      </c>
      <c r="C1681" s="87" t="s">
        <v>1059</v>
      </c>
      <c r="D1681" s="87" t="s">
        <v>1060</v>
      </c>
      <c r="E1681" s="82"/>
    </row>
    <row r="1682" spans="1:5" ht="20" customHeight="1" x14ac:dyDescent="0.15">
      <c r="A1682" s="88" t="s">
        <v>213</v>
      </c>
      <c r="B1682" s="87" t="s">
        <v>242</v>
      </c>
      <c r="C1682" s="87" t="s">
        <v>243</v>
      </c>
      <c r="D1682" s="87" t="s">
        <v>1532</v>
      </c>
      <c r="E1682" s="82"/>
    </row>
    <row r="1683" spans="1:5" ht="20" customHeight="1" x14ac:dyDescent="0.15">
      <c r="A1683" s="86" t="s">
        <v>213</v>
      </c>
      <c r="B1683" s="87" t="s">
        <v>216</v>
      </c>
      <c r="C1683" s="87" t="s">
        <v>217</v>
      </c>
      <c r="D1683" s="87" t="s">
        <v>218</v>
      </c>
      <c r="E1683" s="82"/>
    </row>
    <row r="1684" spans="1:5" ht="20" customHeight="1" x14ac:dyDescent="0.15">
      <c r="A1684" s="86"/>
      <c r="B1684" s="87" t="s">
        <v>1079</v>
      </c>
      <c r="C1684" s="87" t="s">
        <v>1080</v>
      </c>
      <c r="D1684" s="87" t="s">
        <v>1081</v>
      </c>
      <c r="E1684" s="82"/>
    </row>
    <row r="1685" spans="1:5" ht="20" customHeight="1" x14ac:dyDescent="0.15">
      <c r="A1685" s="92"/>
      <c r="B1685" s="87" t="s">
        <v>1082</v>
      </c>
      <c r="C1685" s="87" t="s">
        <v>1083</v>
      </c>
      <c r="D1685" s="87" t="s">
        <v>1084</v>
      </c>
      <c r="E1685" s="82"/>
    </row>
    <row r="1686" spans="1:5" ht="20" customHeight="1" x14ac:dyDescent="0.15">
      <c r="A1686" s="88"/>
      <c r="B1686" s="87" t="s">
        <v>1085</v>
      </c>
      <c r="C1686" s="87" t="s">
        <v>1086</v>
      </c>
      <c r="D1686" s="87" t="s">
        <v>1087</v>
      </c>
      <c r="E1686" s="82" t="s">
        <v>2262</v>
      </c>
    </row>
    <row r="1687" spans="1:5" ht="20" customHeight="1" x14ac:dyDescent="0.15">
      <c r="A1687" s="86"/>
      <c r="B1687" s="87" t="s">
        <v>1088</v>
      </c>
      <c r="C1687" s="87" t="s">
        <v>1089</v>
      </c>
      <c r="D1687" s="87" t="s">
        <v>1090</v>
      </c>
      <c r="E1687" s="82"/>
    </row>
    <row r="1688" spans="1:5" ht="20" customHeight="1" x14ac:dyDescent="0.15">
      <c r="A1688" s="86"/>
      <c r="B1688" s="87" t="s">
        <v>1091</v>
      </c>
      <c r="C1688" s="87" t="s">
        <v>1092</v>
      </c>
      <c r="D1688" s="87" t="s">
        <v>1093</v>
      </c>
      <c r="E1688" s="82"/>
    </row>
    <row r="1689" spans="1:5" ht="20" customHeight="1" x14ac:dyDescent="0.15">
      <c r="A1689" s="86" t="s">
        <v>471</v>
      </c>
      <c r="B1689" s="87" t="s">
        <v>472</v>
      </c>
      <c r="C1689" s="87"/>
      <c r="D1689" s="87" t="s">
        <v>473</v>
      </c>
      <c r="E1689" s="82"/>
    </row>
    <row r="1690" spans="1:5" ht="20" customHeight="1" x14ac:dyDescent="0.15">
      <c r="A1690" s="84" t="s">
        <v>862</v>
      </c>
      <c r="B1690" s="87" t="s">
        <v>866</v>
      </c>
      <c r="C1690" s="87" t="s">
        <v>867</v>
      </c>
      <c r="D1690" s="87" t="s">
        <v>866</v>
      </c>
      <c r="E1690" s="82"/>
    </row>
    <row r="1691" spans="1:5" ht="20" customHeight="1" x14ac:dyDescent="0.15">
      <c r="A1691" s="86"/>
      <c r="B1691" s="87" t="s">
        <v>1094</v>
      </c>
      <c r="C1691" s="87" t="s">
        <v>1095</v>
      </c>
      <c r="D1691" s="87" t="s">
        <v>1096</v>
      </c>
      <c r="E1691" s="82"/>
    </row>
    <row r="1692" spans="1:5" ht="20" customHeight="1" x14ac:dyDescent="0.15">
      <c r="A1692" s="86"/>
      <c r="B1692" s="87" t="s">
        <v>1097</v>
      </c>
      <c r="C1692" s="87" t="s">
        <v>1098</v>
      </c>
      <c r="D1692" s="87" t="s">
        <v>1099</v>
      </c>
      <c r="E1692" s="82"/>
    </row>
    <row r="1693" spans="1:5" ht="20" customHeight="1" x14ac:dyDescent="0.15">
      <c r="A1693" s="86" t="s">
        <v>78</v>
      </c>
      <c r="B1693" s="87" t="s">
        <v>2117</v>
      </c>
      <c r="C1693" s="87" t="s">
        <v>1101</v>
      </c>
      <c r="D1693" s="87" t="s">
        <v>2118</v>
      </c>
      <c r="E1693" s="82"/>
    </row>
    <row r="1694" spans="1:5" ht="20" customHeight="1" x14ac:dyDescent="0.15">
      <c r="A1694" s="86"/>
      <c r="B1694" s="87" t="s">
        <v>1103</v>
      </c>
      <c r="C1694" s="87" t="s">
        <v>1104</v>
      </c>
      <c r="D1694" s="87" t="s">
        <v>1105</v>
      </c>
      <c r="E1694" s="82"/>
    </row>
    <row r="1695" spans="1:5" ht="20" customHeight="1" x14ac:dyDescent="0.15">
      <c r="A1695" s="84" t="s">
        <v>862</v>
      </c>
      <c r="B1695" s="87" t="s">
        <v>868</v>
      </c>
      <c r="C1695" s="87" t="s">
        <v>869</v>
      </c>
      <c r="D1695" s="87" t="s">
        <v>870</v>
      </c>
      <c r="E1695" s="82"/>
    </row>
    <row r="1696" spans="1:5" ht="20" customHeight="1" x14ac:dyDescent="0.15">
      <c r="A1696" s="86" t="s">
        <v>78</v>
      </c>
      <c r="B1696" s="87" t="s">
        <v>1106</v>
      </c>
      <c r="C1696" s="87" t="s">
        <v>1107</v>
      </c>
      <c r="D1696" s="87" t="s">
        <v>1108</v>
      </c>
      <c r="E1696" s="82"/>
    </row>
    <row r="1697" spans="1:5" ht="20" customHeight="1" x14ac:dyDescent="0.15">
      <c r="A1697" s="86"/>
      <c r="B1697" s="87" t="s">
        <v>1109</v>
      </c>
      <c r="C1697" s="87" t="s">
        <v>1110</v>
      </c>
      <c r="D1697" s="87" t="s">
        <v>1111</v>
      </c>
      <c r="E1697" s="82"/>
    </row>
    <row r="1698" spans="1:5" ht="20" customHeight="1" x14ac:dyDescent="0.15">
      <c r="A1698" s="86" t="s">
        <v>213</v>
      </c>
      <c r="B1698" s="87" t="s">
        <v>244</v>
      </c>
      <c r="C1698" s="87" t="s">
        <v>245</v>
      </c>
      <c r="D1698" s="87" t="s">
        <v>246</v>
      </c>
      <c r="E1698" s="82"/>
    </row>
    <row r="1699" spans="1:5" ht="20" customHeight="1" x14ac:dyDescent="0.15">
      <c r="A1699" s="86" t="s">
        <v>213</v>
      </c>
      <c r="B1699" s="87" t="s">
        <v>221</v>
      </c>
      <c r="C1699" s="87" t="s">
        <v>222</v>
      </c>
      <c r="D1699" s="87" t="s">
        <v>223</v>
      </c>
      <c r="E1699" s="82"/>
    </row>
    <row r="1700" spans="1:5" ht="20" customHeight="1" x14ac:dyDescent="0.15">
      <c r="A1700" s="86" t="s">
        <v>213</v>
      </c>
      <c r="B1700" s="87" t="s">
        <v>247</v>
      </c>
      <c r="C1700" s="87" t="s">
        <v>248</v>
      </c>
      <c r="D1700" s="87" t="s">
        <v>249</v>
      </c>
      <c r="E1700" s="82"/>
    </row>
    <row r="1701" spans="1:5" ht="20" customHeight="1" x14ac:dyDescent="0.15">
      <c r="A1701" s="86" t="s">
        <v>471</v>
      </c>
      <c r="B1701" s="87" t="s">
        <v>474</v>
      </c>
      <c r="C1701" s="87" t="s">
        <v>475</v>
      </c>
      <c r="D1701" s="87" t="s">
        <v>476</v>
      </c>
      <c r="E1701" s="82"/>
    </row>
    <row r="1702" spans="1:5" ht="20" customHeight="1" x14ac:dyDescent="0.15">
      <c r="A1702" s="86" t="s">
        <v>471</v>
      </c>
      <c r="B1702" s="87" t="s">
        <v>477</v>
      </c>
      <c r="C1702" s="87" t="s">
        <v>478</v>
      </c>
      <c r="D1702" s="87" t="s">
        <v>479</v>
      </c>
      <c r="E1702" s="82"/>
    </row>
    <row r="1703" spans="1:5" ht="20" customHeight="1" x14ac:dyDescent="0.15">
      <c r="A1703" s="86" t="s">
        <v>213</v>
      </c>
      <c r="B1703" s="87" t="s">
        <v>224</v>
      </c>
      <c r="C1703" s="87" t="s">
        <v>225</v>
      </c>
      <c r="D1703" s="87" t="s">
        <v>226</v>
      </c>
      <c r="E1703" s="82"/>
    </row>
    <row r="1704" spans="1:5" ht="20" customHeight="1" x14ac:dyDescent="0.15">
      <c r="A1704" s="86"/>
      <c r="B1704" s="87" t="s">
        <v>1112</v>
      </c>
      <c r="C1704" s="87" t="s">
        <v>1113</v>
      </c>
      <c r="D1704" s="87" t="s">
        <v>1114</v>
      </c>
      <c r="E1704" s="82"/>
    </row>
    <row r="1705" spans="1:5" ht="20" customHeight="1" x14ac:dyDescent="0.15">
      <c r="A1705" s="86" t="s">
        <v>213</v>
      </c>
      <c r="B1705" s="87" t="s">
        <v>250</v>
      </c>
      <c r="C1705" s="87" t="s">
        <v>251</v>
      </c>
      <c r="D1705" s="87" t="s">
        <v>252</v>
      </c>
      <c r="E1705" s="82"/>
    </row>
    <row r="1706" spans="1:5" ht="20" customHeight="1" x14ac:dyDescent="0.15">
      <c r="A1706" s="86" t="s">
        <v>471</v>
      </c>
      <c r="B1706" s="87" t="s">
        <v>480</v>
      </c>
      <c r="C1706" s="87" t="s">
        <v>481</v>
      </c>
      <c r="D1706" s="87" t="s">
        <v>482</v>
      </c>
      <c r="E1706" s="82"/>
    </row>
    <row r="1707" spans="1:5" ht="20" customHeight="1" x14ac:dyDescent="0.15">
      <c r="A1707" s="86" t="s">
        <v>213</v>
      </c>
      <c r="B1707" s="87" t="s">
        <v>227</v>
      </c>
      <c r="C1707" s="87" t="s">
        <v>228</v>
      </c>
      <c r="D1707" s="87" t="s">
        <v>229</v>
      </c>
      <c r="E1707" s="82"/>
    </row>
    <row r="1708" spans="1:5" ht="20" customHeight="1" x14ac:dyDescent="0.15">
      <c r="A1708" s="86" t="s">
        <v>471</v>
      </c>
      <c r="B1708" s="87" t="s">
        <v>483</v>
      </c>
      <c r="C1708" s="87" t="s">
        <v>484</v>
      </c>
      <c r="D1708" s="87" t="s">
        <v>485</v>
      </c>
      <c r="E1708" s="82"/>
    </row>
    <row r="1709" spans="1:5" ht="20" customHeight="1" x14ac:dyDescent="0.15">
      <c r="A1709" s="86" t="s">
        <v>213</v>
      </c>
      <c r="B1709" s="87" t="s">
        <v>230</v>
      </c>
      <c r="C1709" s="87" t="s">
        <v>231</v>
      </c>
      <c r="D1709" s="87" t="s">
        <v>232</v>
      </c>
      <c r="E1709" s="82"/>
    </row>
    <row r="1710" spans="1:5" ht="20" customHeight="1" x14ac:dyDescent="0.15">
      <c r="A1710" s="86" t="s">
        <v>471</v>
      </c>
      <c r="B1710" s="87" t="s">
        <v>486</v>
      </c>
      <c r="C1710" s="87" t="s">
        <v>487</v>
      </c>
      <c r="D1710" s="87" t="s">
        <v>488</v>
      </c>
      <c r="E1710" s="82"/>
    </row>
    <row r="1711" spans="1:5" ht="20" customHeight="1" x14ac:dyDescent="0.15">
      <c r="A1711" s="86" t="s">
        <v>213</v>
      </c>
      <c r="B1711" s="87" t="s">
        <v>253</v>
      </c>
      <c r="C1711" s="87" t="s">
        <v>254</v>
      </c>
      <c r="D1711" s="87" t="s">
        <v>255</v>
      </c>
      <c r="E1711" s="82"/>
    </row>
    <row r="1712" spans="1:5" ht="20" customHeight="1" x14ac:dyDescent="0.15">
      <c r="A1712" s="86" t="s">
        <v>213</v>
      </c>
      <c r="B1712" s="87" t="s">
        <v>256</v>
      </c>
      <c r="C1712" s="87" t="s">
        <v>257</v>
      </c>
      <c r="D1712" s="87" t="s">
        <v>258</v>
      </c>
      <c r="E1712" s="82"/>
    </row>
    <row r="1713" spans="1:5" ht="20" customHeight="1" x14ac:dyDescent="0.15">
      <c r="A1713" s="86" t="s">
        <v>213</v>
      </c>
      <c r="B1713" s="87" t="s">
        <v>259</v>
      </c>
      <c r="C1713" s="87" t="s">
        <v>260</v>
      </c>
      <c r="D1713" s="87" t="s">
        <v>261</v>
      </c>
      <c r="E1713" s="82"/>
    </row>
    <row r="1714" spans="1:5" ht="20" customHeight="1" x14ac:dyDescent="0.15">
      <c r="A1714" s="86" t="s">
        <v>471</v>
      </c>
      <c r="B1714" s="87" t="s">
        <v>489</v>
      </c>
      <c r="C1714" s="87" t="s">
        <v>490</v>
      </c>
      <c r="D1714" s="87" t="s">
        <v>491</v>
      </c>
      <c r="E1714" s="82"/>
    </row>
    <row r="1715" spans="1:5" ht="20" customHeight="1" x14ac:dyDescent="0.15">
      <c r="A1715" s="86" t="s">
        <v>471</v>
      </c>
      <c r="B1715" s="87" t="s">
        <v>492</v>
      </c>
      <c r="C1715" s="87" t="s">
        <v>493</v>
      </c>
      <c r="D1715" s="87" t="s">
        <v>494</v>
      </c>
      <c r="E1715" s="82"/>
    </row>
    <row r="1716" spans="1:5" ht="20" customHeight="1" x14ac:dyDescent="0.15">
      <c r="A1716" s="86"/>
      <c r="B1716" s="87" t="s">
        <v>1115</v>
      </c>
      <c r="C1716" s="87" t="s">
        <v>1116</v>
      </c>
      <c r="D1716" s="87" t="s">
        <v>1607</v>
      </c>
      <c r="E1716" s="82"/>
    </row>
    <row r="1717" spans="1:5" ht="20" customHeight="1" x14ac:dyDescent="0.15">
      <c r="A1717" s="86"/>
      <c r="B1717" s="87" t="s">
        <v>1118</v>
      </c>
      <c r="C1717" s="87" t="s">
        <v>1119</v>
      </c>
      <c r="D1717" s="87" t="s">
        <v>1120</v>
      </c>
      <c r="E1717" s="82"/>
    </row>
    <row r="1718" spans="1:5" ht="20" customHeight="1" x14ac:dyDescent="0.15">
      <c r="A1718" s="88"/>
      <c r="B1718" s="87" t="s">
        <v>1121</v>
      </c>
      <c r="C1718" s="87" t="s">
        <v>1122</v>
      </c>
      <c r="D1718" s="87" t="s">
        <v>1503</v>
      </c>
      <c r="E1718" s="82"/>
    </row>
    <row r="1719" spans="1:5" ht="20" customHeight="1" x14ac:dyDescent="0.15">
      <c r="A1719" s="86" t="s">
        <v>213</v>
      </c>
      <c r="B1719" s="87" t="s">
        <v>262</v>
      </c>
      <c r="C1719" s="87" t="s">
        <v>263</v>
      </c>
      <c r="D1719" s="87" t="s">
        <v>1608</v>
      </c>
      <c r="E1719" s="82"/>
    </row>
    <row r="1720" spans="1:5" ht="20" customHeight="1" x14ac:dyDescent="0.15">
      <c r="A1720" s="86" t="s">
        <v>213</v>
      </c>
      <c r="B1720" s="87" t="s">
        <v>265</v>
      </c>
      <c r="C1720" s="87"/>
      <c r="D1720" s="87" t="s">
        <v>266</v>
      </c>
      <c r="E1720" s="82"/>
    </row>
    <row r="1721" spans="1:5" ht="20" customHeight="1" x14ac:dyDescent="0.15">
      <c r="A1721" s="86" t="s">
        <v>213</v>
      </c>
      <c r="B1721" s="87" t="s">
        <v>267</v>
      </c>
      <c r="C1721" s="87" t="s">
        <v>268</v>
      </c>
      <c r="D1721" s="87" t="s">
        <v>269</v>
      </c>
      <c r="E1721" s="82"/>
    </row>
    <row r="1722" spans="1:5" ht="20" customHeight="1" x14ac:dyDescent="0.15">
      <c r="A1722" s="86" t="s">
        <v>471</v>
      </c>
      <c r="B1722" s="87" t="s">
        <v>495</v>
      </c>
      <c r="C1722" s="87" t="s">
        <v>496</v>
      </c>
      <c r="D1722" s="87" t="s">
        <v>497</v>
      </c>
      <c r="E1722" s="82"/>
    </row>
    <row r="1723" spans="1:5" ht="20" customHeight="1" x14ac:dyDescent="0.15">
      <c r="A1723" s="84" t="s">
        <v>862</v>
      </c>
      <c r="B1723" s="87" t="s">
        <v>871</v>
      </c>
      <c r="C1723" s="87">
        <v>0</v>
      </c>
      <c r="D1723" s="87" t="s">
        <v>872</v>
      </c>
      <c r="E1723" s="82"/>
    </row>
    <row r="1724" spans="1:5" ht="20" customHeight="1" x14ac:dyDescent="0.15">
      <c r="A1724" s="86" t="s">
        <v>471</v>
      </c>
      <c r="B1724" s="87" t="s">
        <v>498</v>
      </c>
      <c r="C1724" s="87"/>
      <c r="D1724" s="87" t="s">
        <v>499</v>
      </c>
      <c r="E1724" s="82"/>
    </row>
    <row r="1725" spans="1:5" ht="20" customHeight="1" x14ac:dyDescent="0.15">
      <c r="A1725" s="86" t="s">
        <v>471</v>
      </c>
      <c r="B1725" s="87" t="s">
        <v>500</v>
      </c>
      <c r="C1725" s="87"/>
      <c r="D1725" s="87" t="s">
        <v>501</v>
      </c>
      <c r="E1725" s="82"/>
    </row>
    <row r="1726" spans="1:5" ht="20" customHeight="1" x14ac:dyDescent="0.15">
      <c r="A1726" s="86" t="s">
        <v>78</v>
      </c>
      <c r="B1726" s="87" t="s">
        <v>1123</v>
      </c>
      <c r="C1726" s="87" t="s">
        <v>1124</v>
      </c>
      <c r="D1726" s="87" t="s">
        <v>2120</v>
      </c>
      <c r="E1726" s="82"/>
    </row>
    <row r="1727" spans="1:5" ht="20" customHeight="1" x14ac:dyDescent="0.15">
      <c r="A1727" s="86" t="s">
        <v>213</v>
      </c>
      <c r="B1727" s="87" t="s">
        <v>270</v>
      </c>
      <c r="C1727" s="87" t="s">
        <v>271</v>
      </c>
      <c r="D1727" s="87" t="s">
        <v>272</v>
      </c>
      <c r="E1727" s="82"/>
    </row>
    <row r="1728" spans="1:5" ht="20" customHeight="1" x14ac:dyDescent="0.15">
      <c r="A1728" s="86" t="s">
        <v>213</v>
      </c>
      <c r="B1728" s="87" t="s">
        <v>273</v>
      </c>
      <c r="C1728" s="87" t="s">
        <v>274</v>
      </c>
      <c r="D1728" s="87" t="s">
        <v>275</v>
      </c>
      <c r="E1728" s="82"/>
    </row>
    <row r="1729" spans="1:5" ht="20" customHeight="1" x14ac:dyDescent="0.15">
      <c r="A1729" s="86"/>
      <c r="B1729" s="87" t="s">
        <v>1126</v>
      </c>
      <c r="C1729" s="87">
        <v>0</v>
      </c>
      <c r="D1729" s="87" t="s">
        <v>1127</v>
      </c>
      <c r="E1729" s="82"/>
    </row>
    <row r="1730" spans="1:5" ht="20" customHeight="1" x14ac:dyDescent="0.15">
      <c r="A1730" s="86" t="s">
        <v>471</v>
      </c>
      <c r="B1730" s="87" t="s">
        <v>502</v>
      </c>
      <c r="C1730" s="87"/>
      <c r="D1730" s="87" t="s">
        <v>503</v>
      </c>
      <c r="E1730" s="82"/>
    </row>
    <row r="1731" spans="1:5" ht="20" customHeight="1" x14ac:dyDescent="0.15">
      <c r="A1731" s="84" t="s">
        <v>728</v>
      </c>
      <c r="B1731" s="87" t="s">
        <v>729</v>
      </c>
      <c r="C1731" s="87">
        <v>0</v>
      </c>
      <c r="D1731" s="87" t="s">
        <v>730</v>
      </c>
      <c r="E1731" s="82"/>
    </row>
    <row r="1732" spans="1:5" ht="20" customHeight="1" x14ac:dyDescent="0.15">
      <c r="A1732" s="84" t="s">
        <v>728</v>
      </c>
      <c r="B1732" s="87" t="s">
        <v>731</v>
      </c>
      <c r="C1732" s="87" t="s">
        <v>732</v>
      </c>
      <c r="D1732" s="87" t="s">
        <v>733</v>
      </c>
      <c r="E1732" s="82"/>
    </row>
    <row r="1733" spans="1:5" ht="20" customHeight="1" x14ac:dyDescent="0.15">
      <c r="A1733" s="86"/>
      <c r="B1733" s="87" t="s">
        <v>1128</v>
      </c>
      <c r="C1733" s="87" t="s">
        <v>1129</v>
      </c>
      <c r="D1733" s="87" t="s">
        <v>1130</v>
      </c>
      <c r="E1733" s="82"/>
    </row>
    <row r="1734" spans="1:5" ht="20" customHeight="1" x14ac:dyDescent="0.15">
      <c r="A1734" s="86" t="s">
        <v>471</v>
      </c>
      <c r="B1734" s="87" t="s">
        <v>504</v>
      </c>
      <c r="C1734" s="87"/>
      <c r="D1734" s="87" t="s">
        <v>505</v>
      </c>
      <c r="E1734" s="82"/>
    </row>
    <row r="1735" spans="1:5" ht="20" customHeight="1" x14ac:dyDescent="0.15">
      <c r="A1735" s="84" t="s">
        <v>728</v>
      </c>
      <c r="B1735" s="87" t="s">
        <v>207</v>
      </c>
      <c r="C1735" s="87" t="s">
        <v>208</v>
      </c>
      <c r="D1735" s="87" t="s">
        <v>209</v>
      </c>
      <c r="E1735" s="82"/>
    </row>
    <row r="1736" spans="1:5" ht="20" customHeight="1" x14ac:dyDescent="0.15">
      <c r="A1736" s="86"/>
      <c r="B1736" s="87" t="s">
        <v>1131</v>
      </c>
      <c r="C1736" s="87" t="s">
        <v>1132</v>
      </c>
      <c r="D1736" s="87" t="s">
        <v>1133</v>
      </c>
      <c r="E1736" s="82"/>
    </row>
    <row r="1737" spans="1:5" ht="20" customHeight="1" x14ac:dyDescent="0.15">
      <c r="A1737" s="86" t="s">
        <v>471</v>
      </c>
      <c r="B1737" s="87" t="s">
        <v>506</v>
      </c>
      <c r="C1737" s="87" t="s">
        <v>507</v>
      </c>
      <c r="D1737" s="87" t="s">
        <v>508</v>
      </c>
      <c r="E1737" s="82"/>
    </row>
    <row r="1738" spans="1:5" ht="20" customHeight="1" x14ac:dyDescent="0.15">
      <c r="A1738" s="86"/>
      <c r="B1738" s="87" t="s">
        <v>1134</v>
      </c>
      <c r="C1738" s="87" t="s">
        <v>1135</v>
      </c>
      <c r="D1738" s="87" t="s">
        <v>1136</v>
      </c>
      <c r="E1738" s="82"/>
    </row>
    <row r="1739" spans="1:5" ht="20" customHeight="1" x14ac:dyDescent="0.15">
      <c r="A1739" s="84" t="s">
        <v>728</v>
      </c>
      <c r="B1739" s="87" t="s">
        <v>734</v>
      </c>
      <c r="C1739" s="87" t="s">
        <v>735</v>
      </c>
      <c r="D1739" s="87" t="s">
        <v>736</v>
      </c>
      <c r="E1739" s="82"/>
    </row>
    <row r="1740" spans="1:5" ht="20" customHeight="1" x14ac:dyDescent="0.15">
      <c r="A1740" s="86"/>
      <c r="B1740" s="87" t="s">
        <v>1137</v>
      </c>
      <c r="C1740" s="87" t="s">
        <v>1138</v>
      </c>
      <c r="D1740" s="87" t="s">
        <v>1139</v>
      </c>
      <c r="E1740" s="82"/>
    </row>
    <row r="1741" spans="1:5" ht="20" customHeight="1" x14ac:dyDescent="0.15">
      <c r="A1741" s="86"/>
      <c r="B1741" s="87" t="s">
        <v>1140</v>
      </c>
      <c r="C1741" s="87" t="s">
        <v>1141</v>
      </c>
      <c r="D1741" s="87" t="s">
        <v>1142</v>
      </c>
      <c r="E1741" s="82"/>
    </row>
    <row r="1742" spans="1:5" ht="20" customHeight="1" x14ac:dyDescent="0.15">
      <c r="A1742" s="86"/>
      <c r="B1742" s="87" t="s">
        <v>1143</v>
      </c>
      <c r="C1742" s="87" t="s">
        <v>1144</v>
      </c>
      <c r="D1742" s="87" t="s">
        <v>1145</v>
      </c>
      <c r="E1742" s="82"/>
    </row>
    <row r="1743" spans="1:5" ht="20" customHeight="1" x14ac:dyDescent="0.15">
      <c r="A1743" s="90"/>
      <c r="B1743" s="87" t="s">
        <v>1146</v>
      </c>
      <c r="C1743" s="87" t="s">
        <v>1147</v>
      </c>
      <c r="D1743" s="87" t="s">
        <v>1148</v>
      </c>
      <c r="E1743" s="82"/>
    </row>
    <row r="1744" spans="1:5" ht="20" customHeight="1" x14ac:dyDescent="0.15">
      <c r="A1744" s="86"/>
      <c r="B1744" s="87" t="s">
        <v>1149</v>
      </c>
      <c r="C1744" s="87" t="s">
        <v>1150</v>
      </c>
      <c r="D1744" s="87" t="s">
        <v>1151</v>
      </c>
      <c r="E1744" s="82"/>
    </row>
    <row r="1745" spans="1:5" ht="20" customHeight="1" x14ac:dyDescent="0.15">
      <c r="A1745" s="86"/>
      <c r="B1745" s="87" t="s">
        <v>1152</v>
      </c>
      <c r="C1745" s="87" t="s">
        <v>1153</v>
      </c>
      <c r="D1745" s="87" t="s">
        <v>1154</v>
      </c>
      <c r="E1745" s="82"/>
    </row>
    <row r="1746" spans="1:5" ht="20" customHeight="1" x14ac:dyDescent="0.15">
      <c r="A1746" s="86"/>
      <c r="B1746" s="87" t="s">
        <v>1155</v>
      </c>
      <c r="C1746" s="87" t="s">
        <v>1156</v>
      </c>
      <c r="D1746" s="87" t="s">
        <v>1157</v>
      </c>
      <c r="E1746" s="82"/>
    </row>
    <row r="1747" spans="1:5" ht="20" customHeight="1" x14ac:dyDescent="0.15">
      <c r="A1747" s="84" t="s">
        <v>728</v>
      </c>
      <c r="B1747" s="87" t="s">
        <v>737</v>
      </c>
      <c r="C1747" s="87" t="s">
        <v>738</v>
      </c>
      <c r="D1747" s="87" t="s">
        <v>739</v>
      </c>
      <c r="E1747" s="82"/>
    </row>
    <row r="1748" spans="1:5" ht="20" customHeight="1" x14ac:dyDescent="0.15">
      <c r="A1748" s="84" t="s">
        <v>862</v>
      </c>
      <c r="B1748" s="87" t="s">
        <v>873</v>
      </c>
      <c r="C1748" s="87" t="s">
        <v>874</v>
      </c>
      <c r="D1748" s="87" t="s">
        <v>875</v>
      </c>
      <c r="E1748" s="82"/>
    </row>
    <row r="1749" spans="1:5" ht="20" customHeight="1" x14ac:dyDescent="0.15">
      <c r="A1749" s="90"/>
      <c r="B1749" s="87" t="s">
        <v>1158</v>
      </c>
      <c r="C1749" s="87" t="s">
        <v>1159</v>
      </c>
      <c r="D1749" s="87" t="s">
        <v>1160</v>
      </c>
      <c r="E1749" s="82"/>
    </row>
    <row r="1750" spans="1:5" ht="20" customHeight="1" x14ac:dyDescent="0.15">
      <c r="A1750" s="86" t="s">
        <v>471</v>
      </c>
      <c r="B1750" s="87" t="s">
        <v>509</v>
      </c>
      <c r="C1750" s="87" t="s">
        <v>510</v>
      </c>
      <c r="D1750" s="87" t="s">
        <v>511</v>
      </c>
      <c r="E1750" s="82"/>
    </row>
    <row r="1751" spans="1:5" ht="20" customHeight="1" x14ac:dyDescent="0.15">
      <c r="A1751" s="86" t="s">
        <v>213</v>
      </c>
      <c r="B1751" s="87" t="s">
        <v>276</v>
      </c>
      <c r="C1751" s="87" t="s">
        <v>277</v>
      </c>
      <c r="D1751" s="87" t="s">
        <v>278</v>
      </c>
      <c r="E1751" s="82"/>
    </row>
    <row r="1752" spans="1:5" ht="20" customHeight="1" x14ac:dyDescent="0.15">
      <c r="A1752" s="84" t="s">
        <v>862</v>
      </c>
      <c r="B1752" s="87" t="s">
        <v>876</v>
      </c>
      <c r="C1752" s="87" t="s">
        <v>877</v>
      </c>
      <c r="D1752" s="87" t="s">
        <v>878</v>
      </c>
      <c r="E1752" s="82"/>
    </row>
    <row r="1753" spans="1:5" ht="20" customHeight="1" x14ac:dyDescent="0.15">
      <c r="A1753" s="84" t="s">
        <v>862</v>
      </c>
      <c r="B1753" s="87" t="s">
        <v>879</v>
      </c>
      <c r="C1753" s="87" t="s">
        <v>880</v>
      </c>
      <c r="D1753" s="87" t="s">
        <v>881</v>
      </c>
      <c r="E1753" s="82"/>
    </row>
    <row r="1754" spans="1:5" ht="20" customHeight="1" x14ac:dyDescent="0.15">
      <c r="A1754" s="84" t="s">
        <v>862</v>
      </c>
      <c r="B1754" s="87" t="s">
        <v>882</v>
      </c>
      <c r="C1754" s="87" t="s">
        <v>883</v>
      </c>
      <c r="D1754" s="87" t="s">
        <v>884</v>
      </c>
      <c r="E1754" s="82"/>
    </row>
    <row r="1755" spans="1:5" ht="20" customHeight="1" x14ac:dyDescent="0.15">
      <c r="A1755" s="84" t="s">
        <v>728</v>
      </c>
      <c r="B1755" s="87" t="s">
        <v>740</v>
      </c>
      <c r="C1755" s="87" t="s">
        <v>741</v>
      </c>
      <c r="D1755" s="87" t="s">
        <v>742</v>
      </c>
      <c r="E1755" s="82"/>
    </row>
    <row r="1756" spans="1:5" ht="20" customHeight="1" x14ac:dyDescent="0.15">
      <c r="A1756" s="84" t="s">
        <v>728</v>
      </c>
      <c r="B1756" s="87" t="s">
        <v>743</v>
      </c>
      <c r="C1756" s="87" t="s">
        <v>744</v>
      </c>
      <c r="D1756" s="87" t="s">
        <v>1619</v>
      </c>
      <c r="E1756" s="82"/>
    </row>
    <row r="1757" spans="1:5" ht="20" customHeight="1" x14ac:dyDescent="0.15">
      <c r="A1757" s="84" t="s">
        <v>728</v>
      </c>
      <c r="B1757" s="87" t="s">
        <v>745</v>
      </c>
      <c r="C1757" s="87" t="s">
        <v>746</v>
      </c>
      <c r="D1757" s="87" t="s">
        <v>1618</v>
      </c>
      <c r="E1757" s="82"/>
    </row>
    <row r="1758" spans="1:5" ht="20" customHeight="1" x14ac:dyDescent="0.15">
      <c r="A1758" s="86"/>
      <c r="B1758" s="87" t="s">
        <v>1161</v>
      </c>
      <c r="C1758" s="87" t="s">
        <v>1162</v>
      </c>
      <c r="D1758" s="87" t="s">
        <v>1163</v>
      </c>
      <c r="E1758" s="82"/>
    </row>
    <row r="1759" spans="1:5" ht="20" customHeight="1" x14ac:dyDescent="0.15">
      <c r="A1759" s="86" t="s">
        <v>471</v>
      </c>
      <c r="B1759" s="87" t="s">
        <v>512</v>
      </c>
      <c r="C1759" s="87" t="s">
        <v>513</v>
      </c>
      <c r="D1759" s="87" t="s">
        <v>1617</v>
      </c>
      <c r="E1759" s="82"/>
    </row>
    <row r="1760" spans="1:5" ht="20" customHeight="1" x14ac:dyDescent="0.15">
      <c r="A1760" s="86"/>
      <c r="B1760" s="87" t="s">
        <v>1164</v>
      </c>
      <c r="C1760" s="87" t="s">
        <v>1165</v>
      </c>
      <c r="D1760" s="87" t="s">
        <v>1616</v>
      </c>
      <c r="E1760" s="82"/>
    </row>
    <row r="1761" spans="1:5" ht="20" customHeight="1" x14ac:dyDescent="0.15">
      <c r="A1761" s="86" t="s">
        <v>471</v>
      </c>
      <c r="B1761" s="87" t="s">
        <v>514</v>
      </c>
      <c r="C1761" s="87" t="s">
        <v>515</v>
      </c>
      <c r="D1761" s="87" t="s">
        <v>1615</v>
      </c>
      <c r="E1761" s="82"/>
    </row>
    <row r="1762" spans="1:5" ht="20" customHeight="1" x14ac:dyDescent="0.15">
      <c r="A1762" s="84" t="s">
        <v>862</v>
      </c>
      <c r="B1762" s="87" t="s">
        <v>885</v>
      </c>
      <c r="C1762" s="87" t="s">
        <v>886</v>
      </c>
      <c r="D1762" s="87" t="s">
        <v>887</v>
      </c>
      <c r="E1762" s="82"/>
    </row>
    <row r="1763" spans="1:5" ht="20" customHeight="1" x14ac:dyDescent="0.15">
      <c r="A1763" s="86"/>
      <c r="B1763" s="87" t="s">
        <v>1166</v>
      </c>
      <c r="C1763" s="87" t="s">
        <v>1167</v>
      </c>
      <c r="D1763" s="87" t="s">
        <v>1614</v>
      </c>
      <c r="E1763" s="82"/>
    </row>
    <row r="1764" spans="1:5" ht="20" customHeight="1" x14ac:dyDescent="0.15">
      <c r="A1764" s="84" t="s">
        <v>862</v>
      </c>
      <c r="B1764" s="87" t="s">
        <v>888</v>
      </c>
      <c r="C1764" s="87" t="s">
        <v>889</v>
      </c>
      <c r="D1764" s="87" t="s">
        <v>890</v>
      </c>
      <c r="E1764" s="82"/>
    </row>
    <row r="1765" spans="1:5" ht="20" customHeight="1" x14ac:dyDescent="0.15">
      <c r="A1765" s="84" t="s">
        <v>862</v>
      </c>
      <c r="B1765" s="87" t="s">
        <v>891</v>
      </c>
      <c r="C1765" s="87" t="s">
        <v>892</v>
      </c>
      <c r="D1765" s="87" t="s">
        <v>1613</v>
      </c>
      <c r="E1765" s="82"/>
    </row>
    <row r="1766" spans="1:5" ht="20" customHeight="1" x14ac:dyDescent="0.15">
      <c r="A1766" s="86" t="s">
        <v>471</v>
      </c>
      <c r="B1766" s="87" t="s">
        <v>516</v>
      </c>
      <c r="C1766" s="87" t="s">
        <v>517</v>
      </c>
      <c r="D1766" s="87" t="s">
        <v>1612</v>
      </c>
      <c r="E1766" s="82"/>
    </row>
    <row r="1767" spans="1:5" ht="20" customHeight="1" x14ac:dyDescent="0.15">
      <c r="A1767" s="84" t="s">
        <v>213</v>
      </c>
      <c r="B1767" s="87" t="s">
        <v>279</v>
      </c>
      <c r="C1767" s="87" t="s">
        <v>280</v>
      </c>
      <c r="D1767" s="87" t="s">
        <v>1476</v>
      </c>
      <c r="E1767" s="82"/>
    </row>
    <row r="1768" spans="1:5" ht="20" customHeight="1" x14ac:dyDescent="0.15">
      <c r="A1768" s="84"/>
      <c r="B1768" s="87" t="s">
        <v>1169</v>
      </c>
      <c r="C1768" s="87" t="s">
        <v>1170</v>
      </c>
      <c r="D1768" s="87" t="s">
        <v>1524</v>
      </c>
      <c r="E1768" s="82"/>
    </row>
    <row r="1769" spans="1:5" ht="20" customHeight="1" x14ac:dyDescent="0.15">
      <c r="A1769" s="84" t="s">
        <v>862</v>
      </c>
      <c r="B1769" s="87" t="s">
        <v>894</v>
      </c>
      <c r="C1769" s="87" t="s">
        <v>895</v>
      </c>
      <c r="D1769" s="87" t="s">
        <v>1611</v>
      </c>
      <c r="E1769" s="82"/>
    </row>
    <row r="1770" spans="1:5" ht="20" customHeight="1" x14ac:dyDescent="0.15">
      <c r="A1770" s="84" t="s">
        <v>862</v>
      </c>
      <c r="B1770" s="87" t="s">
        <v>897</v>
      </c>
      <c r="C1770" s="87" t="s">
        <v>898</v>
      </c>
      <c r="D1770" s="87" t="s">
        <v>1610</v>
      </c>
      <c r="E1770" s="82"/>
    </row>
    <row r="1771" spans="1:5" ht="20" customHeight="1" x14ac:dyDescent="0.15">
      <c r="A1771" s="86" t="s">
        <v>471</v>
      </c>
      <c r="B1771" s="87" t="s">
        <v>519</v>
      </c>
      <c r="C1771" s="87" t="s">
        <v>520</v>
      </c>
      <c r="D1771" s="87" t="s">
        <v>521</v>
      </c>
      <c r="E1771" s="82"/>
    </row>
    <row r="1772" spans="1:5" ht="20" customHeight="1" x14ac:dyDescent="0.15">
      <c r="A1772" s="86" t="s">
        <v>213</v>
      </c>
      <c r="B1772" s="87" t="s">
        <v>282</v>
      </c>
      <c r="C1772" s="87" t="s">
        <v>283</v>
      </c>
      <c r="D1772" s="87" t="s">
        <v>284</v>
      </c>
      <c r="E1772" s="82"/>
    </row>
    <row r="1773" spans="1:5" ht="20" customHeight="1" x14ac:dyDescent="0.15">
      <c r="A1773" s="84" t="s">
        <v>862</v>
      </c>
      <c r="B1773" s="87" t="s">
        <v>900</v>
      </c>
      <c r="C1773" s="87" t="s">
        <v>901</v>
      </c>
      <c r="D1773" s="87" t="s">
        <v>902</v>
      </c>
      <c r="E1773" s="82"/>
    </row>
    <row r="1774" spans="1:5" ht="20" customHeight="1" x14ac:dyDescent="0.15">
      <c r="A1774" s="86"/>
      <c r="B1774" s="87" t="s">
        <v>1171</v>
      </c>
      <c r="C1774" s="87" t="s">
        <v>1172</v>
      </c>
      <c r="D1774" s="87" t="s">
        <v>1609</v>
      </c>
      <c r="E1774" s="82"/>
    </row>
    <row r="1775" spans="1:5" ht="20" customHeight="1" x14ac:dyDescent="0.15">
      <c r="A1775" s="89" t="s">
        <v>213</v>
      </c>
      <c r="B1775" s="87" t="s">
        <v>285</v>
      </c>
      <c r="C1775" s="87" t="s">
        <v>286</v>
      </c>
      <c r="D1775" s="87" t="s">
        <v>1477</v>
      </c>
      <c r="E1775" s="82"/>
    </row>
    <row r="1776" spans="1:5" ht="20" customHeight="1" x14ac:dyDescent="0.15">
      <c r="A1776" s="89"/>
      <c r="B1776" s="87" t="s">
        <v>1174</v>
      </c>
      <c r="C1776" s="87" t="s">
        <v>1175</v>
      </c>
      <c r="D1776" s="87" t="s">
        <v>1620</v>
      </c>
      <c r="E1776" s="82"/>
    </row>
    <row r="1777" spans="1:5" ht="20" customHeight="1" x14ac:dyDescent="0.15">
      <c r="A1777" s="89"/>
      <c r="B1777" s="87" t="s">
        <v>1177</v>
      </c>
      <c r="C1777" s="87" t="s">
        <v>1178</v>
      </c>
      <c r="D1777" s="87" t="s">
        <v>1578</v>
      </c>
      <c r="E1777" s="82"/>
    </row>
    <row r="1778" spans="1:5" ht="20" customHeight="1" x14ac:dyDescent="0.15">
      <c r="A1778" s="86"/>
      <c r="B1778" s="87" t="s">
        <v>1179</v>
      </c>
      <c r="C1778" s="87" t="s">
        <v>1180</v>
      </c>
      <c r="D1778" s="87" t="s">
        <v>1579</v>
      </c>
      <c r="E1778" s="82"/>
    </row>
    <row r="1779" spans="1:5" ht="20" customHeight="1" x14ac:dyDescent="0.15">
      <c r="A1779" s="86"/>
      <c r="B1779" s="87" t="s">
        <v>1181</v>
      </c>
      <c r="C1779" s="87" t="s">
        <v>1182</v>
      </c>
      <c r="D1779" s="87" t="s">
        <v>1580</v>
      </c>
      <c r="E1779" s="82"/>
    </row>
    <row r="1780" spans="1:5" ht="20" customHeight="1" x14ac:dyDescent="0.15">
      <c r="A1780" s="86"/>
      <c r="B1780" s="87" t="s">
        <v>1183</v>
      </c>
      <c r="C1780" s="87" t="s">
        <v>1184</v>
      </c>
      <c r="D1780" s="87" t="s">
        <v>1621</v>
      </c>
      <c r="E1780" s="82"/>
    </row>
    <row r="1781" spans="1:5" ht="20" customHeight="1" x14ac:dyDescent="0.15">
      <c r="A1781" s="93"/>
      <c r="B1781" s="87" t="s">
        <v>1185</v>
      </c>
      <c r="C1781" s="87"/>
      <c r="D1781" s="87" t="s">
        <v>1502</v>
      </c>
      <c r="E1781" s="82"/>
    </row>
    <row r="1782" spans="1:5" ht="20" customHeight="1" x14ac:dyDescent="0.15">
      <c r="A1782" s="86" t="s">
        <v>213</v>
      </c>
      <c r="B1782" s="87" t="s">
        <v>288</v>
      </c>
      <c r="C1782" s="87" t="s">
        <v>289</v>
      </c>
      <c r="D1782" s="87" t="s">
        <v>1478</v>
      </c>
      <c r="E1782" s="82"/>
    </row>
    <row r="1783" spans="1:5" ht="20" customHeight="1" x14ac:dyDescent="0.15">
      <c r="A1783" s="86"/>
      <c r="B1783" s="87" t="s">
        <v>1186</v>
      </c>
      <c r="C1783" s="87" t="s">
        <v>1187</v>
      </c>
      <c r="D1783" s="87" t="s">
        <v>1530</v>
      </c>
      <c r="E1783" s="82"/>
    </row>
    <row r="1784" spans="1:5" ht="20" customHeight="1" x14ac:dyDescent="0.15">
      <c r="A1784" s="88"/>
      <c r="B1784" s="87" t="s">
        <v>1188</v>
      </c>
      <c r="C1784" s="87" t="s">
        <v>1189</v>
      </c>
      <c r="D1784" s="87" t="s">
        <v>1529</v>
      </c>
      <c r="E1784" s="82"/>
    </row>
    <row r="1785" spans="1:5" ht="20" customHeight="1" x14ac:dyDescent="0.15">
      <c r="A1785" s="84" t="s">
        <v>728</v>
      </c>
      <c r="B1785" s="87" t="s">
        <v>747</v>
      </c>
      <c r="C1785" s="87" t="s">
        <v>748</v>
      </c>
      <c r="D1785" s="87" t="s">
        <v>1622</v>
      </c>
      <c r="E1785" s="82"/>
    </row>
    <row r="1786" spans="1:5" ht="20" customHeight="1" x14ac:dyDescent="0.15">
      <c r="A1786" s="84" t="s">
        <v>728</v>
      </c>
      <c r="B1786" s="87" t="s">
        <v>750</v>
      </c>
      <c r="C1786" s="87" t="s">
        <v>751</v>
      </c>
      <c r="D1786" s="87" t="s">
        <v>1623</v>
      </c>
      <c r="E1786" s="82"/>
    </row>
    <row r="1787" spans="1:5" ht="20" customHeight="1" x14ac:dyDescent="0.15">
      <c r="A1787" s="89" t="s">
        <v>213</v>
      </c>
      <c r="B1787" s="87" t="s">
        <v>291</v>
      </c>
      <c r="C1787" s="87" t="s">
        <v>292</v>
      </c>
      <c r="D1787" s="87" t="s">
        <v>1479</v>
      </c>
      <c r="E1787" s="82"/>
    </row>
    <row r="1788" spans="1:5" ht="20" customHeight="1" x14ac:dyDescent="0.15">
      <c r="A1788" s="84" t="s">
        <v>862</v>
      </c>
      <c r="B1788" s="87" t="s">
        <v>903</v>
      </c>
      <c r="C1788" s="87" t="s">
        <v>904</v>
      </c>
      <c r="D1788" s="87" t="s">
        <v>1522</v>
      </c>
      <c r="E1788" s="82"/>
    </row>
    <row r="1789" spans="1:5" ht="20" customHeight="1" x14ac:dyDescent="0.15">
      <c r="A1789" s="84" t="s">
        <v>862</v>
      </c>
      <c r="B1789" s="87" t="s">
        <v>905</v>
      </c>
      <c r="C1789" s="87" t="s">
        <v>906</v>
      </c>
      <c r="D1789" s="87" t="s">
        <v>1624</v>
      </c>
      <c r="E1789" s="82"/>
    </row>
    <row r="1790" spans="1:5" ht="20" customHeight="1" x14ac:dyDescent="0.15">
      <c r="A1790" s="86" t="s">
        <v>471</v>
      </c>
      <c r="B1790" s="87" t="s">
        <v>522</v>
      </c>
      <c r="C1790" s="87" t="s">
        <v>523</v>
      </c>
      <c r="D1790" s="87" t="s">
        <v>524</v>
      </c>
      <c r="E1790" s="82"/>
    </row>
    <row r="1791" spans="1:5" ht="20" customHeight="1" x14ac:dyDescent="0.15">
      <c r="A1791" s="86" t="s">
        <v>471</v>
      </c>
      <c r="B1791" s="87" t="s">
        <v>525</v>
      </c>
      <c r="C1791" s="87"/>
      <c r="D1791" s="87" t="s">
        <v>526</v>
      </c>
      <c r="E1791" s="82"/>
    </row>
    <row r="1792" spans="1:5" ht="20" customHeight="1" x14ac:dyDescent="0.15">
      <c r="A1792" s="88" t="s">
        <v>213</v>
      </c>
      <c r="B1792" s="87" t="s">
        <v>293</v>
      </c>
      <c r="C1792" s="87" t="s">
        <v>294</v>
      </c>
      <c r="D1792" s="87" t="s">
        <v>1480</v>
      </c>
      <c r="E1792" s="82"/>
    </row>
    <row r="1793" spans="1:5" ht="20" customHeight="1" x14ac:dyDescent="0.15">
      <c r="A1793" s="86" t="s">
        <v>471</v>
      </c>
      <c r="B1793" s="87" t="s">
        <v>527</v>
      </c>
      <c r="C1793" s="87" t="s">
        <v>528</v>
      </c>
      <c r="D1793" s="87" t="s">
        <v>1625</v>
      </c>
      <c r="E1793" s="82"/>
    </row>
    <row r="1794" spans="1:5" ht="20" customHeight="1" x14ac:dyDescent="0.15">
      <c r="A1794" s="86" t="s">
        <v>471</v>
      </c>
      <c r="B1794" s="87" t="s">
        <v>530</v>
      </c>
      <c r="C1794" s="87" t="s">
        <v>531</v>
      </c>
      <c r="D1794" s="87" t="s">
        <v>1626</v>
      </c>
      <c r="E1794" s="82"/>
    </row>
    <row r="1795" spans="1:5" ht="20" customHeight="1" x14ac:dyDescent="0.15">
      <c r="A1795" s="84" t="s">
        <v>728</v>
      </c>
      <c r="B1795" s="87" t="s">
        <v>753</v>
      </c>
      <c r="C1795" s="87" t="s">
        <v>754</v>
      </c>
      <c r="D1795" s="87" t="s">
        <v>1627</v>
      </c>
      <c r="E1795" s="82"/>
    </row>
    <row r="1796" spans="1:5" ht="20" customHeight="1" x14ac:dyDescent="0.15">
      <c r="A1796" s="86" t="s">
        <v>471</v>
      </c>
      <c r="B1796" s="87" t="s">
        <v>532</v>
      </c>
      <c r="C1796" s="87" t="s">
        <v>533</v>
      </c>
      <c r="D1796" s="87" t="s">
        <v>1628</v>
      </c>
      <c r="E1796" s="82"/>
    </row>
    <row r="1797" spans="1:5" ht="20" customHeight="1" x14ac:dyDescent="0.15">
      <c r="A1797" s="84" t="s">
        <v>213</v>
      </c>
      <c r="B1797" s="87" t="s">
        <v>296</v>
      </c>
      <c r="C1797" s="87" t="s">
        <v>297</v>
      </c>
      <c r="D1797" s="87" t="s">
        <v>1481</v>
      </c>
      <c r="E1797" s="82"/>
    </row>
    <row r="1798" spans="1:5" ht="20" customHeight="1" x14ac:dyDescent="0.15">
      <c r="A1798" s="84"/>
      <c r="B1798" s="87" t="s">
        <v>1190</v>
      </c>
      <c r="C1798" s="87" t="s">
        <v>1191</v>
      </c>
      <c r="D1798" s="87" t="s">
        <v>1630</v>
      </c>
      <c r="E1798" s="82"/>
    </row>
    <row r="1799" spans="1:5" ht="20" customHeight="1" x14ac:dyDescent="0.15">
      <c r="A1799" s="86" t="s">
        <v>471</v>
      </c>
      <c r="B1799" s="87" t="s">
        <v>535</v>
      </c>
      <c r="C1799" s="87" t="s">
        <v>536</v>
      </c>
      <c r="D1799" s="87" t="s">
        <v>1629</v>
      </c>
      <c r="E1799" s="82"/>
    </row>
    <row r="1800" spans="1:5" ht="20" customHeight="1" x14ac:dyDescent="0.15">
      <c r="A1800" s="86" t="s">
        <v>471</v>
      </c>
      <c r="B1800" s="87" t="s">
        <v>538</v>
      </c>
      <c r="C1800" s="87" t="s">
        <v>539</v>
      </c>
      <c r="D1800" s="87" t="s">
        <v>1631</v>
      </c>
      <c r="E1800" s="82"/>
    </row>
    <row r="1801" spans="1:5" ht="20" customHeight="1" x14ac:dyDescent="0.15">
      <c r="A1801" s="86" t="s">
        <v>471</v>
      </c>
      <c r="B1801" s="87" t="s">
        <v>541</v>
      </c>
      <c r="C1801" s="87" t="s">
        <v>542</v>
      </c>
      <c r="D1801" s="87" t="s">
        <v>1632</v>
      </c>
      <c r="E1801" s="82"/>
    </row>
    <row r="1802" spans="1:5" ht="20" customHeight="1" x14ac:dyDescent="0.15">
      <c r="A1802" s="84" t="s">
        <v>862</v>
      </c>
      <c r="B1802" s="87" t="s">
        <v>908</v>
      </c>
      <c r="C1802" s="87" t="s">
        <v>909</v>
      </c>
      <c r="D1802" s="87" t="s">
        <v>1633</v>
      </c>
      <c r="E1802" s="82"/>
    </row>
    <row r="1803" spans="1:5" ht="20" customHeight="1" x14ac:dyDescent="0.15">
      <c r="A1803" s="84"/>
      <c r="B1803" s="87" t="s">
        <v>1193</v>
      </c>
      <c r="C1803" s="87" t="s">
        <v>1194</v>
      </c>
      <c r="D1803" s="87" t="s">
        <v>1634</v>
      </c>
      <c r="E1803" s="82"/>
    </row>
    <row r="1804" spans="1:5" ht="20" customHeight="1" x14ac:dyDescent="0.15">
      <c r="A1804" s="89" t="s">
        <v>78</v>
      </c>
      <c r="B1804" s="87" t="s">
        <v>1196</v>
      </c>
      <c r="C1804" s="87" t="s">
        <v>1197</v>
      </c>
      <c r="D1804" s="87" t="s">
        <v>1635</v>
      </c>
      <c r="E1804" s="82"/>
    </row>
    <row r="1805" spans="1:5" ht="20" customHeight="1" x14ac:dyDescent="0.15">
      <c r="A1805" s="89" t="s">
        <v>213</v>
      </c>
      <c r="B1805" s="87" t="s">
        <v>299</v>
      </c>
      <c r="C1805" s="87" t="s">
        <v>300</v>
      </c>
      <c r="D1805" s="87" t="s">
        <v>1482</v>
      </c>
      <c r="E1805" s="82"/>
    </row>
    <row r="1806" spans="1:5" ht="20" customHeight="1" x14ac:dyDescent="0.15">
      <c r="A1806" s="89" t="s">
        <v>78</v>
      </c>
      <c r="B1806" s="87" t="s">
        <v>1199</v>
      </c>
      <c r="C1806" s="87" t="s">
        <v>1200</v>
      </c>
      <c r="D1806" s="87" t="s">
        <v>1636</v>
      </c>
      <c r="E1806" s="82"/>
    </row>
    <row r="1807" spans="1:5" ht="20" customHeight="1" x14ac:dyDescent="0.15">
      <c r="A1807" s="89" t="s">
        <v>78</v>
      </c>
      <c r="B1807" s="87" t="s">
        <v>1202</v>
      </c>
      <c r="C1807" s="87" t="s">
        <v>1203</v>
      </c>
      <c r="D1807" s="87" t="s">
        <v>1637</v>
      </c>
      <c r="E1807" s="82"/>
    </row>
    <row r="1808" spans="1:5" ht="20" customHeight="1" x14ac:dyDescent="0.15">
      <c r="A1808" s="84" t="s">
        <v>862</v>
      </c>
      <c r="B1808" s="87" t="s">
        <v>910</v>
      </c>
      <c r="C1808" s="87" t="s">
        <v>911</v>
      </c>
      <c r="D1808" s="87" t="s">
        <v>1638</v>
      </c>
      <c r="E1808" s="82"/>
    </row>
    <row r="1809" spans="1:5" ht="20" customHeight="1" x14ac:dyDescent="0.15">
      <c r="A1809" s="84" t="s">
        <v>862</v>
      </c>
      <c r="B1809" s="87" t="s">
        <v>913</v>
      </c>
      <c r="C1809" s="87" t="s">
        <v>914</v>
      </c>
      <c r="D1809" s="87" t="s">
        <v>913</v>
      </c>
      <c r="E1809" s="82"/>
    </row>
    <row r="1810" spans="1:5" ht="20" customHeight="1" x14ac:dyDescent="0.15">
      <c r="A1810" s="86" t="s">
        <v>471</v>
      </c>
      <c r="B1810" s="87" t="s">
        <v>543</v>
      </c>
      <c r="C1810" s="87" t="s">
        <v>544</v>
      </c>
      <c r="D1810" s="87" t="s">
        <v>545</v>
      </c>
      <c r="E1810" s="82"/>
    </row>
    <row r="1811" spans="1:5" ht="20" customHeight="1" x14ac:dyDescent="0.15">
      <c r="A1811" s="89"/>
      <c r="B1811" s="87" t="s">
        <v>1205</v>
      </c>
      <c r="C1811" s="87" t="s">
        <v>1206</v>
      </c>
      <c r="D1811" s="87" t="s">
        <v>2123</v>
      </c>
      <c r="E1811" s="82"/>
    </row>
    <row r="1812" spans="1:5" ht="20" customHeight="1" x14ac:dyDescent="0.15">
      <c r="A1812" s="84" t="s">
        <v>728</v>
      </c>
      <c r="B1812" s="87" t="s">
        <v>756</v>
      </c>
      <c r="C1812" s="87" t="s">
        <v>757</v>
      </c>
      <c r="D1812" s="87" t="s">
        <v>2124</v>
      </c>
      <c r="E1812" s="82"/>
    </row>
    <row r="1813" spans="1:5" ht="20" customHeight="1" x14ac:dyDescent="0.15">
      <c r="A1813" s="88"/>
      <c r="B1813" s="87" t="s">
        <v>1207</v>
      </c>
      <c r="C1813" s="87" t="s">
        <v>1208</v>
      </c>
      <c r="D1813" s="87" t="s">
        <v>2125</v>
      </c>
      <c r="E1813" s="82"/>
    </row>
    <row r="1814" spans="1:5" ht="20" customHeight="1" x14ac:dyDescent="0.15">
      <c r="A1814" s="86" t="s">
        <v>213</v>
      </c>
      <c r="B1814" s="87" t="s">
        <v>302</v>
      </c>
      <c r="C1814" s="87" t="s">
        <v>303</v>
      </c>
      <c r="D1814" s="87" t="s">
        <v>2126</v>
      </c>
      <c r="E1814" s="82"/>
    </row>
    <row r="1815" spans="1:5" ht="20" customHeight="1" x14ac:dyDescent="0.15">
      <c r="A1815" s="86" t="s">
        <v>213</v>
      </c>
      <c r="B1815" s="87" t="s">
        <v>305</v>
      </c>
      <c r="C1815" s="87" t="s">
        <v>306</v>
      </c>
      <c r="D1815" s="87" t="s">
        <v>2128</v>
      </c>
      <c r="E1815" s="82"/>
    </row>
    <row r="1816" spans="1:5" ht="20" customHeight="1" x14ac:dyDescent="0.15">
      <c r="A1816" s="84" t="s">
        <v>471</v>
      </c>
      <c r="B1816" s="87" t="s">
        <v>546</v>
      </c>
      <c r="C1816" s="87" t="s">
        <v>547</v>
      </c>
      <c r="D1816" s="87" t="s">
        <v>2127</v>
      </c>
      <c r="E1816" s="82"/>
    </row>
    <row r="1817" spans="1:5" ht="20" customHeight="1" x14ac:dyDescent="0.15">
      <c r="A1817" s="86" t="s">
        <v>471</v>
      </c>
      <c r="B1817" s="87" t="s">
        <v>549</v>
      </c>
      <c r="C1817" s="87" t="s">
        <v>550</v>
      </c>
      <c r="D1817" s="87" t="s">
        <v>2129</v>
      </c>
      <c r="E1817" s="82"/>
    </row>
    <row r="1818" spans="1:5" ht="20" customHeight="1" x14ac:dyDescent="0.15">
      <c r="A1818" s="86" t="s">
        <v>471</v>
      </c>
      <c r="B1818" s="87" t="s">
        <v>552</v>
      </c>
      <c r="C1818" s="87" t="s">
        <v>553</v>
      </c>
      <c r="D1818" s="87" t="s">
        <v>2130</v>
      </c>
      <c r="E1818" s="82"/>
    </row>
    <row r="1819" spans="1:5" ht="20" customHeight="1" x14ac:dyDescent="0.15">
      <c r="A1819" s="84" t="s">
        <v>471</v>
      </c>
      <c r="B1819" s="87" t="s">
        <v>555</v>
      </c>
      <c r="C1819" s="87" t="s">
        <v>556</v>
      </c>
      <c r="D1819" s="87" t="s">
        <v>2131</v>
      </c>
      <c r="E1819" s="82"/>
    </row>
    <row r="1820" spans="1:5" ht="20" customHeight="1" x14ac:dyDescent="0.15">
      <c r="A1820" s="84" t="s">
        <v>213</v>
      </c>
      <c r="B1820" s="87" t="s">
        <v>308</v>
      </c>
      <c r="C1820" s="87" t="s">
        <v>309</v>
      </c>
      <c r="D1820" s="87" t="s">
        <v>2132</v>
      </c>
      <c r="E1820" s="82"/>
    </row>
    <row r="1821" spans="1:5" ht="20" customHeight="1" x14ac:dyDescent="0.15">
      <c r="A1821" s="84" t="s">
        <v>213</v>
      </c>
      <c r="B1821" s="87" t="s">
        <v>311</v>
      </c>
      <c r="C1821" s="87" t="s">
        <v>312</v>
      </c>
      <c r="D1821" s="87" t="s">
        <v>2133</v>
      </c>
      <c r="E1821" s="82"/>
    </row>
    <row r="1822" spans="1:5" ht="20" customHeight="1" x14ac:dyDescent="0.15">
      <c r="A1822" s="84" t="s">
        <v>862</v>
      </c>
      <c r="B1822" s="87" t="s">
        <v>915</v>
      </c>
      <c r="C1822" s="87" t="s">
        <v>916</v>
      </c>
      <c r="D1822" s="87" t="s">
        <v>2134</v>
      </c>
      <c r="E1822" s="82"/>
    </row>
    <row r="1823" spans="1:5" ht="20" customHeight="1" x14ac:dyDescent="0.15">
      <c r="A1823" s="84" t="s">
        <v>728</v>
      </c>
      <c r="B1823" s="87" t="s">
        <v>759</v>
      </c>
      <c r="C1823" s="87" t="s">
        <v>760</v>
      </c>
      <c r="D1823" s="87" t="s">
        <v>2135</v>
      </c>
      <c r="E1823" s="82"/>
    </row>
    <row r="1824" spans="1:5" ht="20" customHeight="1" x14ac:dyDescent="0.15">
      <c r="A1824" s="84" t="s">
        <v>862</v>
      </c>
      <c r="B1824" s="87" t="s">
        <v>918</v>
      </c>
      <c r="C1824" s="87" t="s">
        <v>919</v>
      </c>
      <c r="D1824" s="87" t="s">
        <v>2136</v>
      </c>
      <c r="E1824" s="82"/>
    </row>
    <row r="1825" spans="1:5" ht="20" customHeight="1" x14ac:dyDescent="0.15">
      <c r="A1825" s="84" t="s">
        <v>728</v>
      </c>
      <c r="B1825" s="87" t="s">
        <v>762</v>
      </c>
      <c r="C1825" s="87" t="s">
        <v>763</v>
      </c>
      <c r="D1825" s="87" t="s">
        <v>2137</v>
      </c>
      <c r="E1825" s="82"/>
    </row>
    <row r="1826" spans="1:5" ht="20" customHeight="1" x14ac:dyDescent="0.15">
      <c r="A1826" s="86" t="s">
        <v>471</v>
      </c>
      <c r="B1826" s="87" t="s">
        <v>558</v>
      </c>
      <c r="C1826" s="87" t="s">
        <v>559</v>
      </c>
      <c r="D1826" s="87" t="s">
        <v>2138</v>
      </c>
      <c r="E1826" s="82"/>
    </row>
    <row r="1827" spans="1:5" ht="20" customHeight="1" x14ac:dyDescent="0.15">
      <c r="A1827" s="86" t="s">
        <v>471</v>
      </c>
      <c r="B1827" s="87" t="s">
        <v>561</v>
      </c>
      <c r="C1827" s="87" t="s">
        <v>562</v>
      </c>
      <c r="D1827" s="87" t="s">
        <v>2139</v>
      </c>
      <c r="E1827" s="82"/>
    </row>
    <row r="1828" spans="1:5" ht="20" customHeight="1" x14ac:dyDescent="0.15">
      <c r="A1828" s="84" t="s">
        <v>862</v>
      </c>
      <c r="B1828" s="87" t="s">
        <v>921</v>
      </c>
      <c r="C1828" s="87" t="s">
        <v>922</v>
      </c>
      <c r="D1828" s="87" t="s">
        <v>2140</v>
      </c>
      <c r="E1828" s="82"/>
    </row>
    <row r="1829" spans="1:5" ht="20" customHeight="1" x14ac:dyDescent="0.15">
      <c r="A1829" s="84"/>
      <c r="B1829" s="87" t="s">
        <v>1210</v>
      </c>
      <c r="C1829" s="87" t="s">
        <v>1211</v>
      </c>
      <c r="D1829" s="87" t="s">
        <v>2141</v>
      </c>
      <c r="E1829" s="82"/>
    </row>
    <row r="1830" spans="1:5" ht="20" customHeight="1" x14ac:dyDescent="0.15">
      <c r="A1830" s="84" t="s">
        <v>862</v>
      </c>
      <c r="B1830" s="87" t="s">
        <v>924</v>
      </c>
      <c r="C1830" s="87" t="s">
        <v>925</v>
      </c>
      <c r="D1830" s="87" t="s">
        <v>2114</v>
      </c>
      <c r="E1830" s="82"/>
    </row>
    <row r="1831" spans="1:5" ht="20" customHeight="1" x14ac:dyDescent="0.15">
      <c r="A1831" s="84" t="s">
        <v>728</v>
      </c>
      <c r="B1831" s="87" t="s">
        <v>765</v>
      </c>
      <c r="C1831" s="87" t="s">
        <v>766</v>
      </c>
      <c r="D1831" s="87" t="s">
        <v>2142</v>
      </c>
      <c r="E1831" s="82"/>
    </row>
    <row r="1832" spans="1:5" ht="20" customHeight="1" x14ac:dyDescent="0.15">
      <c r="A1832" s="86" t="s">
        <v>213</v>
      </c>
      <c r="B1832" s="87" t="s">
        <v>314</v>
      </c>
      <c r="C1832" s="87" t="s">
        <v>315</v>
      </c>
      <c r="D1832" s="87" t="s">
        <v>2143</v>
      </c>
      <c r="E1832" s="82"/>
    </row>
    <row r="1833" spans="1:5" ht="20" customHeight="1" x14ac:dyDescent="0.15">
      <c r="A1833" s="84" t="s">
        <v>862</v>
      </c>
      <c r="B1833" s="87" t="s">
        <v>927</v>
      </c>
      <c r="C1833" s="87" t="s">
        <v>928</v>
      </c>
      <c r="D1833" s="87" t="s">
        <v>2144</v>
      </c>
      <c r="E1833" s="82"/>
    </row>
    <row r="1834" spans="1:5" ht="20" customHeight="1" x14ac:dyDescent="0.15">
      <c r="A1834" s="86" t="s">
        <v>471</v>
      </c>
      <c r="B1834" s="87" t="s">
        <v>564</v>
      </c>
      <c r="C1834" s="87" t="s">
        <v>565</v>
      </c>
      <c r="D1834" s="87" t="s">
        <v>2145</v>
      </c>
      <c r="E1834" s="82"/>
    </row>
    <row r="1835" spans="1:5" ht="20" customHeight="1" x14ac:dyDescent="0.15">
      <c r="A1835" s="84" t="s">
        <v>862</v>
      </c>
      <c r="B1835" s="87" t="s">
        <v>930</v>
      </c>
      <c r="C1835" s="87" t="s">
        <v>931</v>
      </c>
      <c r="D1835" s="87" t="s">
        <v>2146</v>
      </c>
      <c r="E1835" s="82"/>
    </row>
    <row r="1836" spans="1:5" ht="20" customHeight="1" x14ac:dyDescent="0.15">
      <c r="A1836" s="89" t="s">
        <v>471</v>
      </c>
      <c r="B1836" s="87" t="s">
        <v>567</v>
      </c>
      <c r="C1836" s="87" t="s">
        <v>568</v>
      </c>
      <c r="D1836" s="87" t="s">
        <v>2147</v>
      </c>
      <c r="E1836" s="82"/>
    </row>
    <row r="1837" spans="1:5" ht="20" customHeight="1" x14ac:dyDescent="0.15">
      <c r="A1837" s="89"/>
      <c r="B1837" s="87" t="s">
        <v>1213</v>
      </c>
      <c r="C1837" s="87" t="s">
        <v>1214</v>
      </c>
      <c r="D1837" s="87" t="s">
        <v>1215</v>
      </c>
      <c r="E1837" s="82"/>
    </row>
    <row r="1838" spans="1:5" ht="20" customHeight="1" x14ac:dyDescent="0.15">
      <c r="A1838" s="84" t="s">
        <v>862</v>
      </c>
      <c r="B1838" s="87" t="s">
        <v>933</v>
      </c>
      <c r="C1838" s="87" t="s">
        <v>934</v>
      </c>
      <c r="D1838" s="87" t="s">
        <v>935</v>
      </c>
      <c r="E1838" s="82"/>
    </row>
    <row r="1839" spans="1:5" ht="20" customHeight="1" x14ac:dyDescent="0.15">
      <c r="A1839" s="84" t="s">
        <v>471</v>
      </c>
      <c r="B1839" s="87" t="s">
        <v>570</v>
      </c>
      <c r="C1839" s="87" t="s">
        <v>571</v>
      </c>
      <c r="D1839" s="87" t="s">
        <v>572</v>
      </c>
      <c r="E1839" s="82"/>
    </row>
    <row r="1840" spans="1:5" ht="20" customHeight="1" x14ac:dyDescent="0.15">
      <c r="A1840" s="89"/>
      <c r="B1840" s="87" t="s">
        <v>1216</v>
      </c>
      <c r="C1840" s="87" t="s">
        <v>1217</v>
      </c>
      <c r="D1840" s="87" t="s">
        <v>1218</v>
      </c>
      <c r="E1840" s="82"/>
    </row>
    <row r="1841" spans="1:5" ht="20" customHeight="1" x14ac:dyDescent="0.15">
      <c r="A1841" s="84" t="s">
        <v>728</v>
      </c>
      <c r="B1841" s="87" t="s">
        <v>768</v>
      </c>
      <c r="C1841" s="87" t="s">
        <v>769</v>
      </c>
      <c r="D1841" s="87" t="s">
        <v>770</v>
      </c>
      <c r="E1841" s="82"/>
    </row>
    <row r="1842" spans="1:5" ht="20" customHeight="1" x14ac:dyDescent="0.15">
      <c r="A1842" s="84" t="s">
        <v>213</v>
      </c>
      <c r="B1842" s="87" t="s">
        <v>317</v>
      </c>
      <c r="C1842" s="87" t="s">
        <v>318</v>
      </c>
      <c r="D1842" s="87" t="s">
        <v>319</v>
      </c>
      <c r="E1842" s="82"/>
    </row>
    <row r="1843" spans="1:5" ht="20" customHeight="1" x14ac:dyDescent="0.15">
      <c r="A1843" s="84" t="s">
        <v>213</v>
      </c>
      <c r="B1843" s="87" t="s">
        <v>320</v>
      </c>
      <c r="C1843" s="87" t="s">
        <v>321</v>
      </c>
      <c r="D1843" s="87" t="s">
        <v>322</v>
      </c>
      <c r="E1843" s="82"/>
    </row>
    <row r="1844" spans="1:5" ht="20" customHeight="1" x14ac:dyDescent="0.15">
      <c r="A1844" s="86"/>
      <c r="B1844" s="87" t="s">
        <v>1219</v>
      </c>
      <c r="C1844" s="87" t="s">
        <v>1220</v>
      </c>
      <c r="D1844" s="87" t="s">
        <v>1221</v>
      </c>
      <c r="E1844" s="82"/>
    </row>
    <row r="1845" spans="1:5" ht="20" customHeight="1" x14ac:dyDescent="0.15">
      <c r="A1845" s="84" t="s">
        <v>862</v>
      </c>
      <c r="B1845" s="87" t="s">
        <v>936</v>
      </c>
      <c r="C1845" s="87" t="s">
        <v>937</v>
      </c>
      <c r="D1845" s="87" t="s">
        <v>938</v>
      </c>
      <c r="E1845" s="82"/>
    </row>
    <row r="1846" spans="1:5" ht="20" customHeight="1" x14ac:dyDescent="0.15">
      <c r="A1846" s="89"/>
      <c r="B1846" s="87" t="s">
        <v>1222</v>
      </c>
      <c r="C1846" s="87" t="s">
        <v>1223</v>
      </c>
      <c r="D1846" s="87" t="s">
        <v>1224</v>
      </c>
      <c r="E1846" s="82"/>
    </row>
    <row r="1847" spans="1:5" ht="20" customHeight="1" x14ac:dyDescent="0.15">
      <c r="A1847" s="84" t="s">
        <v>213</v>
      </c>
      <c r="B1847" s="87" t="s">
        <v>323</v>
      </c>
      <c r="C1847" s="87" t="s">
        <v>324</v>
      </c>
      <c r="D1847" s="87" t="s">
        <v>325</v>
      </c>
      <c r="E1847" s="82"/>
    </row>
    <row r="1848" spans="1:5" ht="20" customHeight="1" x14ac:dyDescent="0.15">
      <c r="A1848" s="84" t="s">
        <v>862</v>
      </c>
      <c r="B1848" s="87" t="s">
        <v>939</v>
      </c>
      <c r="C1848" s="87" t="s">
        <v>940</v>
      </c>
      <c r="D1848" s="87" t="s">
        <v>941</v>
      </c>
      <c r="E1848" s="82"/>
    </row>
    <row r="1849" spans="1:5" ht="20" customHeight="1" x14ac:dyDescent="0.15">
      <c r="A1849" s="84"/>
      <c r="B1849" s="87" t="s">
        <v>1225</v>
      </c>
      <c r="C1849" s="87" t="s">
        <v>1226</v>
      </c>
      <c r="D1849" s="87" t="s">
        <v>1227</v>
      </c>
      <c r="E1849" s="82"/>
    </row>
    <row r="1850" spans="1:5" ht="20" customHeight="1" x14ac:dyDescent="0.15">
      <c r="A1850" s="86" t="s">
        <v>471</v>
      </c>
      <c r="B1850" s="87" t="s">
        <v>573</v>
      </c>
      <c r="C1850" s="87" t="s">
        <v>574</v>
      </c>
      <c r="D1850" s="87" t="s">
        <v>575</v>
      </c>
      <c r="E1850" s="82"/>
    </row>
    <row r="1851" spans="1:5" ht="20" customHeight="1" x14ac:dyDescent="0.15">
      <c r="A1851" s="84"/>
      <c r="B1851" s="87" t="s">
        <v>1228</v>
      </c>
      <c r="C1851" s="87" t="s">
        <v>1229</v>
      </c>
      <c r="D1851" s="87" t="s">
        <v>1230</v>
      </c>
      <c r="E1851" s="82"/>
    </row>
    <row r="1852" spans="1:5" ht="20" customHeight="1" x14ac:dyDescent="0.15">
      <c r="A1852" s="88" t="s">
        <v>213</v>
      </c>
      <c r="B1852" s="87" t="s">
        <v>326</v>
      </c>
      <c r="C1852" s="87" t="s">
        <v>327</v>
      </c>
      <c r="D1852" s="87" t="s">
        <v>328</v>
      </c>
      <c r="E1852" s="82"/>
    </row>
    <row r="1853" spans="1:5" ht="20" customHeight="1" x14ac:dyDescent="0.15">
      <c r="A1853" s="84" t="s">
        <v>728</v>
      </c>
      <c r="B1853" s="87" t="s">
        <v>771</v>
      </c>
      <c r="C1853" s="87" t="s">
        <v>772</v>
      </c>
      <c r="D1853" s="87" t="s">
        <v>773</v>
      </c>
      <c r="E1853" s="82"/>
    </row>
    <row r="1854" spans="1:5" ht="20" customHeight="1" x14ac:dyDescent="0.15">
      <c r="A1854" s="86" t="s">
        <v>471</v>
      </c>
      <c r="B1854" s="87" t="s">
        <v>576</v>
      </c>
      <c r="C1854" s="87" t="s">
        <v>577</v>
      </c>
      <c r="D1854" s="87" t="s">
        <v>578</v>
      </c>
      <c r="E1854" s="82"/>
    </row>
    <row r="1855" spans="1:5" ht="20" customHeight="1" x14ac:dyDescent="0.15">
      <c r="A1855" s="84"/>
      <c r="B1855" s="87" t="s">
        <v>1231</v>
      </c>
      <c r="C1855" s="87" t="s">
        <v>1232</v>
      </c>
      <c r="D1855" s="87" t="s">
        <v>1233</v>
      </c>
      <c r="E1855" s="82"/>
    </row>
    <row r="1856" spans="1:5" ht="20" customHeight="1" x14ac:dyDescent="0.15">
      <c r="A1856" s="84" t="s">
        <v>862</v>
      </c>
      <c r="B1856" s="87" t="s">
        <v>942</v>
      </c>
      <c r="C1856" s="87" t="s">
        <v>943</v>
      </c>
      <c r="D1856" s="87" t="s">
        <v>944</v>
      </c>
      <c r="E1856" s="82"/>
    </row>
    <row r="1857" spans="1:5" ht="20" customHeight="1" x14ac:dyDescent="0.15">
      <c r="A1857" s="86" t="s">
        <v>471</v>
      </c>
      <c r="B1857" s="87" t="s">
        <v>579</v>
      </c>
      <c r="C1857" s="87" t="s">
        <v>580</v>
      </c>
      <c r="D1857" s="87" t="s">
        <v>581</v>
      </c>
      <c r="E1857" s="82"/>
    </row>
    <row r="1858" spans="1:5" ht="20" customHeight="1" x14ac:dyDescent="0.15">
      <c r="A1858" s="84" t="s">
        <v>213</v>
      </c>
      <c r="B1858" s="87" t="s">
        <v>329</v>
      </c>
      <c r="C1858" s="87" t="s">
        <v>330</v>
      </c>
      <c r="D1858" s="87" t="s">
        <v>331</v>
      </c>
      <c r="E1858" s="82"/>
    </row>
    <row r="1859" spans="1:5" ht="20" customHeight="1" x14ac:dyDescent="0.15">
      <c r="A1859" s="84" t="s">
        <v>862</v>
      </c>
      <c r="B1859" s="87" t="s">
        <v>945</v>
      </c>
      <c r="C1859" s="87" t="s">
        <v>946</v>
      </c>
      <c r="D1859" s="87" t="s">
        <v>947</v>
      </c>
      <c r="E1859" s="82"/>
    </row>
    <row r="1860" spans="1:5" ht="20" customHeight="1" x14ac:dyDescent="0.15">
      <c r="A1860" s="86" t="s">
        <v>471</v>
      </c>
      <c r="B1860" s="87" t="s">
        <v>582</v>
      </c>
      <c r="C1860" s="87" t="s">
        <v>583</v>
      </c>
      <c r="D1860" s="87" t="s">
        <v>584</v>
      </c>
      <c r="E1860" s="82"/>
    </row>
    <row r="1861" spans="1:5" ht="20" customHeight="1" x14ac:dyDescent="0.15">
      <c r="A1861" s="84" t="s">
        <v>862</v>
      </c>
      <c r="B1861" s="87" t="s">
        <v>948</v>
      </c>
      <c r="C1861" s="87" t="s">
        <v>949</v>
      </c>
      <c r="D1861" s="87" t="s">
        <v>950</v>
      </c>
      <c r="E1861" s="82"/>
    </row>
    <row r="1862" spans="1:5" ht="20" customHeight="1" x14ac:dyDescent="0.15">
      <c r="A1862" s="86" t="s">
        <v>471</v>
      </c>
      <c r="B1862" s="87" t="s">
        <v>585</v>
      </c>
      <c r="C1862" s="87" t="s">
        <v>586</v>
      </c>
      <c r="D1862" s="87" t="s">
        <v>587</v>
      </c>
      <c r="E1862" s="82"/>
    </row>
    <row r="1863" spans="1:5" ht="20" customHeight="1" x14ac:dyDescent="0.15">
      <c r="A1863" s="84" t="s">
        <v>728</v>
      </c>
      <c r="B1863" s="87" t="s">
        <v>774</v>
      </c>
      <c r="C1863" s="87" t="s">
        <v>775</v>
      </c>
      <c r="D1863" s="87" t="s">
        <v>776</v>
      </c>
      <c r="E1863" s="82"/>
    </row>
    <row r="1864" spans="1:5" ht="20" customHeight="1" x14ac:dyDescent="0.15">
      <c r="A1864" s="88" t="s">
        <v>213</v>
      </c>
      <c r="B1864" s="87" t="s">
        <v>332</v>
      </c>
      <c r="C1864" s="87" t="s">
        <v>333</v>
      </c>
      <c r="D1864" s="87" t="s">
        <v>334</v>
      </c>
      <c r="E1864" s="82"/>
    </row>
    <row r="1865" spans="1:5" ht="20" customHeight="1" x14ac:dyDescent="0.15">
      <c r="A1865" s="84"/>
      <c r="B1865" s="87" t="s">
        <v>1234</v>
      </c>
      <c r="C1865" s="87" t="s">
        <v>1235</v>
      </c>
      <c r="D1865" s="87" t="s">
        <v>1236</v>
      </c>
      <c r="E1865" s="82"/>
    </row>
    <row r="1866" spans="1:5" ht="20" customHeight="1" x14ac:dyDescent="0.15">
      <c r="A1866" s="88" t="s">
        <v>78</v>
      </c>
      <c r="B1866" s="87" t="s">
        <v>1237</v>
      </c>
      <c r="C1866" s="87" t="s">
        <v>1238</v>
      </c>
      <c r="D1866" s="87" t="s">
        <v>2113</v>
      </c>
      <c r="E1866" s="82"/>
    </row>
    <row r="1867" spans="1:5" ht="20" customHeight="1" x14ac:dyDescent="0.15">
      <c r="A1867" s="89"/>
      <c r="B1867" s="87" t="s">
        <v>1240</v>
      </c>
      <c r="C1867" s="87" t="s">
        <v>1241</v>
      </c>
      <c r="D1867" s="87" t="s">
        <v>2148</v>
      </c>
      <c r="E1867" s="82"/>
    </row>
    <row r="1868" spans="1:5" ht="20" customHeight="1" x14ac:dyDescent="0.15">
      <c r="A1868" s="89"/>
      <c r="B1868" s="87" t="s">
        <v>1243</v>
      </c>
      <c r="C1868" s="87" t="s">
        <v>1244</v>
      </c>
      <c r="D1868" s="87" t="s">
        <v>2149</v>
      </c>
      <c r="E1868" s="82"/>
    </row>
    <row r="1869" spans="1:5" ht="20" customHeight="1" x14ac:dyDescent="0.15">
      <c r="A1869" s="89" t="s">
        <v>471</v>
      </c>
      <c r="B1869" s="87" t="s">
        <v>588</v>
      </c>
      <c r="C1869" s="87" t="s">
        <v>589</v>
      </c>
      <c r="D1869" s="87" t="s">
        <v>2150</v>
      </c>
      <c r="E1869" s="82"/>
    </row>
    <row r="1870" spans="1:5" ht="20" customHeight="1" x14ac:dyDescent="0.15">
      <c r="A1870" s="84" t="s">
        <v>862</v>
      </c>
      <c r="B1870" s="87" t="s">
        <v>951</v>
      </c>
      <c r="C1870" s="87" t="s">
        <v>952</v>
      </c>
      <c r="D1870" s="87" t="s">
        <v>2151</v>
      </c>
      <c r="E1870" s="82"/>
    </row>
    <row r="1871" spans="1:5" ht="20" customHeight="1" x14ac:dyDescent="0.15">
      <c r="A1871" s="89" t="s">
        <v>78</v>
      </c>
      <c r="B1871" s="87" t="s">
        <v>1246</v>
      </c>
      <c r="C1871" s="87" t="s">
        <v>1247</v>
      </c>
      <c r="D1871" s="87" t="s">
        <v>2115</v>
      </c>
      <c r="E1871" s="82"/>
    </row>
    <row r="1872" spans="1:5" ht="20" customHeight="1" x14ac:dyDescent="0.15">
      <c r="A1872" s="84" t="s">
        <v>862</v>
      </c>
      <c r="B1872" s="87" t="s">
        <v>954</v>
      </c>
      <c r="C1872" s="87" t="s">
        <v>955</v>
      </c>
      <c r="D1872" s="87" t="s">
        <v>2152</v>
      </c>
      <c r="E1872" s="82"/>
    </row>
    <row r="1873" spans="1:5" ht="20" customHeight="1" x14ac:dyDescent="0.15">
      <c r="A1873" s="89" t="s">
        <v>471</v>
      </c>
      <c r="B1873" s="87" t="s">
        <v>591</v>
      </c>
      <c r="C1873" s="87" t="s">
        <v>592</v>
      </c>
      <c r="D1873" s="87" t="s">
        <v>2153</v>
      </c>
      <c r="E1873" s="82"/>
    </row>
    <row r="1874" spans="1:5" ht="20" customHeight="1" x14ac:dyDescent="0.15">
      <c r="A1874" s="89"/>
      <c r="B1874" s="87" t="s">
        <v>1249</v>
      </c>
      <c r="C1874" s="87" t="s">
        <v>1250</v>
      </c>
      <c r="D1874" s="87" t="s">
        <v>2154</v>
      </c>
      <c r="E1874" s="82"/>
    </row>
    <row r="1875" spans="1:5" ht="20" customHeight="1" x14ac:dyDescent="0.15">
      <c r="A1875" s="89"/>
      <c r="B1875" s="87" t="s">
        <v>1252</v>
      </c>
      <c r="C1875" s="87" t="s">
        <v>1253</v>
      </c>
      <c r="D1875" s="87" t="s">
        <v>2155</v>
      </c>
      <c r="E1875" s="82"/>
    </row>
    <row r="1876" spans="1:5" ht="20" customHeight="1" x14ac:dyDescent="0.15">
      <c r="A1876" s="89" t="s">
        <v>471</v>
      </c>
      <c r="B1876" s="87" t="s">
        <v>594</v>
      </c>
      <c r="C1876" s="87" t="s">
        <v>595</v>
      </c>
      <c r="D1876" s="87" t="s">
        <v>2156</v>
      </c>
      <c r="E1876" s="82"/>
    </row>
    <row r="1877" spans="1:5" ht="20" customHeight="1" x14ac:dyDescent="0.15">
      <c r="A1877" s="89" t="s">
        <v>213</v>
      </c>
      <c r="B1877" s="87" t="s">
        <v>335</v>
      </c>
      <c r="C1877" s="87" t="s">
        <v>336</v>
      </c>
      <c r="D1877" s="87" t="s">
        <v>2157</v>
      </c>
      <c r="E1877" s="82"/>
    </row>
    <row r="1878" spans="1:5" ht="20" customHeight="1" x14ac:dyDescent="0.15">
      <c r="A1878" s="89" t="s">
        <v>78</v>
      </c>
      <c r="B1878" s="87" t="s">
        <v>1255</v>
      </c>
      <c r="C1878" s="87" t="s">
        <v>1256</v>
      </c>
      <c r="D1878" s="87" t="s">
        <v>2111</v>
      </c>
      <c r="E1878" s="82"/>
    </row>
    <row r="1879" spans="1:5" ht="20" customHeight="1" x14ac:dyDescent="0.15">
      <c r="A1879" s="89" t="s">
        <v>78</v>
      </c>
      <c r="B1879" s="87" t="s">
        <v>2116</v>
      </c>
      <c r="C1879" s="87" t="s">
        <v>1259</v>
      </c>
      <c r="D1879" s="87" t="s">
        <v>2119</v>
      </c>
      <c r="E1879" s="82"/>
    </row>
    <row r="1880" spans="1:5" ht="20" customHeight="1" x14ac:dyDescent="0.15">
      <c r="A1880" s="89" t="s">
        <v>78</v>
      </c>
      <c r="B1880" s="87" t="s">
        <v>1261</v>
      </c>
      <c r="C1880" s="87" t="s">
        <v>1262</v>
      </c>
      <c r="D1880" s="87" t="s">
        <v>2121</v>
      </c>
      <c r="E1880" s="82"/>
    </row>
    <row r="1881" spans="1:5" ht="20" customHeight="1" x14ac:dyDescent="0.15">
      <c r="A1881" s="89" t="s">
        <v>471</v>
      </c>
      <c r="B1881" s="87" t="s">
        <v>597</v>
      </c>
      <c r="C1881" s="87" t="s">
        <v>598</v>
      </c>
      <c r="D1881" s="87" t="s">
        <v>2158</v>
      </c>
      <c r="E1881" s="82"/>
    </row>
    <row r="1882" spans="1:5" ht="20" customHeight="1" x14ac:dyDescent="0.15">
      <c r="A1882" s="89" t="s">
        <v>78</v>
      </c>
      <c r="B1882" s="87" t="s">
        <v>1264</v>
      </c>
      <c r="C1882" s="87" t="s">
        <v>1265</v>
      </c>
      <c r="D1882" s="87" t="s">
        <v>2122</v>
      </c>
      <c r="E1882" s="82"/>
    </row>
    <row r="1883" spans="1:5" ht="20" customHeight="1" x14ac:dyDescent="0.15">
      <c r="A1883" s="84" t="s">
        <v>862</v>
      </c>
      <c r="B1883" s="87" t="s">
        <v>957</v>
      </c>
      <c r="C1883" s="87" t="s">
        <v>958</v>
      </c>
      <c r="D1883" s="87" t="s">
        <v>1541</v>
      </c>
      <c r="E1883" s="82"/>
    </row>
    <row r="1884" spans="1:5" ht="20" customHeight="1" x14ac:dyDescent="0.15">
      <c r="A1884" s="88" t="s">
        <v>213</v>
      </c>
      <c r="B1884" s="87" t="s">
        <v>338</v>
      </c>
      <c r="C1884" s="87" t="s">
        <v>339</v>
      </c>
      <c r="D1884" s="87" t="s">
        <v>340</v>
      </c>
      <c r="E1884" s="82"/>
    </row>
    <row r="1885" spans="1:5" ht="20" customHeight="1" x14ac:dyDescent="0.15">
      <c r="A1885" s="89" t="s">
        <v>213</v>
      </c>
      <c r="B1885" s="87" t="s">
        <v>341</v>
      </c>
      <c r="C1885" s="87" t="s">
        <v>342</v>
      </c>
      <c r="D1885" s="87" t="s">
        <v>1540</v>
      </c>
      <c r="E1885" s="82"/>
    </row>
    <row r="1886" spans="1:5" ht="20" customHeight="1" x14ac:dyDescent="0.15">
      <c r="A1886" s="84" t="s">
        <v>213</v>
      </c>
      <c r="B1886" s="87" t="s">
        <v>343</v>
      </c>
      <c r="C1886" s="87" t="s">
        <v>344</v>
      </c>
      <c r="D1886" s="87" t="s">
        <v>1521</v>
      </c>
      <c r="E1886" s="82"/>
    </row>
    <row r="1887" spans="1:5" ht="20" customHeight="1" x14ac:dyDescent="0.15">
      <c r="A1887" s="89" t="s">
        <v>471</v>
      </c>
      <c r="B1887" s="87" t="s">
        <v>600</v>
      </c>
      <c r="C1887" s="87" t="s">
        <v>601</v>
      </c>
      <c r="D1887" s="87" t="s">
        <v>2159</v>
      </c>
      <c r="E1887" s="82"/>
    </row>
    <row r="1888" spans="1:5" ht="20" customHeight="1" x14ac:dyDescent="0.15">
      <c r="A1888" s="89" t="s">
        <v>213</v>
      </c>
      <c r="B1888" s="87" t="s">
        <v>345</v>
      </c>
      <c r="C1888" s="87" t="s">
        <v>346</v>
      </c>
      <c r="D1888" s="87" t="s">
        <v>347</v>
      </c>
      <c r="E1888" s="82"/>
    </row>
    <row r="1889" spans="1:5" ht="20" customHeight="1" x14ac:dyDescent="0.15">
      <c r="A1889" s="86" t="s">
        <v>471</v>
      </c>
      <c r="B1889" s="87" t="s">
        <v>602</v>
      </c>
      <c r="C1889" s="87" t="s">
        <v>603</v>
      </c>
      <c r="D1889" s="87" t="s">
        <v>1538</v>
      </c>
      <c r="E1889" s="82"/>
    </row>
    <row r="1890" spans="1:5" ht="20" customHeight="1" x14ac:dyDescent="0.15">
      <c r="A1890" s="89"/>
      <c r="B1890" s="87" t="s">
        <v>1266</v>
      </c>
      <c r="C1890" s="87" t="s">
        <v>1267</v>
      </c>
      <c r="D1890" s="87" t="s">
        <v>1537</v>
      </c>
      <c r="E1890" s="82"/>
    </row>
    <row r="1891" spans="1:5" ht="20" customHeight="1" x14ac:dyDescent="0.15">
      <c r="A1891" s="89" t="s">
        <v>471</v>
      </c>
      <c r="B1891" s="87" t="s">
        <v>604</v>
      </c>
      <c r="C1891" s="87" t="s">
        <v>605</v>
      </c>
      <c r="D1891" s="87" t="s">
        <v>606</v>
      </c>
      <c r="E1891" s="82"/>
    </row>
    <row r="1892" spans="1:5" ht="20" customHeight="1" x14ac:dyDescent="0.15">
      <c r="A1892" s="88" t="s">
        <v>213</v>
      </c>
      <c r="B1892" s="87" t="s">
        <v>348</v>
      </c>
      <c r="C1892" s="87" t="s">
        <v>349</v>
      </c>
      <c r="D1892" s="87" t="s">
        <v>1528</v>
      </c>
      <c r="E1892" s="82"/>
    </row>
    <row r="1893" spans="1:5" ht="20" customHeight="1" x14ac:dyDescent="0.15">
      <c r="A1893" s="89"/>
      <c r="B1893" s="87" t="s">
        <v>1268</v>
      </c>
      <c r="C1893" s="87" t="s">
        <v>1269</v>
      </c>
      <c r="D1893" s="87" t="s">
        <v>1520</v>
      </c>
      <c r="E1893" s="82"/>
    </row>
    <row r="1894" spans="1:5" ht="20" customHeight="1" x14ac:dyDescent="0.15">
      <c r="A1894" s="84" t="s">
        <v>862</v>
      </c>
      <c r="B1894" s="87" t="s">
        <v>959</v>
      </c>
      <c r="C1894" s="87" t="s">
        <v>960</v>
      </c>
      <c r="D1894" s="87" t="s">
        <v>959</v>
      </c>
      <c r="E1894" s="82"/>
    </row>
    <row r="1895" spans="1:5" ht="20" customHeight="1" x14ac:dyDescent="0.15">
      <c r="A1895" s="88" t="s">
        <v>213</v>
      </c>
      <c r="B1895" s="87" t="s">
        <v>350</v>
      </c>
      <c r="C1895" s="87" t="s">
        <v>351</v>
      </c>
      <c r="D1895" s="87" t="s">
        <v>352</v>
      </c>
      <c r="E1895" s="82"/>
    </row>
    <row r="1896" spans="1:5" ht="20" customHeight="1" x14ac:dyDescent="0.15">
      <c r="A1896" s="84"/>
      <c r="B1896" s="87" t="s">
        <v>1270</v>
      </c>
      <c r="C1896" s="87" t="s">
        <v>1271</v>
      </c>
      <c r="D1896" s="87" t="s">
        <v>1272</v>
      </c>
      <c r="E1896" s="82"/>
    </row>
    <row r="1897" spans="1:5" ht="20" customHeight="1" x14ac:dyDescent="0.15">
      <c r="A1897" s="86"/>
      <c r="B1897" s="87" t="s">
        <v>1273</v>
      </c>
      <c r="C1897" s="87" t="s">
        <v>1274</v>
      </c>
      <c r="D1897" s="87" t="s">
        <v>1273</v>
      </c>
      <c r="E1897" s="82"/>
    </row>
    <row r="1898" spans="1:5" ht="20" customHeight="1" x14ac:dyDescent="0.15">
      <c r="A1898" s="84" t="s">
        <v>728</v>
      </c>
      <c r="B1898" s="87" t="s">
        <v>777</v>
      </c>
      <c r="C1898" s="87" t="s">
        <v>778</v>
      </c>
      <c r="D1898" s="87" t="s">
        <v>777</v>
      </c>
      <c r="E1898" s="82"/>
    </row>
    <row r="1899" spans="1:5" ht="20" customHeight="1" x14ac:dyDescent="0.15">
      <c r="A1899" s="89" t="s">
        <v>213</v>
      </c>
      <c r="B1899" s="87" t="s">
        <v>353</v>
      </c>
      <c r="C1899" s="87" t="s">
        <v>354</v>
      </c>
      <c r="D1899" s="87" t="s">
        <v>355</v>
      </c>
      <c r="E1899" s="82"/>
    </row>
    <row r="1900" spans="1:5" ht="20" customHeight="1" x14ac:dyDescent="0.15">
      <c r="A1900" s="84" t="s">
        <v>862</v>
      </c>
      <c r="B1900" s="87" t="s">
        <v>961</v>
      </c>
      <c r="C1900" s="87" t="s">
        <v>962</v>
      </c>
      <c r="D1900" s="87" t="s">
        <v>1519</v>
      </c>
      <c r="E1900" s="82"/>
    </row>
    <row r="1901" spans="1:5" ht="20" customHeight="1" x14ac:dyDescent="0.15">
      <c r="A1901" s="89" t="s">
        <v>213</v>
      </c>
      <c r="B1901" s="87" t="s">
        <v>356</v>
      </c>
      <c r="C1901" s="87" t="s">
        <v>357</v>
      </c>
      <c r="D1901" s="87" t="s">
        <v>1518</v>
      </c>
      <c r="E1901" s="82"/>
    </row>
    <row r="1902" spans="1:5" ht="20" customHeight="1" x14ac:dyDescent="0.15">
      <c r="A1902" s="84" t="s">
        <v>862</v>
      </c>
      <c r="B1902" s="87" t="s">
        <v>963</v>
      </c>
      <c r="C1902" s="87" t="s">
        <v>964</v>
      </c>
      <c r="D1902" s="87" t="s">
        <v>2160</v>
      </c>
      <c r="E1902" s="82"/>
    </row>
    <row r="1903" spans="1:5" ht="20" customHeight="1" x14ac:dyDescent="0.15">
      <c r="A1903" s="86"/>
      <c r="B1903" s="87" t="s">
        <v>1275</v>
      </c>
      <c r="C1903" s="87" t="s">
        <v>1276</v>
      </c>
      <c r="D1903" s="87" t="s">
        <v>2246</v>
      </c>
      <c r="E1903" s="82"/>
    </row>
    <row r="1904" spans="1:5" ht="20" customHeight="1" x14ac:dyDescent="0.15">
      <c r="A1904" s="84" t="s">
        <v>728</v>
      </c>
      <c r="B1904" s="87" t="s">
        <v>779</v>
      </c>
      <c r="C1904" s="87" t="s">
        <v>780</v>
      </c>
      <c r="D1904" s="87" t="s">
        <v>781</v>
      </c>
      <c r="E1904" s="82"/>
    </row>
    <row r="1905" spans="1:5" ht="20" customHeight="1" x14ac:dyDescent="0.15">
      <c r="A1905" s="88" t="s">
        <v>213</v>
      </c>
      <c r="B1905" s="87" t="s">
        <v>358</v>
      </c>
      <c r="C1905" s="87" t="s">
        <v>359</v>
      </c>
      <c r="D1905" s="87" t="s">
        <v>1527</v>
      </c>
      <c r="E1905" s="82"/>
    </row>
    <row r="1906" spans="1:5" ht="20" customHeight="1" x14ac:dyDescent="0.15">
      <c r="A1906" s="84" t="s">
        <v>862</v>
      </c>
      <c r="B1906" s="87" t="s">
        <v>966</v>
      </c>
      <c r="C1906" s="87" t="s">
        <v>967</v>
      </c>
      <c r="D1906" s="87" t="s">
        <v>968</v>
      </c>
      <c r="E1906" s="82"/>
    </row>
    <row r="1907" spans="1:5" ht="20" customHeight="1" x14ac:dyDescent="0.15">
      <c r="A1907" s="84" t="s">
        <v>862</v>
      </c>
      <c r="B1907" s="87" t="s">
        <v>969</v>
      </c>
      <c r="C1907" s="87" t="s">
        <v>970</v>
      </c>
      <c r="D1907" s="87" t="s">
        <v>1517</v>
      </c>
      <c r="E1907" s="82"/>
    </row>
    <row r="1908" spans="1:5" ht="20" customHeight="1" x14ac:dyDescent="0.15">
      <c r="A1908" s="88"/>
      <c r="B1908" s="87" t="s">
        <v>1278</v>
      </c>
      <c r="C1908" s="87" t="s">
        <v>1279</v>
      </c>
      <c r="D1908" s="87" t="s">
        <v>2161</v>
      </c>
      <c r="E1908" s="82"/>
    </row>
    <row r="1909" spans="1:5" ht="20" customHeight="1" x14ac:dyDescent="0.15">
      <c r="A1909" s="89" t="s">
        <v>728</v>
      </c>
      <c r="B1909" s="87" t="s">
        <v>782</v>
      </c>
      <c r="C1909" s="87" t="s">
        <v>783</v>
      </c>
      <c r="D1909" s="87" t="s">
        <v>2162</v>
      </c>
      <c r="E1909" s="82"/>
    </row>
    <row r="1910" spans="1:5" ht="20" customHeight="1" x14ac:dyDescent="0.15">
      <c r="A1910" s="89" t="s">
        <v>213</v>
      </c>
      <c r="B1910" s="87" t="s">
        <v>360</v>
      </c>
      <c r="C1910" s="87" t="s">
        <v>361</v>
      </c>
      <c r="D1910" s="87" t="s">
        <v>1515</v>
      </c>
      <c r="E1910" s="82"/>
    </row>
    <row r="1911" spans="1:5" ht="20" customHeight="1" x14ac:dyDescent="0.15">
      <c r="A1911" s="84" t="s">
        <v>862</v>
      </c>
      <c r="B1911" s="87" t="s">
        <v>971</v>
      </c>
      <c r="C1911" s="87" t="s">
        <v>972</v>
      </c>
      <c r="D1911" s="87" t="s">
        <v>973</v>
      </c>
      <c r="E1911" s="82"/>
    </row>
    <row r="1912" spans="1:5" ht="20" customHeight="1" x14ac:dyDescent="0.15">
      <c r="A1912" s="84" t="s">
        <v>862</v>
      </c>
      <c r="B1912" s="87" t="s">
        <v>974</v>
      </c>
      <c r="C1912" s="87" t="s">
        <v>975</v>
      </c>
      <c r="D1912" s="87" t="s">
        <v>2163</v>
      </c>
      <c r="E1912" s="82"/>
    </row>
    <row r="1913" spans="1:5" ht="20" customHeight="1" x14ac:dyDescent="0.15">
      <c r="A1913" s="86"/>
      <c r="B1913" s="87" t="s">
        <v>1281</v>
      </c>
      <c r="C1913" s="87">
        <v>0</v>
      </c>
      <c r="D1913" s="87" t="s">
        <v>1501</v>
      </c>
      <c r="E1913" s="82"/>
    </row>
    <row r="1914" spans="1:5" ht="20" customHeight="1" x14ac:dyDescent="0.15">
      <c r="A1914" s="86" t="s">
        <v>471</v>
      </c>
      <c r="B1914" s="87" t="s">
        <v>607</v>
      </c>
      <c r="C1914" s="87" t="s">
        <v>608</v>
      </c>
      <c r="D1914" s="87" t="s">
        <v>607</v>
      </c>
      <c r="E1914" s="82"/>
    </row>
    <row r="1915" spans="1:5" ht="20" customHeight="1" x14ac:dyDescent="0.15">
      <c r="A1915" s="86" t="s">
        <v>78</v>
      </c>
      <c r="B1915" s="87" t="s">
        <v>1282</v>
      </c>
      <c r="C1915" s="87" t="s">
        <v>1283</v>
      </c>
      <c r="D1915" s="87" t="s">
        <v>1536</v>
      </c>
      <c r="E1915" s="82"/>
    </row>
    <row r="1916" spans="1:5" ht="20" customHeight="1" x14ac:dyDescent="0.15">
      <c r="A1916" s="89" t="s">
        <v>471</v>
      </c>
      <c r="B1916" s="87" t="s">
        <v>609</v>
      </c>
      <c r="C1916" s="87" t="s">
        <v>610</v>
      </c>
      <c r="D1916" s="87" t="s">
        <v>1535</v>
      </c>
      <c r="E1916" s="82"/>
    </row>
    <row r="1917" spans="1:5" ht="20" customHeight="1" x14ac:dyDescent="0.15">
      <c r="A1917" s="89"/>
      <c r="B1917" s="87" t="s">
        <v>1284</v>
      </c>
      <c r="C1917" s="87" t="s">
        <v>1285</v>
      </c>
      <c r="D1917" s="87" t="s">
        <v>1284</v>
      </c>
      <c r="E1917" s="82"/>
    </row>
    <row r="1918" spans="1:5" ht="20" customHeight="1" x14ac:dyDescent="0.15">
      <c r="A1918" s="84"/>
      <c r="B1918" s="87" t="s">
        <v>1286</v>
      </c>
      <c r="C1918" s="87" t="s">
        <v>1287</v>
      </c>
      <c r="D1918" s="87" t="s">
        <v>1288</v>
      </c>
      <c r="E1918" s="82"/>
    </row>
    <row r="1919" spans="1:5" ht="20" customHeight="1" x14ac:dyDescent="0.15">
      <c r="A1919" s="84" t="s">
        <v>728</v>
      </c>
      <c r="B1919" s="87" t="s">
        <v>784</v>
      </c>
      <c r="C1919" s="87" t="s">
        <v>785</v>
      </c>
      <c r="D1919" s="87" t="s">
        <v>786</v>
      </c>
      <c r="E1919" s="82"/>
    </row>
    <row r="1920" spans="1:5" ht="20" customHeight="1" x14ac:dyDescent="0.15">
      <c r="A1920" s="89" t="s">
        <v>471</v>
      </c>
      <c r="B1920" s="87" t="s">
        <v>611</v>
      </c>
      <c r="C1920" s="87" t="s">
        <v>612</v>
      </c>
      <c r="D1920" s="87" t="s">
        <v>1500</v>
      </c>
      <c r="E1920" s="82"/>
    </row>
    <row r="1921" spans="1:5" ht="20" customHeight="1" x14ac:dyDescent="0.15">
      <c r="A1921" s="84" t="s">
        <v>862</v>
      </c>
      <c r="B1921" s="87" t="s">
        <v>977</v>
      </c>
      <c r="C1921" s="87" t="s">
        <v>978</v>
      </c>
      <c r="D1921" s="87" t="s">
        <v>979</v>
      </c>
      <c r="E1921" s="82"/>
    </row>
    <row r="1922" spans="1:5" ht="20" customHeight="1" x14ac:dyDescent="0.15">
      <c r="A1922" s="86" t="s">
        <v>213</v>
      </c>
      <c r="B1922" s="87" t="s">
        <v>362</v>
      </c>
      <c r="C1922" s="87" t="s">
        <v>363</v>
      </c>
      <c r="D1922" s="87" t="s">
        <v>364</v>
      </c>
      <c r="E1922" s="82"/>
    </row>
    <row r="1923" spans="1:5" ht="20" customHeight="1" x14ac:dyDescent="0.15">
      <c r="A1923" s="86" t="s">
        <v>471</v>
      </c>
      <c r="B1923" s="87" t="s">
        <v>613</v>
      </c>
      <c r="C1923" s="87" t="s">
        <v>614</v>
      </c>
      <c r="D1923" s="87" t="s">
        <v>615</v>
      </c>
      <c r="E1923" s="82"/>
    </row>
    <row r="1924" spans="1:5" ht="20" customHeight="1" x14ac:dyDescent="0.15">
      <c r="A1924" s="86"/>
      <c r="B1924" s="87" t="s">
        <v>1289</v>
      </c>
      <c r="C1924" s="87" t="s">
        <v>1290</v>
      </c>
      <c r="D1924" s="87" t="s">
        <v>1511</v>
      </c>
      <c r="E1924" s="82"/>
    </row>
    <row r="1925" spans="1:5" ht="20" customHeight="1" x14ac:dyDescent="0.15">
      <c r="A1925" s="86" t="s">
        <v>471</v>
      </c>
      <c r="B1925" s="87" t="s">
        <v>616</v>
      </c>
      <c r="C1925" s="87" t="s">
        <v>617</v>
      </c>
      <c r="D1925" s="87" t="s">
        <v>618</v>
      </c>
      <c r="E1925" s="82"/>
    </row>
    <row r="1926" spans="1:5" ht="20" customHeight="1" x14ac:dyDescent="0.15">
      <c r="A1926" s="86" t="s">
        <v>213</v>
      </c>
      <c r="B1926" s="87" t="s">
        <v>365</v>
      </c>
      <c r="C1926" s="87" t="s">
        <v>366</v>
      </c>
      <c r="D1926" s="87" t="s">
        <v>367</v>
      </c>
      <c r="E1926" s="82"/>
    </row>
    <row r="1927" spans="1:5" ht="20" customHeight="1" x14ac:dyDescent="0.15">
      <c r="A1927" s="86" t="s">
        <v>471</v>
      </c>
      <c r="B1927" s="87" t="s">
        <v>619</v>
      </c>
      <c r="C1927" s="87" t="s">
        <v>620</v>
      </c>
      <c r="D1927" s="87" t="s">
        <v>621</v>
      </c>
      <c r="E1927" s="82"/>
    </row>
    <row r="1928" spans="1:5" ht="20" customHeight="1" x14ac:dyDescent="0.15">
      <c r="A1928" s="84" t="s">
        <v>862</v>
      </c>
      <c r="B1928" s="87" t="s">
        <v>980</v>
      </c>
      <c r="C1928" s="87" t="s">
        <v>981</v>
      </c>
      <c r="D1928" s="87" t="s">
        <v>982</v>
      </c>
      <c r="E1928" s="82"/>
    </row>
    <row r="1929" spans="1:5" ht="20" customHeight="1" x14ac:dyDescent="0.15">
      <c r="A1929" s="86" t="s">
        <v>471</v>
      </c>
      <c r="B1929" s="87" t="s">
        <v>622</v>
      </c>
      <c r="C1929" s="87" t="s">
        <v>623</v>
      </c>
      <c r="D1929" s="87" t="s">
        <v>624</v>
      </c>
      <c r="E1929" s="82"/>
    </row>
    <row r="1930" spans="1:5" ht="20" customHeight="1" x14ac:dyDescent="0.15">
      <c r="A1930" s="84" t="s">
        <v>728</v>
      </c>
      <c r="B1930" s="87" t="s">
        <v>787</v>
      </c>
      <c r="C1930" s="87" t="s">
        <v>788</v>
      </c>
      <c r="D1930" s="87" t="s">
        <v>789</v>
      </c>
      <c r="E1930" s="82"/>
    </row>
    <row r="1931" spans="1:5" ht="20" customHeight="1" x14ac:dyDescent="0.15">
      <c r="A1931" s="84" t="s">
        <v>213</v>
      </c>
      <c r="B1931" s="87" t="s">
        <v>368</v>
      </c>
      <c r="C1931" s="87" t="s">
        <v>369</v>
      </c>
      <c r="D1931" s="87" t="s">
        <v>370</v>
      </c>
      <c r="E1931" s="82"/>
    </row>
    <row r="1932" spans="1:5" ht="20" customHeight="1" x14ac:dyDescent="0.15">
      <c r="A1932" s="84" t="s">
        <v>728</v>
      </c>
      <c r="B1932" s="87" t="s">
        <v>790</v>
      </c>
      <c r="C1932" s="87" t="s">
        <v>791</v>
      </c>
      <c r="D1932" s="87" t="s">
        <v>792</v>
      </c>
      <c r="E1932" s="82"/>
    </row>
    <row r="1933" spans="1:5" ht="20" customHeight="1" x14ac:dyDescent="0.15">
      <c r="A1933" s="86" t="s">
        <v>471</v>
      </c>
      <c r="B1933" s="87" t="s">
        <v>625</v>
      </c>
      <c r="C1933" s="87" t="s">
        <v>626</v>
      </c>
      <c r="D1933" s="87" t="s">
        <v>627</v>
      </c>
      <c r="E1933" s="82"/>
    </row>
    <row r="1934" spans="1:5" ht="20" customHeight="1" x14ac:dyDescent="0.15">
      <c r="A1934" s="84" t="s">
        <v>862</v>
      </c>
      <c r="B1934" s="87" t="s">
        <v>983</v>
      </c>
      <c r="C1934" s="87" t="s">
        <v>984</v>
      </c>
      <c r="D1934" s="87" t="s">
        <v>985</v>
      </c>
      <c r="E1934" s="82"/>
    </row>
    <row r="1935" spans="1:5" ht="20" customHeight="1" x14ac:dyDescent="0.15">
      <c r="A1935" s="86"/>
      <c r="B1935" s="87" t="s">
        <v>1294</v>
      </c>
      <c r="C1935" s="87">
        <v>0</v>
      </c>
      <c r="D1935" s="87" t="s">
        <v>1295</v>
      </c>
      <c r="E1935" s="82"/>
    </row>
    <row r="1936" spans="1:5" ht="20" customHeight="1" x14ac:dyDescent="0.15">
      <c r="A1936" s="86"/>
      <c r="B1936" s="87" t="s">
        <v>1296</v>
      </c>
      <c r="C1936" s="87" t="s">
        <v>1297</v>
      </c>
      <c r="D1936" s="87" t="s">
        <v>1581</v>
      </c>
      <c r="E1936" s="82"/>
    </row>
    <row r="1937" spans="1:5" ht="20" customHeight="1" x14ac:dyDescent="0.15">
      <c r="A1937" s="86"/>
      <c r="B1937" s="87" t="s">
        <v>1298</v>
      </c>
      <c r="C1937" s="87" t="s">
        <v>1299</v>
      </c>
      <c r="D1937" s="87" t="s">
        <v>1300</v>
      </c>
      <c r="E1937" s="82"/>
    </row>
    <row r="1938" spans="1:5" ht="20" customHeight="1" x14ac:dyDescent="0.15">
      <c r="A1938" s="84" t="s">
        <v>728</v>
      </c>
      <c r="B1938" s="87" t="s">
        <v>201</v>
      </c>
      <c r="C1938" s="87" t="s">
        <v>202</v>
      </c>
      <c r="D1938" s="87" t="s">
        <v>203</v>
      </c>
      <c r="E1938" s="82"/>
    </row>
    <row r="1939" spans="1:5" ht="20" customHeight="1" x14ac:dyDescent="0.15">
      <c r="A1939" s="86"/>
      <c r="B1939" s="87" t="s">
        <v>1301</v>
      </c>
      <c r="C1939" s="87" t="s">
        <v>1302</v>
      </c>
      <c r="D1939" s="87" t="s">
        <v>2164</v>
      </c>
      <c r="E1939" s="82"/>
    </row>
    <row r="1940" spans="1:5" ht="20" customHeight="1" x14ac:dyDescent="0.15">
      <c r="A1940" s="84" t="s">
        <v>728</v>
      </c>
      <c r="B1940" s="87" t="s">
        <v>793</v>
      </c>
      <c r="C1940" s="87" t="s">
        <v>794</v>
      </c>
      <c r="D1940" s="87" t="s">
        <v>795</v>
      </c>
      <c r="E1940" s="82"/>
    </row>
    <row r="1941" spans="1:5" ht="20" customHeight="1" x14ac:dyDescent="0.15">
      <c r="A1941" s="89"/>
      <c r="B1941" s="87" t="s">
        <v>1304</v>
      </c>
      <c r="C1941" s="87">
        <v>0</v>
      </c>
      <c r="D1941" s="87" t="s">
        <v>1305</v>
      </c>
      <c r="E1941" s="82"/>
    </row>
    <row r="1942" spans="1:5" ht="20" customHeight="1" x14ac:dyDescent="0.15">
      <c r="A1942" s="86"/>
      <c r="B1942" s="87" t="s">
        <v>1306</v>
      </c>
      <c r="C1942" s="87" t="s">
        <v>1307</v>
      </c>
      <c r="D1942" s="87" t="s">
        <v>2165</v>
      </c>
      <c r="E1942" s="82"/>
    </row>
    <row r="1943" spans="1:5" ht="20" customHeight="1" x14ac:dyDescent="0.15">
      <c r="A1943" s="86"/>
      <c r="B1943" s="87" t="s">
        <v>1309</v>
      </c>
      <c r="C1943" s="87">
        <v>0</v>
      </c>
      <c r="D1943" s="87" t="s">
        <v>1310</v>
      </c>
      <c r="E1943" s="82" t="s">
        <v>2263</v>
      </c>
    </row>
    <row r="1944" spans="1:5" ht="20" customHeight="1" x14ac:dyDescent="0.15">
      <c r="A1944" s="84" t="s">
        <v>862</v>
      </c>
      <c r="B1944" s="87" t="s">
        <v>986</v>
      </c>
      <c r="C1944" s="87" t="s">
        <v>987</v>
      </c>
      <c r="D1944" s="87" t="s">
        <v>988</v>
      </c>
      <c r="E1944" s="82"/>
    </row>
    <row r="1945" spans="1:5" ht="20" customHeight="1" x14ac:dyDescent="0.15">
      <c r="A1945" s="84" t="s">
        <v>728</v>
      </c>
      <c r="B1945" s="87" t="s">
        <v>796</v>
      </c>
      <c r="C1945" s="87" t="s">
        <v>797</v>
      </c>
      <c r="D1945" s="87" t="s">
        <v>798</v>
      </c>
      <c r="E1945" s="82"/>
    </row>
    <row r="1946" spans="1:5" ht="20" customHeight="1" x14ac:dyDescent="0.15">
      <c r="A1946" s="86"/>
      <c r="B1946" s="87" t="s">
        <v>1311</v>
      </c>
      <c r="C1946" s="87" t="s">
        <v>1312</v>
      </c>
      <c r="D1946" s="87" t="s">
        <v>1313</v>
      </c>
      <c r="E1946" s="82"/>
    </row>
    <row r="1947" spans="1:5" ht="20" customHeight="1" x14ac:dyDescent="0.15">
      <c r="A1947" s="86"/>
      <c r="B1947" s="87" t="s">
        <v>1314</v>
      </c>
      <c r="C1947" s="87" t="s">
        <v>1315</v>
      </c>
      <c r="D1947" s="87" t="s">
        <v>2166</v>
      </c>
      <c r="E1947" s="82"/>
    </row>
    <row r="1948" spans="1:5" ht="20" customHeight="1" x14ac:dyDescent="0.15">
      <c r="A1948" s="89"/>
      <c r="B1948" s="87" t="s">
        <v>1317</v>
      </c>
      <c r="C1948" s="87" t="s">
        <v>1318</v>
      </c>
      <c r="D1948" s="87" t="s">
        <v>1319</v>
      </c>
      <c r="E1948" s="82"/>
    </row>
    <row r="1949" spans="1:5" ht="20" customHeight="1" x14ac:dyDescent="0.15">
      <c r="A1949" s="84" t="s">
        <v>728</v>
      </c>
      <c r="B1949" s="87" t="s">
        <v>799</v>
      </c>
      <c r="C1949" s="87" t="s">
        <v>800</v>
      </c>
      <c r="D1949" s="87" t="s">
        <v>801</v>
      </c>
      <c r="E1949" s="82"/>
    </row>
    <row r="1950" spans="1:5" ht="20" customHeight="1" x14ac:dyDescent="0.15">
      <c r="A1950" s="86" t="s">
        <v>471</v>
      </c>
      <c r="B1950" s="87" t="s">
        <v>628</v>
      </c>
      <c r="C1950" s="87" t="s">
        <v>629</v>
      </c>
      <c r="D1950" s="87" t="s">
        <v>630</v>
      </c>
      <c r="E1950" s="82"/>
    </row>
    <row r="1951" spans="1:5" ht="20" customHeight="1" x14ac:dyDescent="0.15">
      <c r="A1951" s="86"/>
      <c r="B1951" s="87" t="s">
        <v>1320</v>
      </c>
      <c r="C1951" s="87" t="s">
        <v>1321</v>
      </c>
      <c r="D1951" s="87" t="s">
        <v>2167</v>
      </c>
      <c r="E1951" s="82"/>
    </row>
    <row r="1952" spans="1:5" ht="20" customHeight="1" x14ac:dyDescent="0.15">
      <c r="A1952" s="86"/>
      <c r="B1952" s="87" t="s">
        <v>1323</v>
      </c>
      <c r="C1952" s="87" t="s">
        <v>1324</v>
      </c>
      <c r="D1952" s="87" t="s">
        <v>1325</v>
      </c>
      <c r="E1952" s="82"/>
    </row>
    <row r="1953" spans="1:5" ht="20" customHeight="1" x14ac:dyDescent="0.15">
      <c r="A1953" s="86" t="s">
        <v>471</v>
      </c>
      <c r="B1953" s="87" t="s">
        <v>631</v>
      </c>
      <c r="C1953" s="87" t="s">
        <v>632</v>
      </c>
      <c r="D1953" s="87" t="s">
        <v>2168</v>
      </c>
      <c r="E1953" s="82"/>
    </row>
    <row r="1954" spans="1:5" ht="20" customHeight="1" x14ac:dyDescent="0.15">
      <c r="A1954" s="84" t="s">
        <v>213</v>
      </c>
      <c r="B1954" s="87" t="s">
        <v>233</v>
      </c>
      <c r="C1954" s="87" t="s">
        <v>234</v>
      </c>
      <c r="D1954" s="87" t="s">
        <v>2169</v>
      </c>
      <c r="E1954" s="82"/>
    </row>
    <row r="1955" spans="1:5" ht="20" customHeight="1" x14ac:dyDescent="0.15">
      <c r="A1955" s="84" t="s">
        <v>213</v>
      </c>
      <c r="B1955" s="87" t="s">
        <v>236</v>
      </c>
      <c r="C1955" s="87" t="s">
        <v>237</v>
      </c>
      <c r="D1955" s="87" t="s">
        <v>2170</v>
      </c>
      <c r="E1955" s="82"/>
    </row>
    <row r="1956" spans="1:5" ht="20" customHeight="1" x14ac:dyDescent="0.15">
      <c r="A1956" s="86" t="s">
        <v>471</v>
      </c>
      <c r="B1956" s="87" t="s">
        <v>634</v>
      </c>
      <c r="C1956" s="87" t="s">
        <v>635</v>
      </c>
      <c r="D1956" s="87" t="s">
        <v>2171</v>
      </c>
      <c r="E1956" s="82"/>
    </row>
    <row r="1957" spans="1:5" ht="20" customHeight="1" x14ac:dyDescent="0.15">
      <c r="A1957" s="84" t="s">
        <v>728</v>
      </c>
      <c r="B1957" s="87" t="s">
        <v>802</v>
      </c>
      <c r="C1957" s="87" t="s">
        <v>803</v>
      </c>
      <c r="D1957" s="87" t="s">
        <v>804</v>
      </c>
      <c r="E1957" s="82" t="s">
        <v>2267</v>
      </c>
    </row>
    <row r="1958" spans="1:5" ht="20" customHeight="1" x14ac:dyDescent="0.15">
      <c r="A1958" s="84" t="s">
        <v>728</v>
      </c>
      <c r="B1958" s="87" t="s">
        <v>204</v>
      </c>
      <c r="C1958" s="87" t="s">
        <v>205</v>
      </c>
      <c r="D1958" s="87" t="s">
        <v>1545</v>
      </c>
      <c r="E1958" s="82"/>
    </row>
    <row r="1959" spans="1:5" ht="20" customHeight="1" x14ac:dyDescent="0.15">
      <c r="A1959" s="84" t="s">
        <v>862</v>
      </c>
      <c r="B1959" s="87" t="s">
        <v>989</v>
      </c>
      <c r="C1959" s="87" t="s">
        <v>990</v>
      </c>
      <c r="D1959" s="87" t="s">
        <v>2172</v>
      </c>
      <c r="E1959" s="82"/>
    </row>
    <row r="1960" spans="1:5" ht="20" customHeight="1" x14ac:dyDescent="0.15">
      <c r="A1960" s="84" t="s">
        <v>862</v>
      </c>
      <c r="B1960" s="87" t="s">
        <v>992</v>
      </c>
      <c r="C1960" s="87" t="s">
        <v>993</v>
      </c>
      <c r="D1960" s="87" t="s">
        <v>994</v>
      </c>
      <c r="E1960" s="82"/>
    </row>
    <row r="1961" spans="1:5" ht="20" customHeight="1" x14ac:dyDescent="0.15">
      <c r="A1961" s="86" t="s">
        <v>471</v>
      </c>
      <c r="B1961" s="87" t="s">
        <v>637</v>
      </c>
      <c r="C1961" s="87" t="s">
        <v>638</v>
      </c>
      <c r="D1961" s="87" t="s">
        <v>639</v>
      </c>
      <c r="E1961" s="82"/>
    </row>
    <row r="1962" spans="1:5" ht="20" customHeight="1" x14ac:dyDescent="0.15">
      <c r="A1962" s="91" t="s">
        <v>728</v>
      </c>
      <c r="B1962" s="87" t="s">
        <v>805</v>
      </c>
      <c r="C1962" s="87" t="s">
        <v>806</v>
      </c>
      <c r="D1962" s="87" t="s">
        <v>807</v>
      </c>
      <c r="E1962" s="82"/>
    </row>
    <row r="1963" spans="1:5" ht="20" customHeight="1" x14ac:dyDescent="0.15">
      <c r="A1963" s="86" t="s">
        <v>471</v>
      </c>
      <c r="B1963" s="87" t="s">
        <v>640</v>
      </c>
      <c r="C1963" s="87" t="s">
        <v>641</v>
      </c>
      <c r="D1963" s="87" t="s">
        <v>642</v>
      </c>
      <c r="E1963" s="82"/>
    </row>
    <row r="1964" spans="1:5" ht="20" customHeight="1" x14ac:dyDescent="0.15">
      <c r="A1964" s="84" t="s">
        <v>728</v>
      </c>
      <c r="B1964" s="87" t="s">
        <v>808</v>
      </c>
      <c r="C1964" s="87" t="s">
        <v>809</v>
      </c>
      <c r="D1964" s="87" t="s">
        <v>810</v>
      </c>
      <c r="E1964" s="82"/>
    </row>
    <row r="1965" spans="1:5" ht="20" customHeight="1" x14ac:dyDescent="0.15">
      <c r="A1965" s="84" t="s">
        <v>728</v>
      </c>
      <c r="B1965" s="87" t="s">
        <v>811</v>
      </c>
      <c r="C1965" s="87" t="s">
        <v>812</v>
      </c>
      <c r="D1965" s="87" t="s">
        <v>813</v>
      </c>
      <c r="E1965" s="82"/>
    </row>
    <row r="1966" spans="1:5" ht="20" customHeight="1" x14ac:dyDescent="0.15">
      <c r="A1966" s="84"/>
      <c r="B1966" s="87" t="s">
        <v>1326</v>
      </c>
      <c r="C1966" s="87" t="s">
        <v>1327</v>
      </c>
      <c r="D1966" s="87" t="s">
        <v>1328</v>
      </c>
      <c r="E1966" s="82"/>
    </row>
    <row r="1967" spans="1:5" ht="20" customHeight="1" x14ac:dyDescent="0.15">
      <c r="A1967" s="84" t="s">
        <v>371</v>
      </c>
      <c r="B1967" s="87" t="s">
        <v>372</v>
      </c>
      <c r="C1967" s="87" t="s">
        <v>373</v>
      </c>
      <c r="D1967" s="87" t="s">
        <v>374</v>
      </c>
      <c r="E1967" s="82"/>
    </row>
    <row r="1968" spans="1:5" ht="20" customHeight="1" x14ac:dyDescent="0.15">
      <c r="A1968" s="84" t="s">
        <v>862</v>
      </c>
      <c r="B1968" s="87" t="s">
        <v>995</v>
      </c>
      <c r="C1968" s="87" t="s">
        <v>996</v>
      </c>
      <c r="D1968" s="87" t="s">
        <v>2173</v>
      </c>
      <c r="E1968" s="82"/>
    </row>
    <row r="1969" spans="1:5" ht="20" customHeight="1" x14ac:dyDescent="0.15">
      <c r="A1969" s="84" t="s">
        <v>728</v>
      </c>
      <c r="B1969" s="87" t="s">
        <v>198</v>
      </c>
      <c r="C1969" s="87" t="s">
        <v>199</v>
      </c>
      <c r="D1969" s="87" t="s">
        <v>2174</v>
      </c>
      <c r="E1969" s="82"/>
    </row>
    <row r="1970" spans="1:5" ht="20" customHeight="1" x14ac:dyDescent="0.15">
      <c r="A1970" s="86" t="s">
        <v>213</v>
      </c>
      <c r="B1970" s="87" t="s">
        <v>375</v>
      </c>
      <c r="C1970" s="87" t="s">
        <v>376</v>
      </c>
      <c r="D1970" s="87" t="s">
        <v>377</v>
      </c>
      <c r="E1970" s="82"/>
    </row>
    <row r="1971" spans="1:5" ht="20" customHeight="1" x14ac:dyDescent="0.15">
      <c r="A1971" s="89" t="s">
        <v>471</v>
      </c>
      <c r="B1971" s="87" t="s">
        <v>643</v>
      </c>
      <c r="C1971" s="87" t="s">
        <v>644</v>
      </c>
      <c r="D1971" s="87" t="s">
        <v>645</v>
      </c>
      <c r="E1971" s="82"/>
    </row>
    <row r="1972" spans="1:5" ht="20" customHeight="1" x14ac:dyDescent="0.15">
      <c r="A1972" s="86"/>
      <c r="B1972" s="87" t="s">
        <v>1329</v>
      </c>
      <c r="C1972" s="87" t="s">
        <v>1330</v>
      </c>
      <c r="D1972" s="87" t="s">
        <v>2175</v>
      </c>
      <c r="E1972" s="82"/>
    </row>
    <row r="1973" spans="1:5" ht="20" customHeight="1" x14ac:dyDescent="0.15">
      <c r="A1973" s="84"/>
      <c r="B1973" s="87" t="s">
        <v>1332</v>
      </c>
      <c r="C1973" s="87" t="s">
        <v>1333</v>
      </c>
      <c r="D1973" s="87" t="s">
        <v>1510</v>
      </c>
      <c r="E1973" s="82"/>
    </row>
    <row r="1974" spans="1:5" ht="20" customHeight="1" x14ac:dyDescent="0.15">
      <c r="A1974" s="86" t="s">
        <v>213</v>
      </c>
      <c r="B1974" s="87" t="s">
        <v>378</v>
      </c>
      <c r="C1974" s="87" t="s">
        <v>379</v>
      </c>
      <c r="D1974" s="87" t="s">
        <v>380</v>
      </c>
      <c r="E1974" s="82"/>
    </row>
    <row r="1975" spans="1:5" ht="20" customHeight="1" x14ac:dyDescent="0.15">
      <c r="A1975" s="84" t="s">
        <v>728</v>
      </c>
      <c r="B1975" s="87" t="s">
        <v>814</v>
      </c>
      <c r="C1975" s="87" t="s">
        <v>815</v>
      </c>
      <c r="D1975" s="87" t="s">
        <v>816</v>
      </c>
      <c r="E1975" s="82"/>
    </row>
    <row r="1976" spans="1:5" ht="20" customHeight="1" x14ac:dyDescent="0.15">
      <c r="A1976" s="94"/>
      <c r="B1976" s="87" t="s">
        <v>1334</v>
      </c>
      <c r="C1976" s="87">
        <v>0</v>
      </c>
      <c r="D1976" s="87" t="s">
        <v>1335</v>
      </c>
      <c r="E1976" s="82"/>
    </row>
    <row r="1977" spans="1:5" ht="20" customHeight="1" x14ac:dyDescent="0.15">
      <c r="A1977" s="86"/>
      <c r="B1977" s="87" t="s">
        <v>1336</v>
      </c>
      <c r="C1977" s="87" t="s">
        <v>1337</v>
      </c>
      <c r="D1977" s="87" t="s">
        <v>2176</v>
      </c>
      <c r="E1977" s="82"/>
    </row>
    <row r="1978" spans="1:5" ht="20" customHeight="1" x14ac:dyDescent="0.15">
      <c r="A1978" s="84" t="s">
        <v>862</v>
      </c>
      <c r="B1978" s="87" t="s">
        <v>997</v>
      </c>
      <c r="C1978" s="87" t="s">
        <v>998</v>
      </c>
      <c r="D1978" s="87" t="s">
        <v>999</v>
      </c>
      <c r="E1978" s="82"/>
    </row>
    <row r="1979" spans="1:5" ht="20" customHeight="1" x14ac:dyDescent="0.15">
      <c r="A1979" s="84" t="s">
        <v>471</v>
      </c>
      <c r="B1979" s="87" t="s">
        <v>646</v>
      </c>
      <c r="C1979" s="87" t="s">
        <v>647</v>
      </c>
      <c r="D1979" s="87" t="s">
        <v>2177</v>
      </c>
      <c r="E1979" s="82"/>
    </row>
    <row r="1980" spans="1:5" ht="20" customHeight="1" x14ac:dyDescent="0.15">
      <c r="A1980" s="86"/>
      <c r="B1980" s="87" t="s">
        <v>1338</v>
      </c>
      <c r="C1980" s="87" t="s">
        <v>1339</v>
      </c>
      <c r="D1980" s="87" t="s">
        <v>2178</v>
      </c>
      <c r="E1980" s="82"/>
    </row>
    <row r="1981" spans="1:5" ht="20" customHeight="1" x14ac:dyDescent="0.15">
      <c r="A1981" s="86" t="s">
        <v>471</v>
      </c>
      <c r="B1981" s="87" t="s">
        <v>649</v>
      </c>
      <c r="C1981" s="87" t="s">
        <v>650</v>
      </c>
      <c r="D1981" s="87" t="s">
        <v>651</v>
      </c>
      <c r="E1981" s="82"/>
    </row>
    <row r="1982" spans="1:5" ht="20" customHeight="1" x14ac:dyDescent="0.15">
      <c r="A1982" s="84" t="s">
        <v>78</v>
      </c>
      <c r="B1982" s="87" t="s">
        <v>1341</v>
      </c>
      <c r="C1982" s="87" t="s">
        <v>1342</v>
      </c>
      <c r="D1982" s="87" t="s">
        <v>2112</v>
      </c>
      <c r="E1982" s="82"/>
    </row>
    <row r="1983" spans="1:5" ht="20" customHeight="1" x14ac:dyDescent="0.15">
      <c r="A1983" s="86" t="s">
        <v>471</v>
      </c>
      <c r="B1983" s="87" t="s">
        <v>652</v>
      </c>
      <c r="C1983" s="87" t="s">
        <v>653</v>
      </c>
      <c r="D1983" s="87" t="s">
        <v>1533</v>
      </c>
      <c r="E1983" s="82"/>
    </row>
    <row r="1984" spans="1:5" ht="20" customHeight="1" x14ac:dyDescent="0.15">
      <c r="A1984" s="84" t="s">
        <v>862</v>
      </c>
      <c r="B1984" s="87" t="s">
        <v>1000</v>
      </c>
      <c r="C1984" s="87" t="s">
        <v>1001</v>
      </c>
      <c r="D1984" s="87" t="s">
        <v>1000</v>
      </c>
      <c r="E1984" s="82"/>
    </row>
    <row r="1985" spans="1:5" ht="20" customHeight="1" x14ac:dyDescent="0.15">
      <c r="A1985" s="88" t="s">
        <v>213</v>
      </c>
      <c r="B1985" s="87" t="s">
        <v>381</v>
      </c>
      <c r="C1985" s="87" t="s">
        <v>382</v>
      </c>
      <c r="D1985" s="87" t="s">
        <v>2179</v>
      </c>
      <c r="E1985" s="82"/>
    </row>
    <row r="1986" spans="1:5" ht="20" customHeight="1" x14ac:dyDescent="0.15">
      <c r="A1986" s="89"/>
      <c r="B1986" s="87" t="s">
        <v>1343</v>
      </c>
      <c r="C1986" s="87" t="s">
        <v>1344</v>
      </c>
      <c r="D1986" s="87" t="s">
        <v>1345</v>
      </c>
      <c r="E1986" s="82"/>
    </row>
    <row r="1987" spans="1:5" ht="20" customHeight="1" x14ac:dyDescent="0.15">
      <c r="A1987" s="86" t="s">
        <v>471</v>
      </c>
      <c r="B1987" s="87" t="s">
        <v>654</v>
      </c>
      <c r="C1987" s="87" t="s">
        <v>655</v>
      </c>
      <c r="D1987" s="87" t="s">
        <v>656</v>
      </c>
      <c r="E1987" s="82"/>
    </row>
    <row r="1988" spans="1:5" ht="20" customHeight="1" x14ac:dyDescent="0.15">
      <c r="A1988" s="84"/>
      <c r="B1988" s="87" t="s">
        <v>1346</v>
      </c>
      <c r="C1988" s="87" t="s">
        <v>1347</v>
      </c>
      <c r="D1988" s="87" t="s">
        <v>1348</v>
      </c>
      <c r="E1988" s="82"/>
    </row>
    <row r="1989" spans="1:5" ht="20" customHeight="1" x14ac:dyDescent="0.15">
      <c r="A1989" s="88"/>
      <c r="B1989" s="87" t="s">
        <v>1349</v>
      </c>
      <c r="C1989" s="87" t="s">
        <v>1350</v>
      </c>
      <c r="D1989" s="87" t="s">
        <v>1351</v>
      </c>
      <c r="E1989" s="82"/>
    </row>
    <row r="1990" spans="1:5" ht="20" customHeight="1" x14ac:dyDescent="0.15">
      <c r="A1990" s="89"/>
      <c r="B1990" s="87" t="s">
        <v>1352</v>
      </c>
      <c r="C1990" s="87" t="s">
        <v>1353</v>
      </c>
      <c r="D1990" s="87" t="s">
        <v>1351</v>
      </c>
      <c r="E1990" s="82"/>
    </row>
    <row r="1991" spans="1:5" ht="20" customHeight="1" x14ac:dyDescent="0.15">
      <c r="A1991" s="86"/>
      <c r="B1991" s="87" t="s">
        <v>2180</v>
      </c>
      <c r="C1991" s="87">
        <v>0</v>
      </c>
      <c r="D1991" s="87" t="s">
        <v>2180</v>
      </c>
      <c r="E1991" s="82"/>
    </row>
    <row r="1992" spans="1:5" ht="20" customHeight="1" x14ac:dyDescent="0.15">
      <c r="A1992" s="84" t="s">
        <v>728</v>
      </c>
      <c r="B1992" s="87" t="s">
        <v>817</v>
      </c>
      <c r="C1992" s="87" t="s">
        <v>818</v>
      </c>
      <c r="D1992" s="87" t="s">
        <v>819</v>
      </c>
      <c r="E1992" s="82"/>
    </row>
    <row r="1993" spans="1:5" ht="20" customHeight="1" x14ac:dyDescent="0.15">
      <c r="A1993" s="84" t="s">
        <v>471</v>
      </c>
      <c r="B1993" s="87" t="s">
        <v>657</v>
      </c>
      <c r="C1993" s="87" t="s">
        <v>658</v>
      </c>
      <c r="D1993" s="87" t="s">
        <v>657</v>
      </c>
      <c r="E1993" s="82"/>
    </row>
    <row r="1994" spans="1:5" ht="20" customHeight="1" x14ac:dyDescent="0.15">
      <c r="A1994" s="86" t="s">
        <v>213</v>
      </c>
      <c r="B1994" s="87" t="s">
        <v>239</v>
      </c>
      <c r="C1994" s="87" t="s">
        <v>240</v>
      </c>
      <c r="D1994" s="87" t="s">
        <v>241</v>
      </c>
      <c r="E1994" s="82"/>
    </row>
    <row r="1995" spans="1:5" ht="20" customHeight="1" x14ac:dyDescent="0.15">
      <c r="A1995" s="84" t="s">
        <v>728</v>
      </c>
      <c r="B1995" s="87" t="s">
        <v>820</v>
      </c>
      <c r="C1995" s="87" t="s">
        <v>821</v>
      </c>
      <c r="D1995" s="87" t="s">
        <v>822</v>
      </c>
      <c r="E1995" s="82"/>
    </row>
    <row r="1996" spans="1:5" ht="20" customHeight="1" x14ac:dyDescent="0.15">
      <c r="A1996" s="86"/>
      <c r="B1996" s="87" t="s">
        <v>1355</v>
      </c>
      <c r="C1996" s="87">
        <v>0</v>
      </c>
      <c r="D1996" s="87" t="s">
        <v>1498</v>
      </c>
      <c r="E1996" s="82"/>
    </row>
    <row r="1997" spans="1:5" ht="20" customHeight="1" x14ac:dyDescent="0.15">
      <c r="A1997" s="84" t="s">
        <v>728</v>
      </c>
      <c r="B1997" s="87" t="s">
        <v>823</v>
      </c>
      <c r="C1997" s="87" t="s">
        <v>824</v>
      </c>
      <c r="D1997" s="87" t="s">
        <v>825</v>
      </c>
      <c r="E1997" s="82"/>
    </row>
    <row r="1998" spans="1:5" ht="20" customHeight="1" x14ac:dyDescent="0.15">
      <c r="A1998" s="84"/>
      <c r="B1998" s="87" t="s">
        <v>1356</v>
      </c>
      <c r="C1998" s="87" t="s">
        <v>1357</v>
      </c>
      <c r="D1998" s="87" t="s">
        <v>1417</v>
      </c>
      <c r="E1998" s="82"/>
    </row>
    <row r="1999" spans="1:5" ht="20" customHeight="1" x14ac:dyDescent="0.15">
      <c r="A1999" s="84" t="s">
        <v>213</v>
      </c>
      <c r="B1999" s="87" t="s">
        <v>383</v>
      </c>
      <c r="C1999" s="87" t="s">
        <v>384</v>
      </c>
      <c r="D1999" s="87" t="s">
        <v>2181</v>
      </c>
      <c r="E1999" s="82"/>
    </row>
    <row r="2000" spans="1:5" ht="20" customHeight="1" x14ac:dyDescent="0.15">
      <c r="A2000" s="84" t="s">
        <v>728</v>
      </c>
      <c r="B2000" s="87" t="s">
        <v>826</v>
      </c>
      <c r="C2000" s="87" t="s">
        <v>827</v>
      </c>
      <c r="D2000" s="87" t="s">
        <v>828</v>
      </c>
      <c r="E2000" s="82"/>
    </row>
    <row r="2001" spans="1:5" ht="20" customHeight="1" x14ac:dyDescent="0.15">
      <c r="A2001" s="84" t="s">
        <v>862</v>
      </c>
      <c r="B2001" s="87" t="s">
        <v>1002</v>
      </c>
      <c r="C2001" s="87" t="s">
        <v>1003</v>
      </c>
      <c r="D2001" s="87" t="s">
        <v>1496</v>
      </c>
      <c r="E2001" s="82"/>
    </row>
    <row r="2002" spans="1:5" ht="20" customHeight="1" x14ac:dyDescent="0.15">
      <c r="A2002" s="86" t="s">
        <v>78</v>
      </c>
      <c r="B2002" s="87" t="s">
        <v>1360</v>
      </c>
      <c r="C2002" s="87" t="s">
        <v>1361</v>
      </c>
      <c r="D2002" s="87" t="s">
        <v>1362</v>
      </c>
      <c r="E2002" s="82"/>
    </row>
    <row r="2003" spans="1:5" ht="20" customHeight="1" x14ac:dyDescent="0.15">
      <c r="A2003" s="86"/>
      <c r="B2003" s="87" t="s">
        <v>1363</v>
      </c>
      <c r="C2003" s="87" t="s">
        <v>1364</v>
      </c>
      <c r="D2003" s="87" t="s">
        <v>1365</v>
      </c>
      <c r="E2003" s="82"/>
    </row>
    <row r="2004" spans="1:5" ht="20" customHeight="1" x14ac:dyDescent="0.15">
      <c r="A2004" s="86" t="s">
        <v>78</v>
      </c>
      <c r="B2004" s="87" t="s">
        <v>1366</v>
      </c>
      <c r="C2004" s="87" t="s">
        <v>1367</v>
      </c>
      <c r="D2004" s="87" t="s">
        <v>1368</v>
      </c>
      <c r="E2004" s="82"/>
    </row>
    <row r="2005" spans="1:5" ht="20" customHeight="1" x14ac:dyDescent="0.15">
      <c r="A2005" s="86" t="s">
        <v>213</v>
      </c>
      <c r="B2005" s="87" t="s">
        <v>385</v>
      </c>
      <c r="C2005" s="87" t="s">
        <v>386</v>
      </c>
      <c r="D2005" s="87" t="s">
        <v>387</v>
      </c>
      <c r="E2005" s="82"/>
    </row>
    <row r="2006" spans="1:5" ht="20" customHeight="1" x14ac:dyDescent="0.15">
      <c r="A2006" s="86" t="s">
        <v>213</v>
      </c>
      <c r="B2006" s="87" t="s">
        <v>388</v>
      </c>
      <c r="C2006" s="87" t="s">
        <v>389</v>
      </c>
      <c r="D2006" s="87" t="s">
        <v>390</v>
      </c>
      <c r="E2006" s="82"/>
    </row>
    <row r="2007" spans="1:5" ht="20" customHeight="1" x14ac:dyDescent="0.15">
      <c r="A2007" s="86" t="s">
        <v>471</v>
      </c>
      <c r="B2007" s="87" t="s">
        <v>659</v>
      </c>
      <c r="C2007" s="87" t="s">
        <v>660</v>
      </c>
      <c r="D2007" s="87" t="s">
        <v>661</v>
      </c>
      <c r="E2007" s="82"/>
    </row>
    <row r="2008" spans="1:5" ht="20" customHeight="1" x14ac:dyDescent="0.15">
      <c r="A2008" s="86" t="s">
        <v>78</v>
      </c>
      <c r="B2008" s="87" t="s">
        <v>1369</v>
      </c>
      <c r="C2008" s="87" t="s">
        <v>1370</v>
      </c>
      <c r="D2008" s="87" t="s">
        <v>1371</v>
      </c>
      <c r="E2008" s="82"/>
    </row>
    <row r="2009" spans="1:5" ht="20" customHeight="1" x14ac:dyDescent="0.15">
      <c r="A2009" s="86"/>
      <c r="B2009" s="87" t="s">
        <v>1372</v>
      </c>
      <c r="C2009" s="87" t="s">
        <v>1373</v>
      </c>
      <c r="D2009" s="87" t="s">
        <v>1374</v>
      </c>
      <c r="E2009" s="82"/>
    </row>
    <row r="2010" spans="1:5" ht="20" customHeight="1" x14ac:dyDescent="0.15">
      <c r="A2010" s="86" t="s">
        <v>78</v>
      </c>
      <c r="B2010" s="87" t="s">
        <v>1375</v>
      </c>
      <c r="C2010" s="87" t="s">
        <v>1376</v>
      </c>
      <c r="D2010" s="87" t="s">
        <v>1377</v>
      </c>
      <c r="E2010" s="82"/>
    </row>
    <row r="2011" spans="1:5" ht="20" customHeight="1" x14ac:dyDescent="0.15">
      <c r="A2011" s="86" t="s">
        <v>471</v>
      </c>
      <c r="B2011" s="87" t="s">
        <v>662</v>
      </c>
      <c r="C2011" s="87" t="s">
        <v>663</v>
      </c>
      <c r="D2011" s="87" t="s">
        <v>664</v>
      </c>
      <c r="E2011" s="82"/>
    </row>
    <row r="2012" spans="1:5" ht="20" customHeight="1" x14ac:dyDescent="0.15">
      <c r="A2012" s="86" t="s">
        <v>213</v>
      </c>
      <c r="B2012" s="87" t="s">
        <v>391</v>
      </c>
      <c r="C2012" s="87" t="s">
        <v>392</v>
      </c>
      <c r="D2012" s="87" t="s">
        <v>393</v>
      </c>
      <c r="E2012" s="82"/>
    </row>
    <row r="2013" spans="1:5" ht="20" customHeight="1" x14ac:dyDescent="0.15">
      <c r="A2013" s="86" t="s">
        <v>213</v>
      </c>
      <c r="B2013" s="87" t="s">
        <v>394</v>
      </c>
      <c r="C2013" s="87" t="s">
        <v>395</v>
      </c>
      <c r="D2013" s="87" t="s">
        <v>396</v>
      </c>
      <c r="E2013" s="82"/>
    </row>
    <row r="2014" spans="1:5" ht="20" customHeight="1" x14ac:dyDescent="0.15">
      <c r="A2014" s="84" t="s">
        <v>862</v>
      </c>
      <c r="B2014" s="87" t="s">
        <v>1004</v>
      </c>
      <c r="C2014" s="87" t="s">
        <v>1005</v>
      </c>
      <c r="D2014" s="87" t="s">
        <v>1584</v>
      </c>
      <c r="E2014" s="82"/>
    </row>
    <row r="2015" spans="1:5" ht="20" customHeight="1" x14ac:dyDescent="0.15">
      <c r="A2015" s="84" t="s">
        <v>862</v>
      </c>
      <c r="B2015" s="87" t="s">
        <v>1006</v>
      </c>
      <c r="C2015" s="87" t="s">
        <v>1007</v>
      </c>
      <c r="D2015" s="87" t="s">
        <v>1008</v>
      </c>
      <c r="E2015" s="82"/>
    </row>
    <row r="2016" spans="1:5" ht="20" customHeight="1" x14ac:dyDescent="0.15">
      <c r="A2016" s="86" t="s">
        <v>213</v>
      </c>
      <c r="B2016" s="87" t="s">
        <v>397</v>
      </c>
      <c r="C2016" s="87" t="s">
        <v>398</v>
      </c>
      <c r="D2016" s="87" t="s">
        <v>399</v>
      </c>
      <c r="E2016" s="82"/>
    </row>
    <row r="2017" spans="1:5" ht="20" customHeight="1" x14ac:dyDescent="0.15">
      <c r="A2017" s="86" t="s">
        <v>471</v>
      </c>
      <c r="B2017" s="87" t="s">
        <v>665</v>
      </c>
      <c r="C2017" s="87" t="s">
        <v>666</v>
      </c>
      <c r="D2017" s="87" t="s">
        <v>667</v>
      </c>
      <c r="E2017" s="82"/>
    </row>
    <row r="2018" spans="1:5" ht="20" customHeight="1" x14ac:dyDescent="0.15">
      <c r="A2018" s="86" t="s">
        <v>213</v>
      </c>
      <c r="B2018" s="87" t="s">
        <v>400</v>
      </c>
      <c r="C2018" s="87" t="s">
        <v>401</v>
      </c>
      <c r="D2018" s="87" t="s">
        <v>402</v>
      </c>
      <c r="E2018" s="82"/>
    </row>
    <row r="2019" spans="1:5" ht="20" customHeight="1" x14ac:dyDescent="0.15">
      <c r="A2019" s="86" t="s">
        <v>471</v>
      </c>
      <c r="B2019" s="87" t="s">
        <v>668</v>
      </c>
      <c r="C2019" s="87" t="s">
        <v>669</v>
      </c>
      <c r="D2019" s="87" t="s">
        <v>670</v>
      </c>
      <c r="E2019" s="82"/>
    </row>
    <row r="2020" spans="1:5" ht="20" customHeight="1" x14ac:dyDescent="0.15">
      <c r="A2020" s="86" t="s">
        <v>78</v>
      </c>
      <c r="B2020" s="87" t="s">
        <v>1378</v>
      </c>
      <c r="C2020" s="87" t="s">
        <v>1379</v>
      </c>
      <c r="D2020" s="87" t="s">
        <v>1380</v>
      </c>
      <c r="E2020" s="82"/>
    </row>
    <row r="2021" spans="1:5" ht="20" customHeight="1" x14ac:dyDescent="0.15">
      <c r="A2021" s="86" t="s">
        <v>213</v>
      </c>
      <c r="B2021" s="87" t="s">
        <v>403</v>
      </c>
      <c r="C2021" s="87" t="s">
        <v>404</v>
      </c>
      <c r="D2021" s="87" t="s">
        <v>405</v>
      </c>
      <c r="E2021" s="82"/>
    </row>
    <row r="2022" spans="1:5" ht="20" customHeight="1" x14ac:dyDescent="0.15">
      <c r="A2022" s="86" t="s">
        <v>78</v>
      </c>
      <c r="B2022" s="87" t="s">
        <v>1381</v>
      </c>
      <c r="C2022" s="87" t="s">
        <v>1382</v>
      </c>
      <c r="D2022" s="87" t="s">
        <v>1383</v>
      </c>
      <c r="E2022" s="82"/>
    </row>
    <row r="2023" spans="1:5" ht="20" customHeight="1" x14ac:dyDescent="0.15">
      <c r="A2023" s="86" t="s">
        <v>78</v>
      </c>
      <c r="B2023" s="87" t="s">
        <v>1583</v>
      </c>
      <c r="C2023" s="87" t="s">
        <v>1384</v>
      </c>
      <c r="D2023" s="87" t="s">
        <v>1582</v>
      </c>
      <c r="E2023" s="82"/>
    </row>
    <row r="2024" spans="1:5" ht="20" customHeight="1" x14ac:dyDescent="0.15">
      <c r="A2024" s="86"/>
      <c r="B2024" s="87" t="s">
        <v>1385</v>
      </c>
      <c r="C2024" s="87" t="s">
        <v>1386</v>
      </c>
      <c r="D2024" s="87" t="s">
        <v>1387</v>
      </c>
      <c r="E2024" s="82"/>
    </row>
    <row r="2025" spans="1:5" ht="20" customHeight="1" x14ac:dyDescent="0.15">
      <c r="A2025" s="86" t="s">
        <v>213</v>
      </c>
      <c r="B2025" s="87" t="s">
        <v>406</v>
      </c>
      <c r="C2025" s="87" t="s">
        <v>407</v>
      </c>
      <c r="D2025" s="87" t="s">
        <v>408</v>
      </c>
      <c r="E2025" s="82"/>
    </row>
    <row r="2026" spans="1:5" ht="20" customHeight="1" x14ac:dyDescent="0.15">
      <c r="A2026" s="86" t="s">
        <v>78</v>
      </c>
      <c r="B2026" s="87" t="s">
        <v>1388</v>
      </c>
      <c r="C2026" s="87" t="s">
        <v>1389</v>
      </c>
      <c r="D2026" s="87" t="s">
        <v>1390</v>
      </c>
      <c r="E2026" s="82"/>
    </row>
    <row r="2027" spans="1:5" ht="20" customHeight="1" x14ac:dyDescent="0.15">
      <c r="A2027" s="86" t="s">
        <v>213</v>
      </c>
      <c r="B2027" s="87" t="s">
        <v>409</v>
      </c>
      <c r="C2027" s="87" t="s">
        <v>410</v>
      </c>
      <c r="D2027" s="87" t="s">
        <v>411</v>
      </c>
      <c r="E2027" s="82"/>
    </row>
    <row r="2028" spans="1:5" ht="20" customHeight="1" x14ac:dyDescent="0.15">
      <c r="A2028" s="86" t="s">
        <v>213</v>
      </c>
      <c r="B2028" s="87" t="s">
        <v>412</v>
      </c>
      <c r="C2028" s="87" t="s">
        <v>413</v>
      </c>
      <c r="D2028" s="87" t="s">
        <v>414</v>
      </c>
      <c r="E2028" s="82"/>
    </row>
    <row r="2029" spans="1:5" ht="20" customHeight="1" x14ac:dyDescent="0.15">
      <c r="A2029" s="86" t="s">
        <v>78</v>
      </c>
      <c r="B2029" s="87" t="s">
        <v>1391</v>
      </c>
      <c r="C2029" s="87" t="s">
        <v>1392</v>
      </c>
      <c r="D2029" s="87" t="s">
        <v>1393</v>
      </c>
      <c r="E2029" s="82"/>
    </row>
    <row r="2030" spans="1:5" ht="20" customHeight="1" x14ac:dyDescent="0.15">
      <c r="A2030" s="86" t="s">
        <v>471</v>
      </c>
      <c r="B2030" s="87" t="s">
        <v>671</v>
      </c>
      <c r="C2030" s="87" t="s">
        <v>672</v>
      </c>
      <c r="D2030" s="87" t="s">
        <v>673</v>
      </c>
      <c r="E2030" s="82"/>
    </row>
    <row r="2031" spans="1:5" ht="20" customHeight="1" x14ac:dyDescent="0.15">
      <c r="A2031" s="84" t="s">
        <v>862</v>
      </c>
      <c r="B2031" s="87" t="s">
        <v>1009</v>
      </c>
      <c r="C2031" s="87" t="s">
        <v>1010</v>
      </c>
      <c r="D2031" s="87" t="s">
        <v>1011</v>
      </c>
      <c r="E2031" s="82"/>
    </row>
    <row r="2032" spans="1:5" ht="20" customHeight="1" x14ac:dyDescent="0.15">
      <c r="A2032" s="84" t="s">
        <v>471</v>
      </c>
      <c r="B2032" s="87" t="s">
        <v>674</v>
      </c>
      <c r="C2032" s="87" t="s">
        <v>675</v>
      </c>
      <c r="D2032" s="87" t="s">
        <v>676</v>
      </c>
      <c r="E2032" s="82"/>
    </row>
    <row r="2033" spans="1:5" ht="20" customHeight="1" x14ac:dyDescent="0.15">
      <c r="A2033" s="84" t="s">
        <v>862</v>
      </c>
      <c r="B2033" s="87" t="s">
        <v>1012</v>
      </c>
      <c r="C2033" s="87" t="s">
        <v>1013</v>
      </c>
      <c r="D2033" s="87" t="s">
        <v>1014</v>
      </c>
      <c r="E2033" s="82"/>
    </row>
    <row r="2034" spans="1:5" ht="20" customHeight="1" x14ac:dyDescent="0.15">
      <c r="A2034" s="84" t="s">
        <v>862</v>
      </c>
      <c r="B2034" s="87" t="s">
        <v>1015</v>
      </c>
      <c r="C2034" s="87">
        <v>0</v>
      </c>
      <c r="D2034" s="87" t="s">
        <v>1016</v>
      </c>
      <c r="E2034" s="82"/>
    </row>
    <row r="2035" spans="1:5" ht="20" customHeight="1" x14ac:dyDescent="0.15">
      <c r="A2035" s="84" t="s">
        <v>728</v>
      </c>
      <c r="B2035" s="87" t="s">
        <v>829</v>
      </c>
      <c r="C2035" s="87" t="s">
        <v>830</v>
      </c>
      <c r="D2035" s="87" t="s">
        <v>831</v>
      </c>
      <c r="E2035" s="82"/>
    </row>
    <row r="2036" spans="1:5" ht="20" customHeight="1" x14ac:dyDescent="0.15">
      <c r="A2036" s="86" t="s">
        <v>471</v>
      </c>
      <c r="B2036" s="87" t="s">
        <v>677</v>
      </c>
      <c r="C2036" s="87" t="s">
        <v>678</v>
      </c>
      <c r="D2036" s="87" t="s">
        <v>679</v>
      </c>
      <c r="E2036" s="82"/>
    </row>
    <row r="2037" spans="1:5" ht="20" customHeight="1" x14ac:dyDescent="0.15">
      <c r="A2037" s="84" t="s">
        <v>213</v>
      </c>
      <c r="B2037" s="87" t="s">
        <v>415</v>
      </c>
      <c r="C2037" s="87" t="s">
        <v>416</v>
      </c>
      <c r="D2037" s="87" t="s">
        <v>415</v>
      </c>
      <c r="E2037" s="82"/>
    </row>
    <row r="2038" spans="1:5" ht="20" customHeight="1" x14ac:dyDescent="0.15">
      <c r="A2038" s="86"/>
      <c r="B2038" s="87" t="s">
        <v>1396</v>
      </c>
      <c r="C2038" s="87" t="s">
        <v>1397</v>
      </c>
      <c r="D2038" s="87" t="s">
        <v>1396</v>
      </c>
      <c r="E2038" s="82"/>
    </row>
    <row r="2039" spans="1:5" ht="20" customHeight="1" x14ac:dyDescent="0.15">
      <c r="A2039" s="84"/>
      <c r="B2039" s="87" t="s">
        <v>1398</v>
      </c>
      <c r="C2039" s="87" t="s">
        <v>1399</v>
      </c>
      <c r="D2039" s="87" t="s">
        <v>1398</v>
      </c>
      <c r="E2039" s="82"/>
    </row>
    <row r="2040" spans="1:5" ht="20" customHeight="1" x14ac:dyDescent="0.15">
      <c r="A2040" s="84" t="s">
        <v>862</v>
      </c>
      <c r="B2040" s="87" t="s">
        <v>1017</v>
      </c>
      <c r="C2040" s="87" t="s">
        <v>1018</v>
      </c>
      <c r="D2040" s="87" t="s">
        <v>2182</v>
      </c>
      <c r="E2040" s="82"/>
    </row>
    <row r="2041" spans="1:5" ht="20" customHeight="1" x14ac:dyDescent="0.15">
      <c r="A2041" s="89" t="s">
        <v>471</v>
      </c>
      <c r="B2041" s="87" t="s">
        <v>680</v>
      </c>
      <c r="C2041" s="87" t="s">
        <v>681</v>
      </c>
      <c r="D2041" s="87" t="s">
        <v>682</v>
      </c>
      <c r="E2041" s="82"/>
    </row>
    <row r="2042" spans="1:5" ht="20" customHeight="1" x14ac:dyDescent="0.15">
      <c r="A2042" s="86"/>
      <c r="B2042" s="87" t="s">
        <v>1400</v>
      </c>
      <c r="C2042" s="87" t="s">
        <v>1401</v>
      </c>
      <c r="D2042" s="87" t="s">
        <v>2183</v>
      </c>
      <c r="E2042" s="82"/>
    </row>
    <row r="2043" spans="1:5" ht="20" customHeight="1" x14ac:dyDescent="0.15">
      <c r="A2043" s="84" t="s">
        <v>213</v>
      </c>
      <c r="B2043" s="87" t="s">
        <v>417</v>
      </c>
      <c r="C2043" s="87" t="s">
        <v>418</v>
      </c>
      <c r="D2043" s="87" t="s">
        <v>2184</v>
      </c>
      <c r="E2043" s="82"/>
    </row>
    <row r="2044" spans="1:5" ht="20" customHeight="1" x14ac:dyDescent="0.15">
      <c r="A2044" s="84" t="s">
        <v>213</v>
      </c>
      <c r="B2044" s="87" t="s">
        <v>420</v>
      </c>
      <c r="C2044" s="87" t="s">
        <v>421</v>
      </c>
      <c r="D2044" s="87" t="s">
        <v>2185</v>
      </c>
      <c r="E2044" s="82"/>
    </row>
    <row r="2045" spans="1:5" ht="20" customHeight="1" x14ac:dyDescent="0.15">
      <c r="A2045" s="84" t="s">
        <v>862</v>
      </c>
      <c r="B2045" s="87" t="s">
        <v>1019</v>
      </c>
      <c r="C2045" s="87" t="s">
        <v>1020</v>
      </c>
      <c r="D2045" s="87" t="s">
        <v>2186</v>
      </c>
      <c r="E2045" s="82"/>
    </row>
    <row r="2046" spans="1:5" ht="20" customHeight="1" x14ac:dyDescent="0.15">
      <c r="A2046" s="86" t="s">
        <v>213</v>
      </c>
      <c r="B2046" s="87" t="s">
        <v>423</v>
      </c>
      <c r="C2046" s="87" t="s">
        <v>424</v>
      </c>
      <c r="D2046" s="87" t="s">
        <v>425</v>
      </c>
      <c r="E2046" s="82"/>
    </row>
    <row r="2047" spans="1:5" ht="20" customHeight="1" x14ac:dyDescent="0.15">
      <c r="A2047" s="86" t="s">
        <v>213</v>
      </c>
      <c r="B2047" s="87" t="s">
        <v>426</v>
      </c>
      <c r="C2047" s="87" t="s">
        <v>427</v>
      </c>
      <c r="D2047" s="87" t="s">
        <v>428</v>
      </c>
      <c r="E2047" s="82"/>
    </row>
    <row r="2048" spans="1:5" ht="20" customHeight="1" x14ac:dyDescent="0.15">
      <c r="A2048" s="84" t="s">
        <v>213</v>
      </c>
      <c r="B2048" s="87" t="s">
        <v>429</v>
      </c>
      <c r="C2048" s="87" t="s">
        <v>430</v>
      </c>
      <c r="D2048" s="87" t="s">
        <v>431</v>
      </c>
      <c r="E2048" s="82"/>
    </row>
    <row r="2049" spans="1:5" ht="20" customHeight="1" x14ac:dyDescent="0.15">
      <c r="A2049" s="84" t="s">
        <v>213</v>
      </c>
      <c r="B2049" s="87" t="s">
        <v>432</v>
      </c>
      <c r="C2049" s="87" t="s">
        <v>433</v>
      </c>
      <c r="D2049" s="87" t="s">
        <v>434</v>
      </c>
      <c r="E2049" s="82"/>
    </row>
    <row r="2050" spans="1:5" ht="20" customHeight="1" x14ac:dyDescent="0.15">
      <c r="A2050" s="84" t="s">
        <v>213</v>
      </c>
      <c r="B2050" s="87" t="s">
        <v>435</v>
      </c>
      <c r="C2050" s="87" t="s">
        <v>436</v>
      </c>
      <c r="D2050" s="87" t="s">
        <v>437</v>
      </c>
      <c r="E2050" s="82"/>
    </row>
    <row r="2051" spans="1:5" ht="20" customHeight="1" x14ac:dyDescent="0.15">
      <c r="A2051" s="84" t="s">
        <v>862</v>
      </c>
      <c r="B2051" s="87" t="s">
        <v>1022</v>
      </c>
      <c r="C2051" s="87" t="s">
        <v>1023</v>
      </c>
      <c r="D2051" s="87" t="s">
        <v>1024</v>
      </c>
      <c r="E2051" s="82"/>
    </row>
    <row r="2052" spans="1:5" ht="20" customHeight="1" x14ac:dyDescent="0.15">
      <c r="A2052" s="86" t="s">
        <v>471</v>
      </c>
      <c r="B2052" s="87" t="s">
        <v>683</v>
      </c>
      <c r="C2052" s="87" t="s">
        <v>684</v>
      </c>
      <c r="D2052" s="87" t="s">
        <v>685</v>
      </c>
      <c r="E2052" s="82"/>
    </row>
    <row r="2053" spans="1:5" ht="20" customHeight="1" x14ac:dyDescent="0.15">
      <c r="A2053" s="84" t="s">
        <v>471</v>
      </c>
      <c r="B2053" s="87" t="s">
        <v>686</v>
      </c>
      <c r="C2053" s="87" t="s">
        <v>687</v>
      </c>
      <c r="D2053" s="87" t="s">
        <v>688</v>
      </c>
      <c r="E2053" s="82"/>
    </row>
    <row r="2054" spans="1:5" ht="20" customHeight="1" x14ac:dyDescent="0.15">
      <c r="A2054" s="84" t="s">
        <v>862</v>
      </c>
      <c r="B2054" s="87" t="s">
        <v>1025</v>
      </c>
      <c r="C2054" s="87" t="s">
        <v>1026</v>
      </c>
      <c r="D2054" s="87" t="s">
        <v>1027</v>
      </c>
      <c r="E2054" s="82"/>
    </row>
    <row r="2055" spans="1:5" ht="20" customHeight="1" x14ac:dyDescent="0.15">
      <c r="A2055" s="84" t="s">
        <v>471</v>
      </c>
      <c r="B2055" s="87" t="s">
        <v>689</v>
      </c>
      <c r="C2055" s="87" t="s">
        <v>690</v>
      </c>
      <c r="D2055" s="87" t="s">
        <v>691</v>
      </c>
      <c r="E2055" s="82"/>
    </row>
    <row r="2056" spans="1:5" ht="20" customHeight="1" x14ac:dyDescent="0.15">
      <c r="A2056" s="90" t="s">
        <v>213</v>
      </c>
      <c r="B2056" s="87" t="s">
        <v>438</v>
      </c>
      <c r="C2056" s="87" t="s">
        <v>439</v>
      </c>
      <c r="D2056" s="87" t="s">
        <v>440</v>
      </c>
      <c r="E2056" s="82"/>
    </row>
    <row r="2057" spans="1:5" ht="20" customHeight="1" x14ac:dyDescent="0.15">
      <c r="A2057" s="84" t="s">
        <v>862</v>
      </c>
      <c r="B2057" s="87" t="s">
        <v>1028</v>
      </c>
      <c r="C2057" s="87" t="s">
        <v>1029</v>
      </c>
      <c r="D2057" s="87" t="s">
        <v>1030</v>
      </c>
      <c r="E2057" s="82"/>
    </row>
    <row r="2058" spans="1:5" ht="20" customHeight="1" x14ac:dyDescent="0.15">
      <c r="A2058" s="84" t="s">
        <v>213</v>
      </c>
      <c r="B2058" s="87" t="s">
        <v>441</v>
      </c>
      <c r="C2058" s="87" t="s">
        <v>442</v>
      </c>
      <c r="D2058" s="87" t="s">
        <v>443</v>
      </c>
      <c r="E2058" s="82"/>
    </row>
    <row r="2059" spans="1:5" ht="20" customHeight="1" x14ac:dyDescent="0.15">
      <c r="A2059" s="84" t="s">
        <v>213</v>
      </c>
      <c r="B2059" s="87" t="s">
        <v>444</v>
      </c>
      <c r="C2059" s="87" t="s">
        <v>445</v>
      </c>
      <c r="D2059" s="87" t="s">
        <v>446</v>
      </c>
      <c r="E2059" s="82"/>
    </row>
    <row r="2060" spans="1:5" ht="20" customHeight="1" x14ac:dyDescent="0.15">
      <c r="A2060" s="84" t="s">
        <v>213</v>
      </c>
      <c r="B2060" s="87" t="s">
        <v>447</v>
      </c>
      <c r="C2060" s="87" t="s">
        <v>448</v>
      </c>
      <c r="D2060" s="87" t="s">
        <v>449</v>
      </c>
      <c r="E2060" s="82"/>
    </row>
    <row r="2061" spans="1:5" ht="20" customHeight="1" x14ac:dyDescent="0.15">
      <c r="A2061" s="84" t="s">
        <v>862</v>
      </c>
      <c r="B2061" s="87" t="s">
        <v>5752</v>
      </c>
      <c r="C2061" s="87" t="s">
        <v>5753</v>
      </c>
      <c r="D2061" s="87" t="s">
        <v>5754</v>
      </c>
      <c r="E2061" s="82"/>
    </row>
    <row r="2062" spans="1:5" ht="20" customHeight="1" x14ac:dyDescent="0.15">
      <c r="A2062" s="84" t="s">
        <v>213</v>
      </c>
      <c r="B2062" s="87" t="s">
        <v>450</v>
      </c>
      <c r="C2062" s="87" t="s">
        <v>451</v>
      </c>
      <c r="D2062" s="87" t="s">
        <v>452</v>
      </c>
      <c r="E2062" s="82"/>
    </row>
    <row r="2063" spans="1:5" ht="20" customHeight="1" x14ac:dyDescent="0.15">
      <c r="A2063" s="84" t="s">
        <v>862</v>
      </c>
      <c r="B2063" s="87" t="s">
        <v>1031</v>
      </c>
      <c r="C2063" s="87" t="s">
        <v>1032</v>
      </c>
      <c r="D2063" s="87" t="s">
        <v>1033</v>
      </c>
      <c r="E2063" s="82"/>
    </row>
    <row r="2064" spans="1:5" ht="20" customHeight="1" x14ac:dyDescent="0.15">
      <c r="A2064" s="86" t="s">
        <v>471</v>
      </c>
      <c r="B2064" s="87" t="s">
        <v>692</v>
      </c>
      <c r="C2064" s="87" t="s">
        <v>693</v>
      </c>
      <c r="D2064" s="87" t="s">
        <v>694</v>
      </c>
      <c r="E2064" s="82"/>
    </row>
    <row r="2065" spans="1:5" ht="20" customHeight="1" x14ac:dyDescent="0.15">
      <c r="A2065" s="86" t="s">
        <v>471</v>
      </c>
      <c r="B2065" s="87" t="s">
        <v>695</v>
      </c>
      <c r="C2065" s="87" t="s">
        <v>696</v>
      </c>
      <c r="D2065" s="87" t="s">
        <v>697</v>
      </c>
      <c r="E2065" s="82"/>
    </row>
    <row r="2066" spans="1:5" ht="20" customHeight="1" x14ac:dyDescent="0.15">
      <c r="A2066" s="86" t="s">
        <v>471</v>
      </c>
      <c r="B2066" s="87" t="s">
        <v>698</v>
      </c>
      <c r="C2066" s="87" t="s">
        <v>699</v>
      </c>
      <c r="D2066" s="87" t="s">
        <v>700</v>
      </c>
      <c r="E2066" s="82"/>
    </row>
    <row r="2067" spans="1:5" ht="20" customHeight="1" x14ac:dyDescent="0.15">
      <c r="A2067" s="84" t="s">
        <v>862</v>
      </c>
      <c r="B2067" s="87" t="s">
        <v>1034</v>
      </c>
      <c r="C2067" s="87" t="s">
        <v>1035</v>
      </c>
      <c r="D2067" s="87" t="s">
        <v>1036</v>
      </c>
      <c r="E2067" s="82"/>
    </row>
    <row r="2068" spans="1:5" ht="20" customHeight="1" x14ac:dyDescent="0.15">
      <c r="A2068" s="86" t="s">
        <v>471</v>
      </c>
      <c r="B2068" s="87" t="s">
        <v>701</v>
      </c>
      <c r="C2068" s="87" t="s">
        <v>702</v>
      </c>
      <c r="D2068" s="87" t="s">
        <v>703</v>
      </c>
      <c r="E2068" s="82"/>
    </row>
    <row r="2069" spans="1:5" ht="20" customHeight="1" x14ac:dyDescent="0.15">
      <c r="A2069" s="84" t="s">
        <v>471</v>
      </c>
      <c r="B2069" s="87" t="s">
        <v>704</v>
      </c>
      <c r="C2069" s="87" t="s">
        <v>705</v>
      </c>
      <c r="D2069" s="87" t="s">
        <v>706</v>
      </c>
      <c r="E2069" s="82"/>
    </row>
    <row r="2070" spans="1:5" ht="20" customHeight="1" x14ac:dyDescent="0.15">
      <c r="A2070" s="84" t="s">
        <v>213</v>
      </c>
      <c r="B2070" s="87" t="s">
        <v>453</v>
      </c>
      <c r="C2070" s="87" t="s">
        <v>454</v>
      </c>
      <c r="D2070" s="87" t="s">
        <v>455</v>
      </c>
      <c r="E2070" s="82"/>
    </row>
    <row r="2071" spans="1:5" ht="20" customHeight="1" x14ac:dyDescent="0.15">
      <c r="A2071" s="84" t="s">
        <v>471</v>
      </c>
      <c r="B2071" s="87" t="s">
        <v>707</v>
      </c>
      <c r="C2071" s="87" t="s">
        <v>708</v>
      </c>
      <c r="D2071" s="87" t="s">
        <v>709</v>
      </c>
      <c r="E2071" s="82"/>
    </row>
    <row r="2072" spans="1:5" ht="20" customHeight="1" x14ac:dyDescent="0.15">
      <c r="A2072" s="84" t="s">
        <v>728</v>
      </c>
      <c r="B2072" s="87" t="s">
        <v>832</v>
      </c>
      <c r="C2072" s="87" t="s">
        <v>833</v>
      </c>
      <c r="D2072" s="87" t="s">
        <v>834</v>
      </c>
      <c r="E2072" s="82"/>
    </row>
    <row r="2073" spans="1:5" ht="20" customHeight="1" x14ac:dyDescent="0.15">
      <c r="A2073" s="84" t="s">
        <v>862</v>
      </c>
      <c r="B2073" s="87" t="s">
        <v>1037</v>
      </c>
      <c r="C2073" s="87" t="s">
        <v>1038</v>
      </c>
      <c r="D2073" s="87" t="s">
        <v>1039</v>
      </c>
      <c r="E2073" s="82"/>
    </row>
    <row r="2074" spans="1:5" ht="20" customHeight="1" x14ac:dyDescent="0.15">
      <c r="A2074" s="84" t="s">
        <v>862</v>
      </c>
      <c r="B2074" s="87" t="s">
        <v>1040</v>
      </c>
      <c r="C2074" s="87" t="s">
        <v>1041</v>
      </c>
      <c r="D2074" s="87" t="s">
        <v>1042</v>
      </c>
      <c r="E2074" s="82"/>
    </row>
    <row r="2075" spans="1:5" ht="20" customHeight="1" x14ac:dyDescent="0.15">
      <c r="A2075" s="84" t="s">
        <v>862</v>
      </c>
      <c r="B2075" s="87" t="s">
        <v>1043</v>
      </c>
      <c r="C2075" s="87" t="s">
        <v>1044</v>
      </c>
      <c r="D2075" s="87" t="s">
        <v>1045</v>
      </c>
      <c r="E2075" s="82"/>
    </row>
    <row r="2076" spans="1:5" ht="20" customHeight="1" x14ac:dyDescent="0.15">
      <c r="A2076" s="84" t="s">
        <v>728</v>
      </c>
      <c r="B2076" s="87" t="s">
        <v>835</v>
      </c>
      <c r="C2076" s="87" t="s">
        <v>836</v>
      </c>
      <c r="D2076" s="87" t="s">
        <v>837</v>
      </c>
      <c r="E2076" s="82"/>
    </row>
    <row r="2077" spans="1:5" ht="20" customHeight="1" x14ac:dyDescent="0.15">
      <c r="A2077" s="84" t="s">
        <v>728</v>
      </c>
      <c r="B2077" s="87" t="s">
        <v>838</v>
      </c>
      <c r="C2077" s="87" t="s">
        <v>839</v>
      </c>
      <c r="D2077" s="87" t="s">
        <v>840</v>
      </c>
      <c r="E2077" s="82"/>
    </row>
    <row r="2078" spans="1:5" ht="20" customHeight="1" x14ac:dyDescent="0.15">
      <c r="A2078" s="84" t="s">
        <v>728</v>
      </c>
      <c r="B2078" s="87" t="s">
        <v>841</v>
      </c>
      <c r="C2078" s="87" t="s">
        <v>842</v>
      </c>
      <c r="D2078" s="87" t="s">
        <v>843</v>
      </c>
      <c r="E2078" s="82"/>
    </row>
    <row r="2079" spans="1:5" ht="20" customHeight="1" x14ac:dyDescent="0.15">
      <c r="A2079" s="84" t="s">
        <v>728</v>
      </c>
      <c r="B2079" s="87" t="s">
        <v>844</v>
      </c>
      <c r="C2079" s="87" t="s">
        <v>845</v>
      </c>
      <c r="D2079" s="87" t="s">
        <v>846</v>
      </c>
      <c r="E2079" s="82"/>
    </row>
    <row r="2080" spans="1:5" ht="20" customHeight="1" x14ac:dyDescent="0.15">
      <c r="A2080" s="84" t="s">
        <v>728</v>
      </c>
      <c r="B2080" s="87" t="s">
        <v>847</v>
      </c>
      <c r="C2080" s="87" t="s">
        <v>848</v>
      </c>
      <c r="D2080" s="87" t="s">
        <v>849</v>
      </c>
      <c r="E2080" s="82"/>
    </row>
    <row r="2081" spans="1:5" ht="20" customHeight="1" x14ac:dyDescent="0.15">
      <c r="A2081" s="84" t="s">
        <v>728</v>
      </c>
      <c r="B2081" s="87" t="s">
        <v>850</v>
      </c>
      <c r="C2081" s="87" t="s">
        <v>851</v>
      </c>
      <c r="D2081" s="87" t="s">
        <v>852</v>
      </c>
      <c r="E2081" s="82"/>
    </row>
    <row r="2082" spans="1:5" ht="20" customHeight="1" x14ac:dyDescent="0.15">
      <c r="A2082" s="84" t="s">
        <v>728</v>
      </c>
      <c r="B2082" s="87" t="s">
        <v>853</v>
      </c>
      <c r="C2082" s="87" t="s">
        <v>854</v>
      </c>
      <c r="D2082" s="87" t="s">
        <v>855</v>
      </c>
      <c r="E2082" s="82"/>
    </row>
    <row r="2083" spans="1:5" ht="20" customHeight="1" x14ac:dyDescent="0.15">
      <c r="A2083" s="84" t="s">
        <v>862</v>
      </c>
      <c r="B2083" s="87" t="s">
        <v>1046</v>
      </c>
      <c r="C2083" s="87" t="s">
        <v>1047</v>
      </c>
      <c r="D2083" s="87" t="s">
        <v>1048</v>
      </c>
      <c r="E2083" s="82"/>
    </row>
    <row r="2084" spans="1:5" ht="20" customHeight="1" x14ac:dyDescent="0.15">
      <c r="A2084" s="84" t="s">
        <v>728</v>
      </c>
      <c r="B2084" s="87" t="s">
        <v>856</v>
      </c>
      <c r="C2084" s="87" t="s">
        <v>857</v>
      </c>
      <c r="D2084" s="87" t="s">
        <v>858</v>
      </c>
      <c r="E2084" s="82"/>
    </row>
    <row r="2085" spans="1:5" ht="20" customHeight="1" x14ac:dyDescent="0.15">
      <c r="A2085" s="86" t="s">
        <v>213</v>
      </c>
      <c r="B2085" s="87" t="s">
        <v>456</v>
      </c>
      <c r="C2085" s="87" t="s">
        <v>457</v>
      </c>
      <c r="D2085" s="87" t="s">
        <v>458</v>
      </c>
      <c r="E2085" s="82"/>
    </row>
    <row r="2086" spans="1:5" ht="20" customHeight="1" x14ac:dyDescent="0.15">
      <c r="A2086" s="84" t="s">
        <v>471</v>
      </c>
      <c r="B2086" s="87" t="s">
        <v>710</v>
      </c>
      <c r="C2086" s="87" t="s">
        <v>711</v>
      </c>
      <c r="D2086" s="87" t="s">
        <v>712</v>
      </c>
      <c r="E2086" s="82"/>
    </row>
    <row r="2087" spans="1:5" ht="20" customHeight="1" x14ac:dyDescent="0.15">
      <c r="A2087" s="84" t="s">
        <v>213</v>
      </c>
      <c r="B2087" s="87" t="s">
        <v>459</v>
      </c>
      <c r="C2087" s="87" t="s">
        <v>460</v>
      </c>
      <c r="D2087" s="87" t="s">
        <v>461</v>
      </c>
      <c r="E2087" s="82"/>
    </row>
    <row r="2088" spans="1:5" ht="20" customHeight="1" x14ac:dyDescent="0.15">
      <c r="A2088" s="84" t="s">
        <v>213</v>
      </c>
      <c r="B2088" s="87" t="s">
        <v>462</v>
      </c>
      <c r="C2088" s="87" t="s">
        <v>463</v>
      </c>
      <c r="D2088" s="87" t="s">
        <v>464</v>
      </c>
      <c r="E2088" s="82"/>
    </row>
    <row r="2089" spans="1:5" ht="20" customHeight="1" x14ac:dyDescent="0.15">
      <c r="A2089" s="84" t="s">
        <v>213</v>
      </c>
      <c r="B2089" s="87" t="s">
        <v>465</v>
      </c>
      <c r="C2089" s="87" t="s">
        <v>466</v>
      </c>
      <c r="D2089" s="87" t="s">
        <v>467</v>
      </c>
      <c r="E2089" s="82"/>
    </row>
    <row r="2090" spans="1:5" ht="20" customHeight="1" x14ac:dyDescent="0.15">
      <c r="A2090" s="84" t="s">
        <v>213</v>
      </c>
      <c r="B2090" s="87" t="s">
        <v>468</v>
      </c>
      <c r="C2090" s="87" t="s">
        <v>469</v>
      </c>
      <c r="D2090" s="87" t="s">
        <v>470</v>
      </c>
      <c r="E2090" s="82"/>
    </row>
    <row r="2091" spans="1:5" ht="20" customHeight="1" x14ac:dyDescent="0.15">
      <c r="A2091" s="86" t="s">
        <v>471</v>
      </c>
      <c r="B2091" s="87" t="s">
        <v>713</v>
      </c>
      <c r="C2091" s="87" t="s">
        <v>714</v>
      </c>
      <c r="D2091" s="87" t="s">
        <v>715</v>
      </c>
      <c r="E2091" s="82"/>
    </row>
    <row r="2092" spans="1:5" ht="20" customHeight="1" x14ac:dyDescent="0.15">
      <c r="A2092" s="84"/>
      <c r="B2092" s="87" t="s">
        <v>1403</v>
      </c>
      <c r="C2092" s="87">
        <v>0</v>
      </c>
      <c r="D2092" s="87" t="s">
        <v>1404</v>
      </c>
      <c r="E2092" s="82"/>
    </row>
    <row r="2093" spans="1:5" ht="20" customHeight="1" x14ac:dyDescent="0.15">
      <c r="A2093" s="86" t="s">
        <v>471</v>
      </c>
      <c r="B2093" s="87" t="s">
        <v>716</v>
      </c>
      <c r="C2093" s="87" t="s">
        <v>717</v>
      </c>
      <c r="D2093" s="87" t="s">
        <v>718</v>
      </c>
      <c r="E2093" s="82"/>
    </row>
    <row r="2094" spans="1:5" ht="20" customHeight="1" x14ac:dyDescent="0.15">
      <c r="A2094" s="86" t="s">
        <v>471</v>
      </c>
      <c r="B2094" s="87" t="s">
        <v>719</v>
      </c>
      <c r="C2094" s="87" t="s">
        <v>720</v>
      </c>
      <c r="D2094" s="87" t="s">
        <v>721</v>
      </c>
      <c r="E2094" s="82"/>
    </row>
    <row r="2095" spans="1:5" ht="20" customHeight="1" x14ac:dyDescent="0.15">
      <c r="A2095" s="86" t="s">
        <v>471</v>
      </c>
      <c r="B2095" s="87" t="s">
        <v>722</v>
      </c>
      <c r="C2095" s="87" t="s">
        <v>723</v>
      </c>
      <c r="D2095" s="87" t="s">
        <v>724</v>
      </c>
      <c r="E2095" s="82"/>
    </row>
    <row r="2096" spans="1:5" ht="20" customHeight="1" x14ac:dyDescent="0.15">
      <c r="A2096" s="84" t="s">
        <v>862</v>
      </c>
      <c r="B2096" s="87" t="s">
        <v>1049</v>
      </c>
      <c r="C2096" s="87" t="s">
        <v>1050</v>
      </c>
      <c r="D2096" s="87" t="s">
        <v>1051</v>
      </c>
      <c r="E2096" s="82"/>
    </row>
    <row r="2097" spans="1:5" ht="20" customHeight="1" x14ac:dyDescent="0.15">
      <c r="A2097" s="84" t="s">
        <v>862</v>
      </c>
      <c r="B2097" s="87" t="s">
        <v>1052</v>
      </c>
      <c r="C2097" s="87" t="s">
        <v>1053</v>
      </c>
      <c r="D2097" s="87" t="s">
        <v>1054</v>
      </c>
      <c r="E2097" s="82"/>
    </row>
    <row r="2098" spans="1:5" ht="20" customHeight="1" x14ac:dyDescent="0.15">
      <c r="A2098" s="86"/>
      <c r="B2098" s="87" t="s">
        <v>1406</v>
      </c>
      <c r="C2098" s="87" t="s">
        <v>1407</v>
      </c>
      <c r="D2098" s="87" t="s">
        <v>1408</v>
      </c>
      <c r="E2098" s="82"/>
    </row>
    <row r="2099" spans="1:5" ht="20" customHeight="1" x14ac:dyDescent="0.15">
      <c r="A2099" s="84"/>
      <c r="B2099" s="87" t="s">
        <v>1409</v>
      </c>
      <c r="C2099" s="87" t="s">
        <v>1410</v>
      </c>
      <c r="D2099" s="87" t="s">
        <v>2249</v>
      </c>
      <c r="E2099" s="82"/>
    </row>
    <row r="2100" spans="1:5" ht="20" customHeight="1" x14ac:dyDescent="0.15">
      <c r="A2100" s="86" t="s">
        <v>471</v>
      </c>
      <c r="B2100" s="87" t="s">
        <v>725</v>
      </c>
      <c r="C2100" s="87" t="s">
        <v>726</v>
      </c>
      <c r="D2100" s="87" t="s">
        <v>727</v>
      </c>
      <c r="E2100" s="82"/>
    </row>
    <row r="2101" spans="1:5" ht="20" customHeight="1" x14ac:dyDescent="0.15">
      <c r="A2101" s="84" t="s">
        <v>862</v>
      </c>
      <c r="B2101" s="87" t="s">
        <v>1055</v>
      </c>
      <c r="C2101" s="87" t="s">
        <v>978</v>
      </c>
      <c r="D2101" s="87" t="s">
        <v>1055</v>
      </c>
      <c r="E2101" s="82"/>
    </row>
    <row r="2102" spans="1:5" x14ac:dyDescent="0.15">
      <c r="A2102" s="82"/>
      <c r="B2102" s="79" t="s">
        <v>1867</v>
      </c>
      <c r="C2102" s="80" t="s">
        <v>1415</v>
      </c>
      <c r="D2102" s="80"/>
      <c r="E2102" s="80"/>
    </row>
    <row r="2103" spans="1:5" x14ac:dyDescent="0.15">
      <c r="A2103" s="82"/>
      <c r="B2103" s="87" t="s">
        <v>1077</v>
      </c>
      <c r="C2103" s="87" t="s">
        <v>1078</v>
      </c>
      <c r="D2103" s="87" t="s">
        <v>1416</v>
      </c>
      <c r="E2103" s="82" t="s">
        <v>2263</v>
      </c>
    </row>
    <row r="2104" spans="1:5" x14ac:dyDescent="0.15">
      <c r="A2104" s="82"/>
      <c r="B2104" s="87" t="s">
        <v>81</v>
      </c>
      <c r="C2104" s="87" t="s">
        <v>82</v>
      </c>
      <c r="D2104" s="87" t="s">
        <v>83</v>
      </c>
      <c r="E2104" s="82" t="s">
        <v>2263</v>
      </c>
    </row>
    <row r="2105" spans="1:5" x14ac:dyDescent="0.15">
      <c r="A2105" s="82"/>
      <c r="B2105" s="87" t="s">
        <v>1118</v>
      </c>
      <c r="C2105" s="87" t="s">
        <v>1119</v>
      </c>
      <c r="D2105" s="87" t="s">
        <v>1120</v>
      </c>
      <c r="E2105" s="82" t="s">
        <v>2263</v>
      </c>
    </row>
    <row r="2106" spans="1:5" x14ac:dyDescent="0.15">
      <c r="A2106" s="82"/>
      <c r="B2106" s="87" t="s">
        <v>1128</v>
      </c>
      <c r="C2106" s="87" t="s">
        <v>1129</v>
      </c>
      <c r="D2106" s="87" t="s">
        <v>1130</v>
      </c>
      <c r="E2106" s="82" t="s">
        <v>2263</v>
      </c>
    </row>
    <row r="2107" spans="1:5" x14ac:dyDescent="0.15">
      <c r="A2107" s="82"/>
      <c r="B2107" s="87" t="s">
        <v>207</v>
      </c>
      <c r="C2107" s="87" t="s">
        <v>208</v>
      </c>
      <c r="D2107" s="87" t="s">
        <v>209</v>
      </c>
      <c r="E2107" s="82" t="s">
        <v>2264</v>
      </c>
    </row>
    <row r="2108" spans="1:5" x14ac:dyDescent="0.15">
      <c r="A2108" s="82"/>
      <c r="B2108" s="87" t="s">
        <v>1298</v>
      </c>
      <c r="C2108" s="87" t="s">
        <v>1299</v>
      </c>
      <c r="D2108" s="87" t="s">
        <v>1300</v>
      </c>
      <c r="E2108" s="82" t="s">
        <v>2263</v>
      </c>
    </row>
    <row r="2109" spans="1:5" x14ac:dyDescent="0.15">
      <c r="A2109" s="82"/>
      <c r="B2109" s="87" t="s">
        <v>201</v>
      </c>
      <c r="C2109" s="87" t="s">
        <v>202</v>
      </c>
      <c r="D2109" s="87" t="s">
        <v>203</v>
      </c>
      <c r="E2109" s="82" t="s">
        <v>2263</v>
      </c>
    </row>
    <row r="2110" spans="1:5" x14ac:dyDescent="0.15">
      <c r="A2110" s="82"/>
      <c r="B2110" s="87" t="s">
        <v>1301</v>
      </c>
      <c r="C2110" s="87" t="s">
        <v>1302</v>
      </c>
      <c r="D2110" s="87" t="s">
        <v>1303</v>
      </c>
      <c r="E2110" s="82" t="s">
        <v>2264</v>
      </c>
    </row>
    <row r="2111" spans="1:5" x14ac:dyDescent="0.15">
      <c r="A2111" s="152"/>
      <c r="B2111" s="87" t="s">
        <v>1309</v>
      </c>
      <c r="C2111" s="87">
        <v>0</v>
      </c>
      <c r="D2111" s="87" t="s">
        <v>1310</v>
      </c>
      <c r="E2111" s="82" t="s">
        <v>2263</v>
      </c>
    </row>
    <row r="2112" spans="1:5" x14ac:dyDescent="0.15">
      <c r="A2112" s="82"/>
      <c r="B2112" s="87" t="s">
        <v>1311</v>
      </c>
      <c r="C2112" s="87" t="s">
        <v>1312</v>
      </c>
      <c r="D2112" s="87" t="s">
        <v>1313</v>
      </c>
      <c r="E2112" s="82"/>
    </row>
    <row r="2113" spans="1:5" x14ac:dyDescent="0.15">
      <c r="A2113" s="82"/>
      <c r="B2113" s="87" t="s">
        <v>1314</v>
      </c>
      <c r="C2113" s="87" t="s">
        <v>1414</v>
      </c>
      <c r="D2113" s="87" t="s">
        <v>1316</v>
      </c>
      <c r="E2113" s="82" t="s">
        <v>2264</v>
      </c>
    </row>
    <row r="2114" spans="1:5" x14ac:dyDescent="0.15">
      <c r="A2114" s="82"/>
      <c r="B2114" s="87" t="s">
        <v>1317</v>
      </c>
      <c r="C2114" s="87" t="s">
        <v>1318</v>
      </c>
      <c r="D2114" s="87" t="s">
        <v>1319</v>
      </c>
      <c r="E2114" s="82" t="s">
        <v>2263</v>
      </c>
    </row>
    <row r="2115" spans="1:5" ht="20" customHeight="1" x14ac:dyDescent="0.15">
      <c r="A2115" s="82"/>
      <c r="B2115" s="87" t="s">
        <v>802</v>
      </c>
      <c r="C2115" s="87" t="s">
        <v>803</v>
      </c>
      <c r="D2115" s="87" t="s">
        <v>804</v>
      </c>
      <c r="E2115" s="82" t="s">
        <v>2267</v>
      </c>
    </row>
    <row r="2116" spans="1:5" x14ac:dyDescent="0.15">
      <c r="A2116" s="82"/>
      <c r="B2116" s="87" t="s">
        <v>140</v>
      </c>
      <c r="C2116" s="87" t="s">
        <v>141</v>
      </c>
      <c r="D2116" s="87" t="s">
        <v>142</v>
      </c>
      <c r="E2116" s="82" t="s">
        <v>2264</v>
      </c>
    </row>
    <row r="2117" spans="1:5" x14ac:dyDescent="0.15">
      <c r="A2117" s="82"/>
      <c r="B2117" s="87" t="s">
        <v>1320</v>
      </c>
      <c r="C2117" s="87" t="s">
        <v>1321</v>
      </c>
      <c r="D2117" s="87" t="s">
        <v>1322</v>
      </c>
      <c r="E2117" s="82" t="s">
        <v>2266</v>
      </c>
    </row>
    <row r="2118" spans="1:5" x14ac:dyDescent="0.15">
      <c r="A2118" s="82"/>
      <c r="B2118" s="87" t="s">
        <v>1323</v>
      </c>
      <c r="C2118" s="87" t="s">
        <v>1324</v>
      </c>
      <c r="D2118" s="87" t="s">
        <v>1325</v>
      </c>
      <c r="E2118" s="82" t="s">
        <v>2264</v>
      </c>
    </row>
    <row r="2119" spans="1:5" x14ac:dyDescent="0.15">
      <c r="A2119" s="82"/>
      <c r="B2119" s="87" t="s">
        <v>204</v>
      </c>
      <c r="C2119" s="87" t="s">
        <v>205</v>
      </c>
      <c r="D2119" s="87" t="s">
        <v>206</v>
      </c>
      <c r="E2119" s="82" t="s">
        <v>2264</v>
      </c>
    </row>
    <row r="2120" spans="1:5" x14ac:dyDescent="0.15">
      <c r="A2120" s="82"/>
      <c r="B2120" s="87" t="s">
        <v>808</v>
      </c>
      <c r="C2120" s="87" t="s">
        <v>809</v>
      </c>
      <c r="D2120" s="87" t="s">
        <v>810</v>
      </c>
      <c r="E2120" s="82" t="s">
        <v>2265</v>
      </c>
    </row>
    <row r="2121" spans="1:5" x14ac:dyDescent="0.15">
      <c r="A2121" s="82"/>
      <c r="B2121" s="87" t="s">
        <v>995</v>
      </c>
      <c r="C2121" s="87" t="s">
        <v>996</v>
      </c>
      <c r="D2121" s="87" t="s">
        <v>200</v>
      </c>
      <c r="E2121" s="82" t="s">
        <v>2265</v>
      </c>
    </row>
    <row r="2122" spans="1:5" ht="20" customHeight="1" x14ac:dyDescent="0.15">
      <c r="A2122" s="82"/>
      <c r="B2122" s="87" t="s">
        <v>198</v>
      </c>
      <c r="C2122" s="87" t="s">
        <v>199</v>
      </c>
      <c r="D2122" s="87" t="s">
        <v>200</v>
      </c>
      <c r="E2122" s="82" t="s">
        <v>2265</v>
      </c>
    </row>
    <row r="2123" spans="1:5" x14ac:dyDescent="0.15">
      <c r="A2123" s="82"/>
      <c r="B2123" s="87" t="s">
        <v>148</v>
      </c>
      <c r="C2123" s="87" t="s">
        <v>149</v>
      </c>
      <c r="D2123" s="87" t="s">
        <v>150</v>
      </c>
      <c r="E2123" s="82" t="s">
        <v>2264</v>
      </c>
    </row>
    <row r="2124" spans="1:5" ht="20" customHeight="1" x14ac:dyDescent="0.15">
      <c r="A2124" s="82"/>
      <c r="B2124" s="87" t="s">
        <v>2180</v>
      </c>
      <c r="C2124" s="87">
        <v>0</v>
      </c>
      <c r="D2124" s="87" t="s">
        <v>2180</v>
      </c>
      <c r="E2124" s="82" t="s">
        <v>2268</v>
      </c>
    </row>
    <row r="2125" spans="1:5" x14ac:dyDescent="0.15">
      <c r="A2125" s="82"/>
      <c r="B2125" s="87" t="s">
        <v>1356</v>
      </c>
      <c r="C2125" s="87" t="s">
        <v>1357</v>
      </c>
      <c r="D2125" s="87" t="s">
        <v>1417</v>
      </c>
      <c r="E2125" s="82" t="s">
        <v>2263</v>
      </c>
    </row>
    <row r="2126" spans="1:5" x14ac:dyDescent="0.15">
      <c r="A2126" s="82"/>
      <c r="B2126" s="79" t="s">
        <v>1418</v>
      </c>
      <c r="C2126" s="80" t="s">
        <v>1415</v>
      </c>
      <c r="D2126" s="80"/>
      <c r="E2126" s="80"/>
    </row>
    <row r="2127" spans="1:5" x14ac:dyDescent="0.15">
      <c r="A2127" s="82"/>
      <c r="B2127" s="87" t="s">
        <v>971</v>
      </c>
      <c r="C2127" s="87" t="s">
        <v>972</v>
      </c>
      <c r="D2127" s="87" t="s">
        <v>973</v>
      </c>
      <c r="E2127" s="82"/>
    </row>
    <row r="2128" spans="1:5" x14ac:dyDescent="0.15">
      <c r="A2128" s="82"/>
      <c r="B2128" s="87" t="s">
        <v>628</v>
      </c>
      <c r="C2128" s="87" t="s">
        <v>629</v>
      </c>
      <c r="D2128" s="87" t="s">
        <v>630</v>
      </c>
      <c r="E2128" s="82"/>
    </row>
    <row r="2129" spans="1:5" x14ac:dyDescent="0.15">
      <c r="A2129" s="82"/>
      <c r="B2129" s="87" t="s">
        <v>643</v>
      </c>
      <c r="C2129" s="87" t="s">
        <v>644</v>
      </c>
      <c r="D2129" s="87" t="s">
        <v>645</v>
      </c>
      <c r="E2129" s="82"/>
    </row>
    <row r="2130" spans="1:5" x14ac:dyDescent="0.15">
      <c r="A2130" s="82"/>
      <c r="B2130" s="87" t="s">
        <v>2768</v>
      </c>
      <c r="C2130" s="87" t="s">
        <v>153</v>
      </c>
      <c r="D2130" s="87" t="s">
        <v>154</v>
      </c>
      <c r="E2130" s="82"/>
    </row>
    <row r="2131" spans="1:5" x14ac:dyDescent="0.15">
      <c r="A2131" s="82"/>
      <c r="B2131" s="87" t="s">
        <v>1400</v>
      </c>
      <c r="C2131" s="87" t="s">
        <v>1401</v>
      </c>
      <c r="D2131" s="87" t="s">
        <v>1402</v>
      </c>
      <c r="E2131" s="82"/>
    </row>
    <row r="2132" spans="1:5" x14ac:dyDescent="0.15">
      <c r="A2132" s="82"/>
      <c r="B2132" s="87" t="s">
        <v>417</v>
      </c>
      <c r="C2132" s="87" t="s">
        <v>418</v>
      </c>
      <c r="D2132" s="87" t="s">
        <v>419</v>
      </c>
      <c r="E2132" s="82"/>
    </row>
    <row r="2133" spans="1:5" x14ac:dyDescent="0.15">
      <c r="A2133" s="82"/>
      <c r="B2133" s="87" t="s">
        <v>420</v>
      </c>
      <c r="C2133" s="87" t="s">
        <v>421</v>
      </c>
      <c r="D2133" s="87" t="s">
        <v>422</v>
      </c>
      <c r="E2133" s="82"/>
    </row>
    <row r="2134" spans="1:5" x14ac:dyDescent="0.15">
      <c r="A2134" s="82"/>
      <c r="B2134" s="87" t="s">
        <v>1019</v>
      </c>
      <c r="C2134" s="87" t="s">
        <v>1020</v>
      </c>
      <c r="D2134" s="87" t="s">
        <v>1021</v>
      </c>
      <c r="E2134" s="82"/>
    </row>
    <row r="2135" spans="1:5" x14ac:dyDescent="0.15">
      <c r="A2135" s="82"/>
      <c r="B2135" s="87" t="s">
        <v>2769</v>
      </c>
      <c r="C2135" s="87" t="s">
        <v>155</v>
      </c>
      <c r="D2135" s="87" t="s">
        <v>156</v>
      </c>
      <c r="E2135" s="82"/>
    </row>
    <row r="2136" spans="1:5" x14ac:dyDescent="0.15">
      <c r="A2136" s="82"/>
      <c r="B2136" s="87" t="s">
        <v>2770</v>
      </c>
      <c r="C2136" s="87" t="s">
        <v>157</v>
      </c>
      <c r="D2136" s="87" t="s">
        <v>158</v>
      </c>
      <c r="E2136" s="82"/>
    </row>
    <row r="2137" spans="1:5" x14ac:dyDescent="0.15">
      <c r="A2137" s="82"/>
      <c r="B2137" s="87" t="s">
        <v>423</v>
      </c>
      <c r="C2137" s="87" t="s">
        <v>424</v>
      </c>
      <c r="D2137" s="87" t="s">
        <v>425</v>
      </c>
      <c r="E2137" s="82"/>
    </row>
    <row r="2138" spans="1:5" x14ac:dyDescent="0.15">
      <c r="A2138" s="82"/>
      <c r="B2138" s="87" t="s">
        <v>426</v>
      </c>
      <c r="C2138" s="87" t="s">
        <v>427</v>
      </c>
      <c r="D2138" s="87" t="s">
        <v>428</v>
      </c>
      <c r="E2138" s="82"/>
    </row>
    <row r="2139" spans="1:5" x14ac:dyDescent="0.15">
      <c r="A2139" s="82"/>
      <c r="B2139" s="87" t="s">
        <v>429</v>
      </c>
      <c r="C2139" s="87" t="s">
        <v>430</v>
      </c>
      <c r="D2139" s="87" t="s">
        <v>431</v>
      </c>
      <c r="E2139" s="82"/>
    </row>
    <row r="2140" spans="1:5" x14ac:dyDescent="0.15">
      <c r="A2140" s="82"/>
      <c r="B2140" s="87" t="s">
        <v>432</v>
      </c>
      <c r="C2140" s="87" t="s">
        <v>433</v>
      </c>
      <c r="D2140" s="87" t="s">
        <v>434</v>
      </c>
      <c r="E2140" s="82"/>
    </row>
    <row r="2141" spans="1:5" x14ac:dyDescent="0.15">
      <c r="A2141" s="82"/>
      <c r="B2141" s="87" t="s">
        <v>435</v>
      </c>
      <c r="C2141" s="87" t="s">
        <v>436</v>
      </c>
      <c r="D2141" s="87" t="s">
        <v>437</v>
      </c>
      <c r="E2141" s="82"/>
    </row>
    <row r="2142" spans="1:5" x14ac:dyDescent="0.15">
      <c r="A2142" s="82"/>
      <c r="B2142" s="87" t="s">
        <v>1022</v>
      </c>
      <c r="C2142" s="87" t="s">
        <v>1023</v>
      </c>
      <c r="D2142" s="87" t="s">
        <v>1024</v>
      </c>
      <c r="E2142" s="82"/>
    </row>
    <row r="2143" spans="1:5" x14ac:dyDescent="0.15">
      <c r="A2143" s="82"/>
      <c r="B2143" s="87" t="s">
        <v>683</v>
      </c>
      <c r="C2143" s="87" t="s">
        <v>684</v>
      </c>
      <c r="D2143" s="87" t="s">
        <v>685</v>
      </c>
      <c r="E2143" s="82"/>
    </row>
    <row r="2144" spans="1:5" x14ac:dyDescent="0.15">
      <c r="A2144" s="82"/>
      <c r="B2144" s="87" t="s">
        <v>686</v>
      </c>
      <c r="C2144" s="87" t="s">
        <v>687</v>
      </c>
      <c r="D2144" s="87" t="s">
        <v>688</v>
      </c>
      <c r="E2144" s="82"/>
    </row>
    <row r="2145" spans="1:5" x14ac:dyDescent="0.15">
      <c r="A2145" s="82"/>
      <c r="B2145" s="87" t="s">
        <v>159</v>
      </c>
      <c r="C2145" s="87" t="s">
        <v>160</v>
      </c>
      <c r="D2145" s="87" t="s">
        <v>161</v>
      </c>
      <c r="E2145" s="82"/>
    </row>
    <row r="2146" spans="1:5" x14ac:dyDescent="0.15">
      <c r="A2146" s="82"/>
      <c r="B2146" s="87" t="s">
        <v>2678</v>
      </c>
      <c r="C2146" s="87" t="s">
        <v>162</v>
      </c>
      <c r="D2146" s="87" t="s">
        <v>163</v>
      </c>
      <c r="E2146" s="82"/>
    </row>
    <row r="2147" spans="1:5" x14ac:dyDescent="0.15">
      <c r="A2147" s="82"/>
      <c r="B2147" s="87" t="s">
        <v>1025</v>
      </c>
      <c r="C2147" s="87" t="s">
        <v>1026</v>
      </c>
      <c r="D2147" s="87" t="s">
        <v>1027</v>
      </c>
      <c r="E2147" s="82"/>
    </row>
    <row r="2148" spans="1:5" x14ac:dyDescent="0.15">
      <c r="A2148" s="82"/>
      <c r="B2148" s="87" t="s">
        <v>1419</v>
      </c>
      <c r="C2148" s="87" t="s">
        <v>690</v>
      </c>
      <c r="D2148" s="87" t="s">
        <v>691</v>
      </c>
      <c r="E2148" s="82"/>
    </row>
    <row r="2149" spans="1:5" x14ac:dyDescent="0.15">
      <c r="A2149" s="82"/>
      <c r="B2149" s="87" t="s">
        <v>438</v>
      </c>
      <c r="C2149" s="87" t="s">
        <v>439</v>
      </c>
      <c r="D2149" s="87" t="s">
        <v>440</v>
      </c>
      <c r="E2149" s="82"/>
    </row>
    <row r="2150" spans="1:5" x14ac:dyDescent="0.15">
      <c r="A2150" s="82"/>
      <c r="B2150" s="87" t="s">
        <v>1028</v>
      </c>
      <c r="C2150" s="87" t="s">
        <v>1029</v>
      </c>
      <c r="D2150" s="87" t="s">
        <v>1030</v>
      </c>
      <c r="E2150" s="82"/>
    </row>
    <row r="2151" spans="1:5" x14ac:dyDescent="0.15">
      <c r="A2151" s="82"/>
      <c r="B2151" s="87" t="s">
        <v>441</v>
      </c>
      <c r="C2151" s="87" t="s">
        <v>442</v>
      </c>
      <c r="D2151" s="87" t="s">
        <v>443</v>
      </c>
      <c r="E2151" s="82"/>
    </row>
    <row r="2152" spans="1:5" x14ac:dyDescent="0.15">
      <c r="A2152" s="82"/>
      <c r="B2152" s="87" t="s">
        <v>444</v>
      </c>
      <c r="C2152" s="87" t="s">
        <v>445</v>
      </c>
      <c r="D2152" s="87" t="s">
        <v>446</v>
      </c>
      <c r="E2152" s="82"/>
    </row>
    <row r="2153" spans="1:5" x14ac:dyDescent="0.15">
      <c r="A2153" s="82"/>
      <c r="B2153" s="87" t="s">
        <v>447</v>
      </c>
      <c r="C2153" s="87" t="s">
        <v>448</v>
      </c>
      <c r="D2153" s="87" t="s">
        <v>449</v>
      </c>
      <c r="E2153" s="82"/>
    </row>
    <row r="2154" spans="1:5" x14ac:dyDescent="0.15">
      <c r="A2154" s="82"/>
      <c r="B2154" s="87" t="s">
        <v>5752</v>
      </c>
      <c r="C2154" s="87" t="s">
        <v>5753</v>
      </c>
      <c r="D2154" s="87" t="s">
        <v>5754</v>
      </c>
      <c r="E2154" s="82"/>
    </row>
    <row r="2155" spans="1:5" x14ac:dyDescent="0.15">
      <c r="A2155" s="82"/>
      <c r="B2155" s="87" t="s">
        <v>450</v>
      </c>
      <c r="C2155" s="87" t="s">
        <v>451</v>
      </c>
      <c r="D2155" s="87" t="s">
        <v>452</v>
      </c>
      <c r="E2155" s="82"/>
    </row>
    <row r="2156" spans="1:5" x14ac:dyDescent="0.15">
      <c r="A2156" s="82"/>
      <c r="B2156" s="87" t="s">
        <v>1031</v>
      </c>
      <c r="C2156" s="87" t="s">
        <v>1032</v>
      </c>
      <c r="D2156" s="87" t="s">
        <v>1033</v>
      </c>
      <c r="E2156" s="82"/>
    </row>
    <row r="2157" spans="1:5" x14ac:dyDescent="0.15">
      <c r="A2157" s="82"/>
      <c r="B2157" s="87" t="s">
        <v>164</v>
      </c>
      <c r="C2157" s="87" t="s">
        <v>165</v>
      </c>
      <c r="D2157" s="87" t="s">
        <v>166</v>
      </c>
      <c r="E2157" s="82"/>
    </row>
    <row r="2158" spans="1:5" x14ac:dyDescent="0.15">
      <c r="A2158" s="82"/>
      <c r="B2158" s="87" t="s">
        <v>692</v>
      </c>
      <c r="C2158" s="87" t="s">
        <v>693</v>
      </c>
      <c r="D2158" s="87" t="s">
        <v>694</v>
      </c>
      <c r="E2158" s="82"/>
    </row>
    <row r="2159" spans="1:5" x14ac:dyDescent="0.15">
      <c r="A2159" s="82"/>
      <c r="B2159" s="87" t="s">
        <v>695</v>
      </c>
      <c r="C2159" s="87" t="s">
        <v>696</v>
      </c>
      <c r="D2159" s="87" t="s">
        <v>697</v>
      </c>
      <c r="E2159" s="82"/>
    </row>
    <row r="2160" spans="1:5" x14ac:dyDescent="0.15">
      <c r="A2160" s="82"/>
      <c r="B2160" s="87" t="s">
        <v>698</v>
      </c>
      <c r="C2160" s="87" t="s">
        <v>699</v>
      </c>
      <c r="D2160" s="87" t="s">
        <v>700</v>
      </c>
      <c r="E2160" s="82"/>
    </row>
    <row r="2161" spans="1:5" x14ac:dyDescent="0.15">
      <c r="A2161" s="82"/>
      <c r="B2161" s="87" t="s">
        <v>1034</v>
      </c>
      <c r="C2161" s="87" t="s">
        <v>1035</v>
      </c>
      <c r="D2161" s="87" t="s">
        <v>1036</v>
      </c>
      <c r="E2161" s="82"/>
    </row>
    <row r="2162" spans="1:5" x14ac:dyDescent="0.15">
      <c r="A2162" s="82"/>
      <c r="B2162" s="87" t="s">
        <v>701</v>
      </c>
      <c r="C2162" s="87" t="s">
        <v>702</v>
      </c>
      <c r="D2162" s="87" t="s">
        <v>703</v>
      </c>
      <c r="E2162" s="82"/>
    </row>
    <row r="2163" spans="1:5" x14ac:dyDescent="0.15">
      <c r="A2163" s="82"/>
      <c r="B2163" s="87" t="s">
        <v>704</v>
      </c>
      <c r="C2163" s="87" t="s">
        <v>705</v>
      </c>
      <c r="D2163" s="87" t="s">
        <v>706</v>
      </c>
      <c r="E2163" s="82"/>
    </row>
    <row r="2164" spans="1:5" x14ac:dyDescent="0.15">
      <c r="A2164" s="82"/>
      <c r="B2164" s="87" t="s">
        <v>2683</v>
      </c>
      <c r="C2164" s="87" t="s">
        <v>167</v>
      </c>
      <c r="D2164" s="87" t="s">
        <v>168</v>
      </c>
      <c r="E2164" s="82"/>
    </row>
    <row r="2165" spans="1:5" x14ac:dyDescent="0.15">
      <c r="A2165" s="82"/>
      <c r="B2165" s="87" t="s">
        <v>453</v>
      </c>
      <c r="C2165" s="87" t="s">
        <v>454</v>
      </c>
      <c r="D2165" s="87" t="s">
        <v>455</v>
      </c>
      <c r="E2165" s="82"/>
    </row>
    <row r="2166" spans="1:5" x14ac:dyDescent="0.15">
      <c r="A2166" s="82"/>
      <c r="B2166" s="87" t="s">
        <v>2680</v>
      </c>
      <c r="C2166" s="87" t="s">
        <v>169</v>
      </c>
      <c r="D2166" s="87" t="s">
        <v>170</v>
      </c>
      <c r="E2166" s="82" t="s">
        <v>2679</v>
      </c>
    </row>
    <row r="2167" spans="1:5" x14ac:dyDescent="0.15">
      <c r="A2167" s="82"/>
      <c r="B2167" s="87" t="s">
        <v>707</v>
      </c>
      <c r="C2167" s="87" t="s">
        <v>708</v>
      </c>
      <c r="D2167" s="87" t="s">
        <v>709</v>
      </c>
      <c r="E2167" s="82"/>
    </row>
    <row r="2168" spans="1:5" x14ac:dyDescent="0.15">
      <c r="A2168" s="82"/>
      <c r="B2168" s="87" t="s">
        <v>171</v>
      </c>
      <c r="C2168" s="87" t="s">
        <v>172</v>
      </c>
      <c r="D2168" s="87" t="s">
        <v>173</v>
      </c>
      <c r="E2168" s="82"/>
    </row>
    <row r="2169" spans="1:5" x14ac:dyDescent="0.15">
      <c r="A2169" s="82"/>
      <c r="B2169" s="87" t="s">
        <v>174</v>
      </c>
      <c r="C2169" s="87" t="s">
        <v>175</v>
      </c>
      <c r="D2169" s="87" t="s">
        <v>176</v>
      </c>
      <c r="E2169" s="82"/>
    </row>
    <row r="2170" spans="1:5" x14ac:dyDescent="0.15">
      <c r="A2170" s="82"/>
      <c r="B2170" s="87" t="s">
        <v>832</v>
      </c>
      <c r="C2170" s="87" t="s">
        <v>833</v>
      </c>
      <c r="D2170" s="87" t="s">
        <v>834</v>
      </c>
      <c r="E2170" s="82"/>
    </row>
    <row r="2171" spans="1:5" x14ac:dyDescent="0.15">
      <c r="A2171" s="82"/>
      <c r="B2171" s="87" t="s">
        <v>1037</v>
      </c>
      <c r="C2171" s="87" t="s">
        <v>1038</v>
      </c>
      <c r="D2171" s="87" t="s">
        <v>1039</v>
      </c>
      <c r="E2171" s="82"/>
    </row>
    <row r="2172" spans="1:5" x14ac:dyDescent="0.15">
      <c r="A2172" s="82"/>
      <c r="B2172" s="87" t="s">
        <v>1040</v>
      </c>
      <c r="C2172" s="87" t="s">
        <v>1041</v>
      </c>
      <c r="D2172" s="87" t="s">
        <v>1042</v>
      </c>
      <c r="E2172" s="82"/>
    </row>
    <row r="2173" spans="1:5" x14ac:dyDescent="0.15">
      <c r="A2173" s="82"/>
      <c r="B2173" s="87" t="s">
        <v>1043</v>
      </c>
      <c r="C2173" s="87" t="s">
        <v>1044</v>
      </c>
      <c r="D2173" s="87" t="s">
        <v>1045</v>
      </c>
      <c r="E2173" s="82"/>
    </row>
    <row r="2174" spans="1:5" x14ac:dyDescent="0.15">
      <c r="A2174" s="82"/>
      <c r="B2174" s="87" t="s">
        <v>835</v>
      </c>
      <c r="C2174" s="87" t="s">
        <v>836</v>
      </c>
      <c r="D2174" s="87" t="s">
        <v>837</v>
      </c>
      <c r="E2174" s="82"/>
    </row>
    <row r="2175" spans="1:5" x14ac:dyDescent="0.15">
      <c r="A2175" s="82"/>
      <c r="B2175" s="87" t="s">
        <v>838</v>
      </c>
      <c r="C2175" s="87" t="s">
        <v>839</v>
      </c>
      <c r="D2175" s="87" t="s">
        <v>840</v>
      </c>
      <c r="E2175" s="82"/>
    </row>
    <row r="2176" spans="1:5" x14ac:dyDescent="0.15">
      <c r="A2176" s="82"/>
      <c r="B2176" s="87" t="s">
        <v>841</v>
      </c>
      <c r="C2176" s="87" t="s">
        <v>842</v>
      </c>
      <c r="D2176" s="87" t="s">
        <v>843</v>
      </c>
      <c r="E2176" s="82"/>
    </row>
    <row r="2177" spans="1:5" x14ac:dyDescent="0.15">
      <c r="A2177" s="82"/>
      <c r="B2177" s="87" t="s">
        <v>844</v>
      </c>
      <c r="C2177" s="87" t="s">
        <v>845</v>
      </c>
      <c r="D2177" s="87" t="s">
        <v>846</v>
      </c>
      <c r="E2177" s="82"/>
    </row>
    <row r="2178" spans="1:5" x14ac:dyDescent="0.15">
      <c r="A2178" s="82"/>
      <c r="B2178" s="87" t="s">
        <v>847</v>
      </c>
      <c r="C2178" s="87" t="s">
        <v>848</v>
      </c>
      <c r="D2178" s="87" t="s">
        <v>849</v>
      </c>
      <c r="E2178" s="82"/>
    </row>
    <row r="2179" spans="1:5" x14ac:dyDescent="0.15">
      <c r="A2179" s="82"/>
      <c r="B2179" s="87" t="s">
        <v>850</v>
      </c>
      <c r="C2179" s="87" t="s">
        <v>851</v>
      </c>
      <c r="D2179" s="87" t="s">
        <v>852</v>
      </c>
      <c r="E2179" s="82"/>
    </row>
    <row r="2180" spans="1:5" x14ac:dyDescent="0.15">
      <c r="A2180" s="82"/>
      <c r="B2180" s="87" t="s">
        <v>853</v>
      </c>
      <c r="C2180" s="87" t="s">
        <v>854</v>
      </c>
      <c r="D2180" s="87" t="s">
        <v>855</v>
      </c>
      <c r="E2180" s="82"/>
    </row>
    <row r="2181" spans="1:5" x14ac:dyDescent="0.15">
      <c r="A2181" s="82"/>
      <c r="B2181" s="87" t="s">
        <v>1046</v>
      </c>
      <c r="C2181" s="87" t="s">
        <v>1047</v>
      </c>
      <c r="D2181" s="87" t="s">
        <v>1048</v>
      </c>
      <c r="E2181" s="82"/>
    </row>
    <row r="2182" spans="1:5" x14ac:dyDescent="0.15">
      <c r="A2182" s="82"/>
      <c r="B2182" s="87" t="s">
        <v>856</v>
      </c>
      <c r="C2182" s="87" t="s">
        <v>857</v>
      </c>
      <c r="D2182" s="87" t="s">
        <v>858</v>
      </c>
      <c r="E2182" s="82"/>
    </row>
    <row r="2183" spans="1:5" x14ac:dyDescent="0.15">
      <c r="A2183" s="82"/>
      <c r="B2183" s="87" t="s">
        <v>456</v>
      </c>
      <c r="C2183" s="87" t="s">
        <v>457</v>
      </c>
      <c r="D2183" s="87" t="s">
        <v>458</v>
      </c>
      <c r="E2183" s="82"/>
    </row>
    <row r="2184" spans="1:5" x14ac:dyDescent="0.15">
      <c r="A2184" s="82"/>
      <c r="B2184" s="87" t="s">
        <v>710</v>
      </c>
      <c r="C2184" s="87" t="s">
        <v>711</v>
      </c>
      <c r="D2184" s="87" t="s">
        <v>712</v>
      </c>
      <c r="E2184" s="82"/>
    </row>
    <row r="2185" spans="1:5" x14ac:dyDescent="0.15">
      <c r="A2185" s="82"/>
      <c r="B2185" s="87" t="s">
        <v>459</v>
      </c>
      <c r="C2185" s="87" t="s">
        <v>460</v>
      </c>
      <c r="D2185" s="87" t="s">
        <v>461</v>
      </c>
      <c r="E2185" s="82"/>
    </row>
    <row r="2186" spans="1:5" x14ac:dyDescent="0.15">
      <c r="A2186" s="82"/>
      <c r="B2186" s="87" t="s">
        <v>177</v>
      </c>
      <c r="C2186" s="87" t="s">
        <v>178</v>
      </c>
      <c r="D2186" s="87" t="s">
        <v>179</v>
      </c>
      <c r="E2186" s="82"/>
    </row>
    <row r="2187" spans="1:5" x14ac:dyDescent="0.15">
      <c r="A2187" s="82"/>
      <c r="B2187" s="87" t="s">
        <v>180</v>
      </c>
      <c r="C2187" s="87" t="s">
        <v>181</v>
      </c>
      <c r="D2187" s="87" t="s">
        <v>182</v>
      </c>
      <c r="E2187" s="82"/>
    </row>
    <row r="2188" spans="1:5" x14ac:dyDescent="0.15">
      <c r="A2188" s="82"/>
      <c r="B2188" s="87" t="s">
        <v>462</v>
      </c>
      <c r="C2188" s="87" t="s">
        <v>463</v>
      </c>
      <c r="D2188" s="87" t="s">
        <v>464</v>
      </c>
      <c r="E2188" s="82"/>
    </row>
    <row r="2189" spans="1:5" x14ac:dyDescent="0.15">
      <c r="A2189" s="82"/>
      <c r="B2189" s="87" t="s">
        <v>465</v>
      </c>
      <c r="C2189" s="87" t="s">
        <v>466</v>
      </c>
      <c r="D2189" s="87" t="s">
        <v>467</v>
      </c>
      <c r="E2189" s="82"/>
    </row>
    <row r="2190" spans="1:5" x14ac:dyDescent="0.15">
      <c r="A2190" s="82"/>
      <c r="B2190" s="87" t="s">
        <v>468</v>
      </c>
      <c r="C2190" s="87" t="s">
        <v>469</v>
      </c>
      <c r="D2190" s="87" t="s">
        <v>470</v>
      </c>
      <c r="E2190" s="82"/>
    </row>
    <row r="2191" spans="1:5" x14ac:dyDescent="0.15">
      <c r="A2191" s="82"/>
      <c r="B2191" s="87" t="s">
        <v>713</v>
      </c>
      <c r="C2191" s="87" t="s">
        <v>714</v>
      </c>
      <c r="D2191" s="87" t="s">
        <v>715</v>
      </c>
      <c r="E2191" s="82"/>
    </row>
    <row r="2192" spans="1:5" x14ac:dyDescent="0.15">
      <c r="A2192" s="82"/>
      <c r="B2192" s="87" t="s">
        <v>2771</v>
      </c>
      <c r="C2192" s="87" t="s">
        <v>183</v>
      </c>
      <c r="D2192" s="87" t="s">
        <v>184</v>
      </c>
      <c r="E2192" s="82"/>
    </row>
    <row r="2193" spans="1:5" x14ac:dyDescent="0.15">
      <c r="A2193" s="82"/>
      <c r="B2193" s="87" t="s">
        <v>185</v>
      </c>
      <c r="C2193" s="87" t="s">
        <v>186</v>
      </c>
      <c r="D2193" s="87" t="s">
        <v>187</v>
      </c>
      <c r="E2193" s="82"/>
    </row>
    <row r="2194" spans="1:5" x14ac:dyDescent="0.15">
      <c r="A2194" s="82"/>
      <c r="B2194" s="87" t="s">
        <v>716</v>
      </c>
      <c r="C2194" s="87" t="s">
        <v>717</v>
      </c>
      <c r="D2194" s="87" t="s">
        <v>718</v>
      </c>
      <c r="E2194" s="82"/>
    </row>
    <row r="2195" spans="1:5" x14ac:dyDescent="0.15">
      <c r="A2195" s="82"/>
      <c r="B2195" s="87" t="s">
        <v>719</v>
      </c>
      <c r="C2195" s="87" t="s">
        <v>720</v>
      </c>
      <c r="D2195" s="87" t="s">
        <v>721</v>
      </c>
      <c r="E2195" s="82"/>
    </row>
    <row r="2196" spans="1:5" x14ac:dyDescent="0.15">
      <c r="A2196" s="82"/>
      <c r="B2196" s="87" t="s">
        <v>722</v>
      </c>
      <c r="C2196" s="87" t="s">
        <v>723</v>
      </c>
      <c r="D2196" s="87" t="s">
        <v>724</v>
      </c>
      <c r="E2196" s="82"/>
    </row>
    <row r="2197" spans="1:5" x14ac:dyDescent="0.15">
      <c r="A2197" s="82"/>
      <c r="B2197" s="87" t="s">
        <v>188</v>
      </c>
      <c r="C2197" s="87" t="s">
        <v>189</v>
      </c>
      <c r="D2197" s="87" t="s">
        <v>190</v>
      </c>
      <c r="E2197" s="82"/>
    </row>
    <row r="2198" spans="1:5" x14ac:dyDescent="0.15">
      <c r="A2198" s="82"/>
      <c r="B2198" s="87" t="s">
        <v>1049</v>
      </c>
      <c r="C2198" s="87" t="s">
        <v>1050</v>
      </c>
      <c r="D2198" s="87" t="s">
        <v>1051</v>
      </c>
      <c r="E2198" s="82"/>
    </row>
    <row r="2199" spans="1:5" x14ac:dyDescent="0.15">
      <c r="A2199" s="82"/>
      <c r="B2199" s="87" t="s">
        <v>1052</v>
      </c>
      <c r="C2199" s="87" t="s">
        <v>1053</v>
      </c>
      <c r="D2199" s="87" t="s">
        <v>1054</v>
      </c>
      <c r="E2199" s="82"/>
    </row>
    <row r="2200" spans="1:5" x14ac:dyDescent="0.15">
      <c r="A2200" s="82"/>
      <c r="B2200" s="87" t="s">
        <v>191</v>
      </c>
      <c r="C2200" s="87" t="s">
        <v>192</v>
      </c>
      <c r="D2200" s="87" t="s">
        <v>193</v>
      </c>
      <c r="E2200" s="82"/>
    </row>
    <row r="2201" spans="1:5" x14ac:dyDescent="0.15">
      <c r="A2201" s="82"/>
      <c r="B2201" s="87" t="s">
        <v>1409</v>
      </c>
      <c r="C2201" s="87" t="s">
        <v>1410</v>
      </c>
      <c r="D2201" s="87" t="s">
        <v>1411</v>
      </c>
      <c r="E2201" s="82"/>
    </row>
    <row r="2202" spans="1:5" x14ac:dyDescent="0.15">
      <c r="A2202" s="82"/>
      <c r="B2202" s="87" t="s">
        <v>194</v>
      </c>
      <c r="C2202" s="87" t="s">
        <v>195</v>
      </c>
      <c r="D2202" s="87" t="s">
        <v>196</v>
      </c>
      <c r="E2202" s="82"/>
    </row>
    <row r="2203" spans="1:5" x14ac:dyDescent="0.15">
      <c r="A2203" s="82"/>
      <c r="B2203" s="87" t="s">
        <v>829</v>
      </c>
      <c r="C2203" s="87" t="s">
        <v>830</v>
      </c>
      <c r="D2203" s="87" t="s">
        <v>831</v>
      </c>
      <c r="E2203" s="82"/>
    </row>
    <row r="2204" spans="1:5" x14ac:dyDescent="0.15">
      <c r="A2204" s="82"/>
      <c r="B2204" s="87" t="s">
        <v>1420</v>
      </c>
      <c r="C2204" s="87"/>
      <c r="D2204" s="87" t="s">
        <v>1420</v>
      </c>
      <c r="E2204" s="82"/>
    </row>
    <row r="2205" spans="1:5" x14ac:dyDescent="0.15">
      <c r="A2205" s="82"/>
      <c r="B2205" s="79" t="s">
        <v>1421</v>
      </c>
      <c r="C2205" s="80" t="s">
        <v>1415</v>
      </c>
      <c r="D2205" s="80"/>
      <c r="E2205" s="80"/>
    </row>
    <row r="2206" spans="1:5" x14ac:dyDescent="0.15">
      <c r="A2206" s="82"/>
      <c r="B2206" s="87" t="s">
        <v>137</v>
      </c>
      <c r="C2206" s="87" t="s">
        <v>138</v>
      </c>
      <c r="D2206" s="87" t="s">
        <v>139</v>
      </c>
      <c r="E2206" s="82"/>
    </row>
    <row r="2207" spans="1:5" x14ac:dyDescent="0.15">
      <c r="A2207" s="82"/>
      <c r="B2207" s="87" t="s">
        <v>365</v>
      </c>
      <c r="C2207" s="87" t="s">
        <v>366</v>
      </c>
      <c r="D2207" s="87" t="s">
        <v>367</v>
      </c>
      <c r="E2207" s="82"/>
    </row>
    <row r="2208" spans="1:5" x14ac:dyDescent="0.15">
      <c r="A2208" s="82"/>
      <c r="B2208" s="87" t="s">
        <v>619</v>
      </c>
      <c r="C2208" s="87" t="s">
        <v>620</v>
      </c>
      <c r="D2208" s="87" t="s">
        <v>621</v>
      </c>
      <c r="E2208" s="82"/>
    </row>
    <row r="2209" spans="1:5" x14ac:dyDescent="0.15">
      <c r="A2209" s="82"/>
      <c r="B2209" s="87" t="s">
        <v>980</v>
      </c>
      <c r="C2209" s="87" t="s">
        <v>981</v>
      </c>
      <c r="D2209" s="87" t="s">
        <v>982</v>
      </c>
      <c r="E2209" s="82"/>
    </row>
    <row r="2210" spans="1:5" x14ac:dyDescent="0.15">
      <c r="A2210" s="82"/>
      <c r="B2210" s="87" t="s">
        <v>622</v>
      </c>
      <c r="C2210" s="87" t="s">
        <v>623</v>
      </c>
      <c r="D2210" s="87" t="s">
        <v>624</v>
      </c>
      <c r="E2210" s="82"/>
    </row>
    <row r="2211" spans="1:5" x14ac:dyDescent="0.15">
      <c r="A2211" s="82"/>
      <c r="B2211" s="87" t="s">
        <v>787</v>
      </c>
      <c r="C2211" s="87" t="s">
        <v>788</v>
      </c>
      <c r="D2211" s="87" t="s">
        <v>789</v>
      </c>
      <c r="E2211" s="82"/>
    </row>
    <row r="2212" spans="1:5" x14ac:dyDescent="0.15">
      <c r="A2212" s="82"/>
      <c r="B2212" s="87" t="s">
        <v>368</v>
      </c>
      <c r="C2212" s="87" t="s">
        <v>369</v>
      </c>
      <c r="D2212" s="87" t="s">
        <v>370</v>
      </c>
      <c r="E2212" s="82"/>
    </row>
    <row r="2213" spans="1:5" x14ac:dyDescent="0.15">
      <c r="A2213" s="82"/>
      <c r="B2213" s="87" t="s">
        <v>790</v>
      </c>
      <c r="C2213" s="87" t="s">
        <v>791</v>
      </c>
      <c r="D2213" s="87" t="s">
        <v>792</v>
      </c>
      <c r="E2213" s="82"/>
    </row>
    <row r="2214" spans="1:5" x14ac:dyDescent="0.15">
      <c r="A2214" s="82"/>
      <c r="B2214" s="87" t="s">
        <v>1291</v>
      </c>
      <c r="C2214" s="87" t="s">
        <v>1292</v>
      </c>
      <c r="D2214" s="87" t="s">
        <v>1293</v>
      </c>
      <c r="E2214" s="82"/>
    </row>
    <row r="2215" spans="1:5" x14ac:dyDescent="0.15">
      <c r="A2215" s="82"/>
      <c r="B2215" s="87" t="s">
        <v>625</v>
      </c>
      <c r="C2215" s="87" t="s">
        <v>626</v>
      </c>
      <c r="D2215" s="87" t="s">
        <v>627</v>
      </c>
      <c r="E2215" s="82"/>
    </row>
    <row r="2216" spans="1:5" x14ac:dyDescent="0.15">
      <c r="A2216" s="82"/>
      <c r="B2216" s="79" t="s">
        <v>1422</v>
      </c>
      <c r="C2216" s="80" t="s">
        <v>1415</v>
      </c>
      <c r="D2216" s="80" t="s">
        <v>1423</v>
      </c>
      <c r="E2216" s="80"/>
    </row>
    <row r="2217" spans="1:5" x14ac:dyDescent="0.15">
      <c r="A2217" s="82"/>
      <c r="B2217" s="87" t="s">
        <v>913</v>
      </c>
      <c r="C2217" s="87" t="s">
        <v>914</v>
      </c>
      <c r="D2217" s="87" t="s">
        <v>913</v>
      </c>
      <c r="E2217" s="82"/>
    </row>
    <row r="2218" spans="1:5" x14ac:dyDescent="0.15">
      <c r="A2218" s="82"/>
      <c r="B2218" s="87" t="s">
        <v>543</v>
      </c>
      <c r="C2218" s="87" t="s">
        <v>544</v>
      </c>
      <c r="D2218" s="87" t="s">
        <v>545</v>
      </c>
      <c r="E2218" s="82"/>
    </row>
    <row r="2219" spans="1:5" x14ac:dyDescent="0.15">
      <c r="A2219" s="82"/>
      <c r="B2219" s="87" t="s">
        <v>756</v>
      </c>
      <c r="C2219" s="87" t="s">
        <v>757</v>
      </c>
      <c r="D2219" s="87" t="s">
        <v>758</v>
      </c>
      <c r="E2219" s="82"/>
    </row>
    <row r="2220" spans="1:5" x14ac:dyDescent="0.15">
      <c r="A2220" s="82"/>
      <c r="B2220" s="87" t="s">
        <v>302</v>
      </c>
      <c r="C2220" s="87" t="s">
        <v>303</v>
      </c>
      <c r="D2220" s="87" t="s">
        <v>304</v>
      </c>
      <c r="E2220" s="82"/>
    </row>
    <row r="2221" spans="1:5" x14ac:dyDescent="0.15">
      <c r="A2221" s="82"/>
      <c r="B2221" s="79" t="s">
        <v>1424</v>
      </c>
      <c r="C2221" s="80" t="s">
        <v>1415</v>
      </c>
      <c r="D2221" s="80" t="s">
        <v>1425</v>
      </c>
      <c r="E2221" s="80"/>
    </row>
    <row r="2222" spans="1:5" x14ac:dyDescent="0.15">
      <c r="A2222" s="82"/>
      <c r="B2222" s="87" t="s">
        <v>860</v>
      </c>
      <c r="C2222" s="87"/>
      <c r="D2222" s="87" t="s">
        <v>861</v>
      </c>
      <c r="E2222" s="82"/>
    </row>
    <row r="2223" spans="1:5" x14ac:dyDescent="0.15">
      <c r="A2223" s="82"/>
      <c r="B2223" s="87" t="s">
        <v>1097</v>
      </c>
      <c r="C2223" s="87"/>
      <c r="D2223" s="87" t="s">
        <v>1099</v>
      </c>
      <c r="E2223" s="82"/>
    </row>
    <row r="2224" spans="1:5" x14ac:dyDescent="0.15">
      <c r="A2224" s="82"/>
      <c r="B2224" s="87" t="s">
        <v>1100</v>
      </c>
      <c r="C2224" s="87"/>
      <c r="D2224" s="87" t="s">
        <v>1102</v>
      </c>
      <c r="E2224" s="82"/>
    </row>
    <row r="2225" spans="1:5" x14ac:dyDescent="0.15">
      <c r="A2225" s="82"/>
      <c r="B2225" s="87" t="s">
        <v>84</v>
      </c>
      <c r="C2225" s="87"/>
      <c r="D2225" s="87" t="s">
        <v>86</v>
      </c>
      <c r="E2225" s="82"/>
    </row>
    <row r="2226" spans="1:5" x14ac:dyDescent="0.15">
      <c r="A2226" s="82"/>
      <c r="B2226" s="87" t="s">
        <v>1103</v>
      </c>
      <c r="C2226" s="87"/>
      <c r="D2226" s="87" t="s">
        <v>1105</v>
      </c>
      <c r="E2226" s="82"/>
    </row>
    <row r="2227" spans="1:5" x14ac:dyDescent="0.15">
      <c r="A2227" s="82"/>
      <c r="B2227" s="87" t="s">
        <v>868</v>
      </c>
      <c r="C2227" s="87"/>
      <c r="D2227" s="87" t="s">
        <v>870</v>
      </c>
      <c r="E2227" s="82"/>
    </row>
    <row r="2228" spans="1:5" x14ac:dyDescent="0.15">
      <c r="A2228" s="82"/>
      <c r="B2228" s="87" t="s">
        <v>1106</v>
      </c>
      <c r="C2228" s="87"/>
      <c r="D2228" s="87" t="s">
        <v>1108</v>
      </c>
      <c r="E2228" s="82"/>
    </row>
    <row r="2229" spans="1:5" x14ac:dyDescent="0.15">
      <c r="A2229" s="82"/>
      <c r="B2229" s="87" t="s">
        <v>87</v>
      </c>
      <c r="C2229" s="87"/>
      <c r="D2229" s="87" t="s">
        <v>89</v>
      </c>
      <c r="E2229" s="82"/>
    </row>
    <row r="2230" spans="1:5" x14ac:dyDescent="0.15">
      <c r="A2230" s="82"/>
      <c r="B2230" s="87" t="s">
        <v>1109</v>
      </c>
      <c r="C2230" s="87"/>
      <c r="D2230" s="87" t="s">
        <v>1111</v>
      </c>
      <c r="E2230" s="82"/>
    </row>
    <row r="2231" spans="1:5" x14ac:dyDescent="0.15">
      <c r="A2231" s="82"/>
      <c r="B2231" s="87" t="s">
        <v>244</v>
      </c>
      <c r="C2231" s="87"/>
      <c r="D2231" s="87" t="s">
        <v>246</v>
      </c>
      <c r="E2231" s="82"/>
    </row>
    <row r="2232" spans="1:5" x14ac:dyDescent="0.15">
      <c r="A2232" s="82"/>
      <c r="B2232" s="87" t="s">
        <v>221</v>
      </c>
      <c r="C2232" s="87"/>
      <c r="D2232" s="87" t="s">
        <v>223</v>
      </c>
      <c r="E2232" s="82"/>
    </row>
    <row r="2233" spans="1:5" x14ac:dyDescent="0.15">
      <c r="A2233" s="82"/>
      <c r="B2233" s="87" t="s">
        <v>247</v>
      </c>
      <c r="C2233" s="87"/>
      <c r="D2233" s="87" t="s">
        <v>249</v>
      </c>
      <c r="E2233" s="82"/>
    </row>
    <row r="2234" spans="1:5" x14ac:dyDescent="0.15">
      <c r="A2234" s="82"/>
      <c r="B2234" s="87" t="s">
        <v>474</v>
      </c>
      <c r="C2234" s="87"/>
      <c r="D2234" s="87" t="s">
        <v>476</v>
      </c>
      <c r="E2234" s="82"/>
    </row>
    <row r="2235" spans="1:5" x14ac:dyDescent="0.15">
      <c r="A2235" s="82"/>
      <c r="B2235" s="87" t="s">
        <v>90</v>
      </c>
      <c r="C2235" s="87"/>
      <c r="D2235" s="87" t="s">
        <v>92</v>
      </c>
      <c r="E2235" s="82"/>
    </row>
    <row r="2236" spans="1:5" x14ac:dyDescent="0.15">
      <c r="A2236" s="82"/>
      <c r="B2236" s="87" t="s">
        <v>477</v>
      </c>
      <c r="C2236" s="87"/>
      <c r="D2236" s="87" t="s">
        <v>479</v>
      </c>
      <c r="E2236" s="82"/>
    </row>
    <row r="2237" spans="1:5" x14ac:dyDescent="0.15">
      <c r="A2237" s="82"/>
      <c r="B2237" s="87" t="s">
        <v>224</v>
      </c>
      <c r="C2237" s="87"/>
      <c r="D2237" s="87" t="s">
        <v>226</v>
      </c>
      <c r="E2237" s="82"/>
    </row>
    <row r="2238" spans="1:5" x14ac:dyDescent="0.15">
      <c r="A2238" s="82"/>
      <c r="B2238" s="87" t="s">
        <v>1112</v>
      </c>
      <c r="C2238" s="87"/>
      <c r="D2238" s="87" t="s">
        <v>1114</v>
      </c>
      <c r="E2238" s="82"/>
    </row>
    <row r="2239" spans="1:5" x14ac:dyDescent="0.15">
      <c r="A2239" s="82"/>
      <c r="B2239" s="87" t="s">
        <v>250</v>
      </c>
      <c r="C2239" s="87"/>
      <c r="D2239" s="87" t="s">
        <v>252</v>
      </c>
      <c r="E2239" s="82"/>
    </row>
    <row r="2240" spans="1:5" x14ac:dyDescent="0.15">
      <c r="A2240" s="82"/>
      <c r="B2240" s="87" t="s">
        <v>480</v>
      </c>
      <c r="C2240" s="87"/>
      <c r="D2240" s="87" t="s">
        <v>482</v>
      </c>
      <c r="E2240" s="82"/>
    </row>
    <row r="2241" spans="1:5" x14ac:dyDescent="0.15">
      <c r="A2241" s="82"/>
      <c r="B2241" s="87" t="s">
        <v>93</v>
      </c>
      <c r="C2241" s="87"/>
      <c r="D2241" s="87" t="s">
        <v>95</v>
      </c>
      <c r="E2241" s="82"/>
    </row>
    <row r="2242" spans="1:5" x14ac:dyDescent="0.15">
      <c r="A2242" s="82"/>
      <c r="B2242" s="87" t="s">
        <v>227</v>
      </c>
      <c r="C2242" s="87"/>
      <c r="D2242" s="87" t="s">
        <v>229</v>
      </c>
      <c r="E2242" s="82"/>
    </row>
    <row r="2243" spans="1:5" x14ac:dyDescent="0.15">
      <c r="A2243" s="82"/>
      <c r="B2243" s="87" t="s">
        <v>483</v>
      </c>
      <c r="C2243" s="87"/>
      <c r="D2243" s="87" t="s">
        <v>485</v>
      </c>
      <c r="E2243" s="82"/>
    </row>
    <row r="2244" spans="1:5" x14ac:dyDescent="0.15">
      <c r="A2244" s="82"/>
      <c r="B2244" s="87" t="s">
        <v>230</v>
      </c>
      <c r="C2244" s="87"/>
      <c r="D2244" s="87" t="s">
        <v>232</v>
      </c>
      <c r="E2244" s="82"/>
    </row>
    <row r="2245" spans="1:5" x14ac:dyDescent="0.15">
      <c r="A2245" s="82"/>
      <c r="B2245" s="87" t="s">
        <v>96</v>
      </c>
      <c r="C2245" s="87"/>
      <c r="D2245" s="87" t="s">
        <v>98</v>
      </c>
      <c r="E2245" s="82"/>
    </row>
    <row r="2246" spans="1:5" x14ac:dyDescent="0.15">
      <c r="A2246" s="82"/>
      <c r="B2246" s="87" t="s">
        <v>486</v>
      </c>
      <c r="C2246" s="87"/>
      <c r="D2246" s="87" t="s">
        <v>488</v>
      </c>
      <c r="E2246" s="82"/>
    </row>
    <row r="2247" spans="1:5" x14ac:dyDescent="0.15">
      <c r="A2247" s="82"/>
      <c r="B2247" s="87" t="s">
        <v>253</v>
      </c>
      <c r="C2247" s="87"/>
      <c r="D2247" s="87" t="s">
        <v>255</v>
      </c>
      <c r="E2247" s="82"/>
    </row>
    <row r="2248" spans="1:5" x14ac:dyDescent="0.15">
      <c r="A2248" s="82"/>
      <c r="B2248" s="87" t="s">
        <v>99</v>
      </c>
      <c r="C2248" s="87"/>
      <c r="D2248" s="87" t="s">
        <v>101</v>
      </c>
      <c r="E2248" s="82"/>
    </row>
    <row r="2249" spans="1:5" x14ac:dyDescent="0.15">
      <c r="A2249" s="82"/>
      <c r="B2249" s="87" t="s">
        <v>256</v>
      </c>
      <c r="C2249" s="87"/>
      <c r="D2249" s="87" t="s">
        <v>258</v>
      </c>
      <c r="E2249" s="82"/>
    </row>
    <row r="2250" spans="1:5" x14ac:dyDescent="0.15">
      <c r="A2250" s="82"/>
      <c r="B2250" s="87" t="s">
        <v>259</v>
      </c>
      <c r="C2250" s="87"/>
      <c r="D2250" s="87" t="s">
        <v>261</v>
      </c>
      <c r="E2250" s="82"/>
    </row>
    <row r="2251" spans="1:5" x14ac:dyDescent="0.15">
      <c r="A2251" s="82"/>
      <c r="B2251" s="87" t="s">
        <v>489</v>
      </c>
      <c r="C2251" s="87"/>
      <c r="D2251" s="87" t="s">
        <v>491</v>
      </c>
      <c r="E2251" s="82"/>
    </row>
    <row r="2252" spans="1:5" x14ac:dyDescent="0.15">
      <c r="A2252" s="82"/>
      <c r="B2252" s="87" t="s">
        <v>102</v>
      </c>
      <c r="C2252" s="87"/>
      <c r="D2252" s="87" t="s">
        <v>104</v>
      </c>
      <c r="E2252" s="82"/>
    </row>
    <row r="2253" spans="1:5" x14ac:dyDescent="0.15">
      <c r="A2253" s="82"/>
      <c r="B2253" s="87" t="s">
        <v>492</v>
      </c>
      <c r="C2253" s="87"/>
      <c r="D2253" s="87" t="s">
        <v>494</v>
      </c>
      <c r="E2253" s="82"/>
    </row>
    <row r="2254" spans="1:5" x14ac:dyDescent="0.15">
      <c r="A2254" s="82"/>
      <c r="B2254" s="79" t="s">
        <v>1426</v>
      </c>
      <c r="C2254" s="80" t="s">
        <v>1415</v>
      </c>
      <c r="D2254" s="80" t="s">
        <v>1427</v>
      </c>
      <c r="E2254" s="80"/>
    </row>
    <row r="2255" spans="1:5" x14ac:dyDescent="0.15">
      <c r="A2255" s="82"/>
      <c r="B2255" s="87" t="s">
        <v>262</v>
      </c>
      <c r="C2255" s="87"/>
      <c r="D2255" s="87" t="s">
        <v>264</v>
      </c>
      <c r="E2255" s="82"/>
    </row>
    <row r="2256" spans="1:5" x14ac:dyDescent="0.15">
      <c r="A2256" s="82"/>
      <c r="B2256" s="87" t="s">
        <v>265</v>
      </c>
      <c r="C2256" s="87"/>
      <c r="D2256" s="87" t="s">
        <v>266</v>
      </c>
      <c r="E2256" s="82"/>
    </row>
    <row r="2257" spans="1:5" x14ac:dyDescent="0.15">
      <c r="A2257" s="82"/>
      <c r="B2257" s="87" t="s">
        <v>267</v>
      </c>
      <c r="C2257" s="87"/>
      <c r="D2257" s="87" t="s">
        <v>269</v>
      </c>
      <c r="E2257" s="82"/>
    </row>
    <row r="2258" spans="1:5" x14ac:dyDescent="0.15">
      <c r="A2258" s="82"/>
      <c r="B2258" s="87" t="s">
        <v>495</v>
      </c>
      <c r="C2258" s="87"/>
      <c r="D2258" s="87" t="s">
        <v>497</v>
      </c>
      <c r="E2258" s="82"/>
    </row>
    <row r="2259" spans="1:5" x14ac:dyDescent="0.15">
      <c r="A2259" s="82"/>
      <c r="B2259" s="87" t="s">
        <v>105</v>
      </c>
      <c r="C2259" s="87"/>
      <c r="D2259" s="87" t="s">
        <v>107</v>
      </c>
      <c r="E2259" s="82"/>
    </row>
    <row r="2260" spans="1:5" x14ac:dyDescent="0.15">
      <c r="A2260" s="82"/>
      <c r="B2260" s="87" t="s">
        <v>871</v>
      </c>
      <c r="C2260" s="87"/>
      <c r="D2260" s="87" t="s">
        <v>872</v>
      </c>
      <c r="E2260" s="82"/>
    </row>
    <row r="2261" spans="1:5" x14ac:dyDescent="0.15">
      <c r="A2261" s="82"/>
      <c r="B2261" s="87" t="s">
        <v>498</v>
      </c>
      <c r="C2261" s="87"/>
      <c r="D2261" s="87" t="s">
        <v>499</v>
      </c>
      <c r="E2261" s="82"/>
    </row>
    <row r="2262" spans="1:5" x14ac:dyDescent="0.15">
      <c r="A2262" s="82"/>
      <c r="B2262" s="87" t="s">
        <v>108</v>
      </c>
      <c r="C2262" s="87"/>
      <c r="D2262" s="87" t="s">
        <v>110</v>
      </c>
      <c r="E2262" s="82"/>
    </row>
    <row r="2263" spans="1:5" x14ac:dyDescent="0.15">
      <c r="A2263" s="82"/>
      <c r="B2263" s="87" t="s">
        <v>500</v>
      </c>
      <c r="C2263" s="87"/>
      <c r="D2263" s="87" t="s">
        <v>501</v>
      </c>
      <c r="E2263" s="82"/>
    </row>
    <row r="2264" spans="1:5" x14ac:dyDescent="0.15">
      <c r="A2264" s="82"/>
      <c r="B2264" s="87" t="s">
        <v>111</v>
      </c>
      <c r="C2264" s="87"/>
      <c r="D2264" s="87" t="s">
        <v>113</v>
      </c>
      <c r="E2264" s="82"/>
    </row>
    <row r="2265" spans="1:5" x14ac:dyDescent="0.15">
      <c r="A2265" s="82"/>
      <c r="B2265" s="87" t="s">
        <v>114</v>
      </c>
      <c r="C2265" s="87"/>
      <c r="D2265" s="87" t="s">
        <v>116</v>
      </c>
      <c r="E2265" s="82"/>
    </row>
    <row r="2266" spans="1:5" x14ac:dyDescent="0.15">
      <c r="A2266" s="82"/>
      <c r="B2266" s="87" t="s">
        <v>1123</v>
      </c>
      <c r="C2266" s="87"/>
      <c r="D2266" s="87" t="s">
        <v>1125</v>
      </c>
      <c r="E2266" s="82"/>
    </row>
    <row r="2267" spans="1:5" x14ac:dyDescent="0.15">
      <c r="A2267" s="82"/>
      <c r="B2267" s="87" t="s">
        <v>270</v>
      </c>
      <c r="C2267" s="87"/>
      <c r="D2267" s="87" t="s">
        <v>272</v>
      </c>
      <c r="E2267" s="82"/>
    </row>
    <row r="2268" spans="1:5" x14ac:dyDescent="0.15">
      <c r="A2268" s="82"/>
      <c r="B2268" s="87" t="s">
        <v>273</v>
      </c>
      <c r="C2268" s="87"/>
      <c r="D2268" s="87" t="s">
        <v>275</v>
      </c>
      <c r="E2268" s="82"/>
    </row>
    <row r="2269" spans="1:5" x14ac:dyDescent="0.15">
      <c r="A2269" s="82"/>
      <c r="B2269" s="87" t="s">
        <v>1126</v>
      </c>
      <c r="C2269" s="87"/>
      <c r="D2269" s="87" t="s">
        <v>1127</v>
      </c>
      <c r="E2269" s="82"/>
    </row>
    <row r="2270" spans="1:5" x14ac:dyDescent="0.15">
      <c r="A2270" s="82"/>
      <c r="B2270" s="87" t="s">
        <v>117</v>
      </c>
      <c r="C2270" s="87"/>
      <c r="D2270" s="87" t="s">
        <v>119</v>
      </c>
      <c r="E2270" s="82"/>
    </row>
    <row r="2271" spans="1:5" x14ac:dyDescent="0.15">
      <c r="A2271" s="82"/>
      <c r="B2271" s="87" t="s">
        <v>502</v>
      </c>
      <c r="C2271" s="87"/>
      <c r="D2271" s="87" t="s">
        <v>503</v>
      </c>
      <c r="E2271" s="82"/>
    </row>
    <row r="2272" spans="1:5" x14ac:dyDescent="0.15">
      <c r="A2272" s="82"/>
      <c r="B2272" s="87" t="s">
        <v>729</v>
      </c>
      <c r="C2272" s="87"/>
      <c r="D2272" s="87" t="s">
        <v>730</v>
      </c>
      <c r="E2272" s="82"/>
    </row>
    <row r="2273" spans="1:5" x14ac:dyDescent="0.15">
      <c r="A2273" s="82"/>
      <c r="B2273" s="79" t="s">
        <v>1428</v>
      </c>
      <c r="C2273" s="80" t="s">
        <v>1415</v>
      </c>
      <c r="D2273" s="80"/>
      <c r="E2273" s="80"/>
    </row>
    <row r="2274" spans="1:5" x14ac:dyDescent="0.15">
      <c r="A2274" s="82"/>
      <c r="B2274" s="87" t="s">
        <v>1429</v>
      </c>
      <c r="C2274" s="87"/>
      <c r="D2274" s="87" t="s">
        <v>1430</v>
      </c>
      <c r="E2274" s="82"/>
    </row>
    <row r="2275" spans="1:5" x14ac:dyDescent="0.15">
      <c r="A2275" s="82"/>
      <c r="B2275" s="87" t="s">
        <v>1431</v>
      </c>
      <c r="C2275" s="87"/>
      <c r="D2275" s="87" t="s">
        <v>1432</v>
      </c>
      <c r="E2275" s="82"/>
    </row>
    <row r="2276" spans="1:5" x14ac:dyDescent="0.15">
      <c r="A2276" s="82"/>
      <c r="B2276" s="87" t="s">
        <v>1433</v>
      </c>
      <c r="C2276" s="87"/>
      <c r="D2276" s="87" t="s">
        <v>1434</v>
      </c>
      <c r="E2276" s="82"/>
    </row>
    <row r="2277" spans="1:5" x14ac:dyDescent="0.15">
      <c r="A2277" s="82"/>
      <c r="B2277" s="87" t="s">
        <v>1435</v>
      </c>
      <c r="C2277" s="87"/>
      <c r="D2277" s="87" t="s">
        <v>1436</v>
      </c>
      <c r="E2277" s="82"/>
    </row>
    <row r="2278" spans="1:5" x14ac:dyDescent="0.15">
      <c r="A2278" s="82"/>
      <c r="B2278" s="87" t="s">
        <v>1437</v>
      </c>
      <c r="C2278" s="87"/>
      <c r="D2278" s="87" t="s">
        <v>1438</v>
      </c>
      <c r="E2278" s="82"/>
    </row>
    <row r="2279" spans="1:5" x14ac:dyDescent="0.15">
      <c r="A2279" s="82"/>
      <c r="B2279" s="87" t="s">
        <v>1439</v>
      </c>
      <c r="C2279" s="87"/>
      <c r="D2279" s="87" t="s">
        <v>1440</v>
      </c>
      <c r="E2279" s="82"/>
    </row>
    <row r="2280" spans="1:5" x14ac:dyDescent="0.15">
      <c r="A2280" s="82"/>
      <c r="B2280" s="87" t="s">
        <v>1441</v>
      </c>
      <c r="C2280" s="87"/>
      <c r="D2280" s="87" t="s">
        <v>1442</v>
      </c>
      <c r="E2280" s="82"/>
    </row>
    <row r="2281" spans="1:5" x14ac:dyDescent="0.15">
      <c r="A2281" s="82"/>
      <c r="B2281" s="87" t="s">
        <v>1443</v>
      </c>
      <c r="C2281" s="87"/>
      <c r="D2281" s="87" t="s">
        <v>1444</v>
      </c>
      <c r="E2281" s="82"/>
    </row>
    <row r="2282" spans="1:5" x14ac:dyDescent="0.15">
      <c r="A2282" s="82"/>
      <c r="B2282" s="87" t="s">
        <v>1445</v>
      </c>
      <c r="C2282" s="87"/>
      <c r="D2282" s="87" t="s">
        <v>1446</v>
      </c>
      <c r="E2282" s="82"/>
    </row>
    <row r="2283" spans="1:5" x14ac:dyDescent="0.15">
      <c r="A2283" s="82"/>
      <c r="B2283" s="87" t="s">
        <v>1447</v>
      </c>
      <c r="C2283" s="87"/>
      <c r="D2283" s="87" t="s">
        <v>1448</v>
      </c>
      <c r="E2283" s="82"/>
    </row>
    <row r="2284" spans="1:5" x14ac:dyDescent="0.15">
      <c r="A2284" s="82"/>
      <c r="B2284" s="87" t="s">
        <v>1449</v>
      </c>
      <c r="C2284" s="87"/>
      <c r="D2284" s="87" t="s">
        <v>1450</v>
      </c>
      <c r="E2284" s="82"/>
    </row>
    <row r="2285" spans="1:5" x14ac:dyDescent="0.15">
      <c r="A2285" s="82"/>
      <c r="B2285" s="87" t="s">
        <v>1451</v>
      </c>
      <c r="C2285" s="87"/>
      <c r="D2285" s="87" t="s">
        <v>1452</v>
      </c>
      <c r="E2285" s="82"/>
    </row>
    <row r="2286" spans="1:5" x14ac:dyDescent="0.15">
      <c r="A2286" s="82"/>
      <c r="B2286" s="87" t="s">
        <v>1453</v>
      </c>
      <c r="C2286" s="87"/>
      <c r="D2286" s="87" t="s">
        <v>1454</v>
      </c>
      <c r="E2286" s="82"/>
    </row>
    <row r="2287" spans="1:5" x14ac:dyDescent="0.15">
      <c r="A2287" s="82"/>
      <c r="B2287" s="87" t="s">
        <v>1455</v>
      </c>
      <c r="C2287" s="87"/>
      <c r="D2287" s="87" t="s">
        <v>1456</v>
      </c>
      <c r="E2287" s="82"/>
    </row>
    <row r="2288" spans="1:5" x14ac:dyDescent="0.15">
      <c r="A2288" s="82"/>
      <c r="B2288" s="87" t="s">
        <v>1457</v>
      </c>
      <c r="C2288" s="87"/>
      <c r="D2288" s="87" t="s">
        <v>1458</v>
      </c>
      <c r="E2288" s="82"/>
    </row>
    <row r="2289" spans="1:5" x14ac:dyDescent="0.15">
      <c r="A2289" s="82"/>
      <c r="B2289" s="87" t="s">
        <v>1459</v>
      </c>
      <c r="C2289" s="87"/>
      <c r="D2289" s="87" t="s">
        <v>1460</v>
      </c>
      <c r="E2289" s="82"/>
    </row>
    <row r="2290" spans="1:5" x14ac:dyDescent="0.15">
      <c r="A2290" s="82"/>
      <c r="B2290" s="79" t="s">
        <v>1473</v>
      </c>
      <c r="C2290" s="80" t="s">
        <v>1415</v>
      </c>
      <c r="D2290" s="80" t="s">
        <v>1461</v>
      </c>
      <c r="E2290" s="80"/>
    </row>
    <row r="2291" spans="1:5" x14ac:dyDescent="0.15">
      <c r="A2291" s="82"/>
      <c r="B2291" s="87" t="s">
        <v>216</v>
      </c>
      <c r="C2291" s="87" t="s">
        <v>217</v>
      </c>
      <c r="D2291" s="87" t="s">
        <v>218</v>
      </c>
      <c r="E2291" s="82"/>
    </row>
    <row r="2292" spans="1:5" x14ac:dyDescent="0.15">
      <c r="A2292" s="82"/>
      <c r="B2292" s="87" t="s">
        <v>1091</v>
      </c>
      <c r="C2292" s="87" t="s">
        <v>1092</v>
      </c>
      <c r="D2292" s="87" t="s">
        <v>1093</v>
      </c>
      <c r="E2292" s="82"/>
    </row>
    <row r="2293" spans="1:5" x14ac:dyDescent="0.15">
      <c r="A2293" s="82"/>
      <c r="B2293" s="87" t="s">
        <v>866</v>
      </c>
      <c r="C2293" s="87" t="s">
        <v>867</v>
      </c>
      <c r="D2293" s="87" t="s">
        <v>866</v>
      </c>
      <c r="E2293" s="82"/>
    </row>
    <row r="2294" spans="1:5" x14ac:dyDescent="0.15">
      <c r="A2294" s="82"/>
      <c r="B2294" s="87" t="s">
        <v>731</v>
      </c>
      <c r="C2294" s="87" t="s">
        <v>732</v>
      </c>
      <c r="D2294" s="87" t="s">
        <v>733</v>
      </c>
      <c r="E2294" s="82"/>
    </row>
    <row r="2295" spans="1:5" x14ac:dyDescent="0.15">
      <c r="A2295" s="82"/>
      <c r="B2295" s="87" t="s">
        <v>734</v>
      </c>
      <c r="C2295" s="87" t="s">
        <v>735</v>
      </c>
      <c r="D2295" s="87" t="s">
        <v>736</v>
      </c>
      <c r="E2295" s="82"/>
    </row>
    <row r="2296" spans="1:5" x14ac:dyDescent="0.15">
      <c r="A2296" s="82"/>
      <c r="B2296" s="87" t="s">
        <v>891</v>
      </c>
      <c r="C2296" s="87" t="s">
        <v>892</v>
      </c>
      <c r="D2296" s="87" t="s">
        <v>893</v>
      </c>
      <c r="E2296" s="82"/>
    </row>
    <row r="2297" spans="1:5" x14ac:dyDescent="0.15">
      <c r="A2297" s="82"/>
      <c r="B2297" s="87" t="s">
        <v>516</v>
      </c>
      <c r="C2297" s="87" t="s">
        <v>517</v>
      </c>
      <c r="D2297" s="87" t="s">
        <v>518</v>
      </c>
      <c r="E2297" s="82"/>
    </row>
    <row r="2298" spans="1:5" x14ac:dyDescent="0.15">
      <c r="A2298" s="82"/>
      <c r="B2298" s="87" t="s">
        <v>120</v>
      </c>
      <c r="C2298" s="87" t="s">
        <v>121</v>
      </c>
      <c r="D2298" s="87" t="s">
        <v>122</v>
      </c>
      <c r="E2298" s="82"/>
    </row>
    <row r="2299" spans="1:5" x14ac:dyDescent="0.15">
      <c r="A2299" s="82"/>
      <c r="B2299" s="87" t="s">
        <v>279</v>
      </c>
      <c r="C2299" s="87" t="s">
        <v>280</v>
      </c>
      <c r="D2299" s="87" t="s">
        <v>281</v>
      </c>
      <c r="E2299" s="82"/>
    </row>
    <row r="2300" spans="1:5" x14ac:dyDescent="0.15">
      <c r="A2300" s="82"/>
      <c r="B2300" s="87" t="s">
        <v>747</v>
      </c>
      <c r="C2300" s="87" t="s">
        <v>748</v>
      </c>
      <c r="D2300" s="87" t="s">
        <v>749</v>
      </c>
      <c r="E2300" s="82"/>
    </row>
    <row r="2301" spans="1:5" x14ac:dyDescent="0.15">
      <c r="A2301" s="82"/>
      <c r="B2301" s="87" t="s">
        <v>750</v>
      </c>
      <c r="C2301" s="87" t="s">
        <v>751</v>
      </c>
      <c r="D2301" s="87" t="s">
        <v>752</v>
      </c>
      <c r="E2301" s="82"/>
    </row>
    <row r="2302" spans="1:5" x14ac:dyDescent="0.15">
      <c r="A2302" s="82"/>
      <c r="B2302" s="87" t="s">
        <v>527</v>
      </c>
      <c r="C2302" s="87" t="s">
        <v>528</v>
      </c>
      <c r="D2302" s="87" t="s">
        <v>529</v>
      </c>
      <c r="E2302" s="82"/>
    </row>
    <row r="2303" spans="1:5" x14ac:dyDescent="0.15">
      <c r="A2303" s="82"/>
      <c r="B2303" s="87" t="s">
        <v>753</v>
      </c>
      <c r="C2303" s="87" t="s">
        <v>754</v>
      </c>
      <c r="D2303" s="87" t="s">
        <v>755</v>
      </c>
      <c r="E2303" s="82"/>
    </row>
    <row r="2304" spans="1:5" x14ac:dyDescent="0.15">
      <c r="A2304" s="82"/>
      <c r="B2304" s="87" t="s">
        <v>532</v>
      </c>
      <c r="C2304" s="87" t="s">
        <v>533</v>
      </c>
      <c r="D2304" s="87" t="s">
        <v>534</v>
      </c>
      <c r="E2304" s="82"/>
    </row>
    <row r="2305" spans="1:5" x14ac:dyDescent="0.15">
      <c r="A2305" s="82"/>
      <c r="B2305" s="87" t="s">
        <v>296</v>
      </c>
      <c r="C2305" s="87" t="s">
        <v>297</v>
      </c>
      <c r="D2305" s="87" t="s">
        <v>298</v>
      </c>
      <c r="E2305" s="82"/>
    </row>
    <row r="2306" spans="1:5" x14ac:dyDescent="0.15">
      <c r="A2306" s="82"/>
      <c r="B2306" s="87" t="s">
        <v>1190</v>
      </c>
      <c r="C2306" s="87" t="s">
        <v>1191</v>
      </c>
      <c r="D2306" s="87" t="s">
        <v>1192</v>
      </c>
      <c r="E2306" s="82"/>
    </row>
    <row r="2307" spans="1:5" x14ac:dyDescent="0.15">
      <c r="A2307" s="82"/>
      <c r="B2307" s="87" t="s">
        <v>535</v>
      </c>
      <c r="C2307" s="87" t="s">
        <v>536</v>
      </c>
      <c r="D2307" s="87" t="s">
        <v>537</v>
      </c>
      <c r="E2307" s="82"/>
    </row>
    <row r="2308" spans="1:5" x14ac:dyDescent="0.15">
      <c r="A2308" s="82"/>
      <c r="B2308" s="87" t="s">
        <v>538</v>
      </c>
      <c r="C2308" s="87" t="s">
        <v>539</v>
      </c>
      <c r="D2308" s="87" t="s">
        <v>540</v>
      </c>
      <c r="E2308" s="82"/>
    </row>
    <row r="2309" spans="1:5" x14ac:dyDescent="0.15">
      <c r="A2309" s="82"/>
      <c r="B2309" s="87" t="s">
        <v>924</v>
      </c>
      <c r="C2309" s="87" t="s">
        <v>925</v>
      </c>
      <c r="D2309" s="87" t="s">
        <v>926</v>
      </c>
      <c r="E2309" s="82"/>
    </row>
    <row r="2310" spans="1:5" x14ac:dyDescent="0.15">
      <c r="A2310" s="82"/>
      <c r="B2310" s="87" t="s">
        <v>765</v>
      </c>
      <c r="C2310" s="87" t="s">
        <v>766</v>
      </c>
      <c r="D2310" s="87" t="s">
        <v>767</v>
      </c>
      <c r="E2310" s="82"/>
    </row>
    <row r="2311" spans="1:5" x14ac:dyDescent="0.15">
      <c r="A2311" s="82"/>
      <c r="B2311" s="87" t="s">
        <v>933</v>
      </c>
      <c r="C2311" s="87" t="s">
        <v>934</v>
      </c>
      <c r="D2311" s="87" t="s">
        <v>935</v>
      </c>
      <c r="E2311" s="82"/>
    </row>
    <row r="2312" spans="1:5" x14ac:dyDescent="0.15">
      <c r="A2312" s="82"/>
      <c r="B2312" s="87" t="s">
        <v>570</v>
      </c>
      <c r="C2312" s="87" t="s">
        <v>571</v>
      </c>
      <c r="D2312" s="87" t="s">
        <v>572</v>
      </c>
      <c r="E2312" s="82"/>
    </row>
    <row r="2313" spans="1:5" x14ac:dyDescent="0.15">
      <c r="A2313" s="82"/>
      <c r="B2313" s="87" t="s">
        <v>1216</v>
      </c>
      <c r="C2313" s="87" t="s">
        <v>1217</v>
      </c>
      <c r="D2313" s="87" t="s">
        <v>1218</v>
      </c>
      <c r="E2313" s="82"/>
    </row>
    <row r="2314" spans="1:5" x14ac:dyDescent="0.15">
      <c r="A2314" s="82"/>
      <c r="B2314" s="87" t="s">
        <v>768</v>
      </c>
      <c r="C2314" s="87" t="s">
        <v>769</v>
      </c>
      <c r="D2314" s="87" t="s">
        <v>770</v>
      </c>
      <c r="E2314" s="82"/>
    </row>
    <row r="2315" spans="1:5" x14ac:dyDescent="0.15">
      <c r="A2315" s="82"/>
      <c r="B2315" s="87" t="s">
        <v>317</v>
      </c>
      <c r="C2315" s="87" t="s">
        <v>318</v>
      </c>
      <c r="D2315" s="87" t="s">
        <v>319</v>
      </c>
      <c r="E2315" s="82"/>
    </row>
    <row r="2316" spans="1:5" x14ac:dyDescent="0.15">
      <c r="A2316" s="82"/>
      <c r="B2316" s="87" t="s">
        <v>320</v>
      </c>
      <c r="C2316" s="87" t="s">
        <v>321</v>
      </c>
      <c r="D2316" s="87" t="s">
        <v>322</v>
      </c>
      <c r="E2316" s="82"/>
    </row>
    <row r="2317" spans="1:5" x14ac:dyDescent="0.15">
      <c r="A2317" s="82"/>
      <c r="B2317" s="87" t="s">
        <v>936</v>
      </c>
      <c r="C2317" s="87" t="s">
        <v>937</v>
      </c>
      <c r="D2317" s="87" t="s">
        <v>938</v>
      </c>
      <c r="E2317" s="82"/>
    </row>
    <row r="2318" spans="1:5" x14ac:dyDescent="0.15">
      <c r="A2318" s="82"/>
      <c r="B2318" s="87" t="s">
        <v>323</v>
      </c>
      <c r="C2318" s="87" t="s">
        <v>324</v>
      </c>
      <c r="D2318" s="87" t="s">
        <v>325</v>
      </c>
      <c r="E2318" s="82"/>
    </row>
    <row r="2319" spans="1:5" x14ac:dyDescent="0.15">
      <c r="A2319" s="82"/>
      <c r="B2319" s="87" t="s">
        <v>939</v>
      </c>
      <c r="C2319" s="87" t="s">
        <v>940</v>
      </c>
      <c r="D2319" s="87" t="s">
        <v>941</v>
      </c>
      <c r="E2319" s="82"/>
    </row>
    <row r="2320" spans="1:5" x14ac:dyDescent="0.15">
      <c r="A2320" s="82"/>
      <c r="B2320" s="87" t="s">
        <v>134</v>
      </c>
      <c r="C2320" s="87" t="s">
        <v>135</v>
      </c>
      <c r="D2320" s="87" t="s">
        <v>136</v>
      </c>
      <c r="E2320" s="82"/>
    </row>
    <row r="2321" spans="1:5" x14ac:dyDescent="0.15">
      <c r="A2321" s="82"/>
      <c r="B2321" s="87" t="s">
        <v>579</v>
      </c>
      <c r="C2321" s="87" t="s">
        <v>580</v>
      </c>
      <c r="D2321" s="87" t="s">
        <v>581</v>
      </c>
      <c r="E2321" s="82"/>
    </row>
    <row r="2322" spans="1:5" x14ac:dyDescent="0.15">
      <c r="A2322" s="82"/>
      <c r="B2322" s="87" t="s">
        <v>774</v>
      </c>
      <c r="C2322" s="87" t="s">
        <v>775</v>
      </c>
      <c r="D2322" s="87" t="s">
        <v>776</v>
      </c>
      <c r="E2322" s="82"/>
    </row>
    <row r="2323" spans="1:5" x14ac:dyDescent="0.15">
      <c r="A2323" s="82"/>
      <c r="B2323" s="87" t="s">
        <v>963</v>
      </c>
      <c r="C2323" s="87" t="s">
        <v>964</v>
      </c>
      <c r="D2323" s="87" t="s">
        <v>965</v>
      </c>
      <c r="E2323" s="82"/>
    </row>
    <row r="2324" spans="1:5" x14ac:dyDescent="0.15">
      <c r="A2324" s="82"/>
      <c r="B2324" s="87" t="s">
        <v>607</v>
      </c>
      <c r="C2324" s="87" t="s">
        <v>608</v>
      </c>
      <c r="D2324" s="87" t="s">
        <v>607</v>
      </c>
      <c r="E2324" s="82"/>
    </row>
    <row r="2325" spans="1:5" x14ac:dyDescent="0.15">
      <c r="A2325" s="82"/>
      <c r="B2325" s="87" t="s">
        <v>784</v>
      </c>
      <c r="C2325" s="87" t="s">
        <v>785</v>
      </c>
      <c r="D2325" s="87" t="s">
        <v>786</v>
      </c>
      <c r="E2325" s="82"/>
    </row>
    <row r="2326" spans="1:5" x14ac:dyDescent="0.15">
      <c r="A2326" s="82"/>
      <c r="B2326" s="87" t="s">
        <v>796</v>
      </c>
      <c r="C2326" s="87" t="s">
        <v>797</v>
      </c>
      <c r="D2326" s="87" t="s">
        <v>798</v>
      </c>
      <c r="E2326" s="82"/>
    </row>
    <row r="2327" spans="1:5" x14ac:dyDescent="0.15">
      <c r="A2327" s="82"/>
      <c r="B2327" s="87" t="s">
        <v>799</v>
      </c>
      <c r="C2327" s="87" t="s">
        <v>800</v>
      </c>
      <c r="D2327" s="87" t="s">
        <v>801</v>
      </c>
      <c r="E2327" s="82"/>
    </row>
    <row r="2328" spans="1:5" x14ac:dyDescent="0.15">
      <c r="A2328" s="82"/>
      <c r="B2328" s="87" t="s">
        <v>2766</v>
      </c>
      <c r="C2328" s="87" t="s">
        <v>143</v>
      </c>
      <c r="D2328" s="87" t="s">
        <v>144</v>
      </c>
      <c r="E2328" s="82"/>
    </row>
    <row r="2329" spans="1:5" x14ac:dyDescent="0.15">
      <c r="A2329" s="82"/>
      <c r="B2329" s="87" t="s">
        <v>631</v>
      </c>
      <c r="C2329" s="87" t="s">
        <v>632</v>
      </c>
      <c r="D2329" s="87" t="s">
        <v>633</v>
      </c>
      <c r="E2329" s="82"/>
    </row>
    <row r="2330" spans="1:5" x14ac:dyDescent="0.15">
      <c r="A2330" s="82"/>
      <c r="B2330" s="87" t="s">
        <v>233</v>
      </c>
      <c r="C2330" s="87" t="s">
        <v>234</v>
      </c>
      <c r="D2330" s="87" t="s">
        <v>235</v>
      </c>
      <c r="E2330" s="82"/>
    </row>
    <row r="2331" spans="1:5" x14ac:dyDescent="0.15">
      <c r="A2331" s="82"/>
      <c r="B2331" s="87" t="s">
        <v>236</v>
      </c>
      <c r="C2331" s="87" t="s">
        <v>237</v>
      </c>
      <c r="D2331" s="87" t="s">
        <v>238</v>
      </c>
      <c r="E2331" s="82"/>
    </row>
    <row r="2332" spans="1:5" x14ac:dyDescent="0.15">
      <c r="A2332" s="82"/>
      <c r="B2332" s="87" t="s">
        <v>145</v>
      </c>
      <c r="C2332" s="87" t="s">
        <v>146</v>
      </c>
      <c r="D2332" s="87" t="s">
        <v>147</v>
      </c>
      <c r="E2332" s="82"/>
    </row>
    <row r="2333" spans="1:5" x14ac:dyDescent="0.15">
      <c r="A2333" s="82"/>
      <c r="B2333" s="87" t="s">
        <v>634</v>
      </c>
      <c r="C2333" s="87" t="s">
        <v>635</v>
      </c>
      <c r="D2333" s="87" t="s">
        <v>636</v>
      </c>
      <c r="E2333" s="82"/>
    </row>
    <row r="2334" spans="1:5" x14ac:dyDescent="0.15">
      <c r="A2334" s="82"/>
      <c r="B2334" s="87" t="s">
        <v>802</v>
      </c>
      <c r="C2334" s="87" t="s">
        <v>803</v>
      </c>
      <c r="D2334" s="87" t="s">
        <v>804</v>
      </c>
      <c r="E2334" s="82"/>
    </row>
    <row r="2335" spans="1:5" x14ac:dyDescent="0.15">
      <c r="A2335" s="82"/>
      <c r="B2335" s="87" t="s">
        <v>989</v>
      </c>
      <c r="C2335" s="87" t="s">
        <v>990</v>
      </c>
      <c r="D2335" s="87" t="s">
        <v>991</v>
      </c>
      <c r="E2335" s="82"/>
    </row>
    <row r="2336" spans="1:5" x14ac:dyDescent="0.15">
      <c r="A2336" s="82"/>
      <c r="B2336" s="87" t="s">
        <v>814</v>
      </c>
      <c r="C2336" s="87" t="s">
        <v>815</v>
      </c>
      <c r="D2336" s="87" t="s">
        <v>816</v>
      </c>
      <c r="E2336" s="82"/>
    </row>
    <row r="2337" spans="1:5" x14ac:dyDescent="0.15">
      <c r="A2337" s="82"/>
      <c r="B2337" s="87" t="s">
        <v>1338</v>
      </c>
      <c r="C2337" s="87" t="s">
        <v>1339</v>
      </c>
      <c r="D2337" s="87" t="s">
        <v>1340</v>
      </c>
      <c r="E2337" s="82"/>
    </row>
    <row r="2338" spans="1:5" x14ac:dyDescent="0.15">
      <c r="A2338" s="82"/>
      <c r="B2338" s="87" t="s">
        <v>1343</v>
      </c>
      <c r="C2338" s="87" t="s">
        <v>1344</v>
      </c>
      <c r="D2338" s="87" t="s">
        <v>1345</v>
      </c>
      <c r="E2338" s="82"/>
    </row>
    <row r="2339" spans="1:5" x14ac:dyDescent="0.15">
      <c r="A2339" s="82"/>
      <c r="B2339" s="87" t="s">
        <v>817</v>
      </c>
      <c r="C2339" s="87" t="s">
        <v>818</v>
      </c>
      <c r="D2339" s="87" t="s">
        <v>819</v>
      </c>
      <c r="E2339" s="82"/>
    </row>
    <row r="2340" spans="1:5" x14ac:dyDescent="0.15">
      <c r="A2340" s="82"/>
      <c r="B2340" s="87" t="s">
        <v>239</v>
      </c>
      <c r="C2340" s="87" t="s">
        <v>240</v>
      </c>
      <c r="D2340" s="87" t="s">
        <v>241</v>
      </c>
      <c r="E2340" s="82"/>
    </row>
    <row r="2341" spans="1:5" x14ac:dyDescent="0.15">
      <c r="A2341" s="82"/>
      <c r="B2341" s="87" t="s">
        <v>820</v>
      </c>
      <c r="C2341" s="87" t="s">
        <v>821</v>
      </c>
      <c r="D2341" s="87" t="s">
        <v>822</v>
      </c>
      <c r="E2341" s="82"/>
    </row>
    <row r="2342" spans="1:5" x14ac:dyDescent="0.15">
      <c r="A2342" s="82"/>
      <c r="B2342" s="87" t="s">
        <v>2767</v>
      </c>
      <c r="C2342" s="87" t="s">
        <v>151</v>
      </c>
      <c r="D2342" s="87" t="s">
        <v>152</v>
      </c>
      <c r="E2342" s="82"/>
    </row>
    <row r="2343" spans="1:5" x14ac:dyDescent="0.15">
      <c r="A2343" s="82"/>
      <c r="B2343" s="87" t="s">
        <v>823</v>
      </c>
      <c r="C2343" s="87" t="s">
        <v>824</v>
      </c>
      <c r="D2343" s="87" t="s">
        <v>1484</v>
      </c>
      <c r="E2343" s="82"/>
    </row>
    <row r="2344" spans="1:5" x14ac:dyDescent="0.15">
      <c r="A2344" s="82"/>
      <c r="B2344" s="87" t="s">
        <v>674</v>
      </c>
      <c r="C2344" s="87" t="s">
        <v>675</v>
      </c>
      <c r="D2344" s="87" t="s">
        <v>1483</v>
      </c>
      <c r="E2344" s="82"/>
    </row>
    <row r="2345" spans="1:5" x14ac:dyDescent="0.15">
      <c r="A2345" s="82"/>
      <c r="B2345" s="79" t="s">
        <v>1473</v>
      </c>
      <c r="C2345" s="80" t="s">
        <v>1415</v>
      </c>
      <c r="D2345" s="80" t="s">
        <v>1462</v>
      </c>
      <c r="E2345" s="80"/>
    </row>
    <row r="2346" spans="1:5" x14ac:dyDescent="0.15">
      <c r="A2346" s="82"/>
      <c r="B2346" s="87" t="s">
        <v>214</v>
      </c>
      <c r="C2346" s="87" t="s">
        <v>215</v>
      </c>
      <c r="D2346" s="87" t="s">
        <v>1489</v>
      </c>
      <c r="E2346" s="82"/>
    </row>
    <row r="2347" spans="1:5" x14ac:dyDescent="0.15">
      <c r="A2347" s="82"/>
      <c r="B2347" s="87" t="s">
        <v>863</v>
      </c>
      <c r="C2347" s="87" t="s">
        <v>864</v>
      </c>
      <c r="D2347" s="87" t="s">
        <v>865</v>
      </c>
      <c r="E2347" s="82"/>
    </row>
    <row r="2348" spans="1:5" x14ac:dyDescent="0.15">
      <c r="A2348" s="82"/>
      <c r="B2348" s="87" t="s">
        <v>79</v>
      </c>
      <c r="C2348" s="87" t="s">
        <v>80</v>
      </c>
      <c r="D2348" s="87" t="s">
        <v>1488</v>
      </c>
      <c r="E2348" s="82"/>
    </row>
    <row r="2349" spans="1:5" x14ac:dyDescent="0.15">
      <c r="A2349" s="82"/>
      <c r="B2349" s="87" t="s">
        <v>219</v>
      </c>
      <c r="C2349" s="87" t="s">
        <v>220</v>
      </c>
      <c r="D2349" s="87" t="s">
        <v>219</v>
      </c>
      <c r="E2349" s="82"/>
    </row>
    <row r="2350" spans="1:5" x14ac:dyDescent="0.15">
      <c r="A2350" s="82"/>
      <c r="B2350" s="87" t="s">
        <v>123</v>
      </c>
      <c r="C2350" s="87" t="s">
        <v>124</v>
      </c>
      <c r="D2350" s="87" t="s">
        <v>1487</v>
      </c>
      <c r="E2350" s="82"/>
    </row>
    <row r="2351" spans="1:5" x14ac:dyDescent="0.15">
      <c r="A2351" s="82"/>
      <c r="B2351" s="87" t="s">
        <v>948</v>
      </c>
      <c r="C2351" s="87" t="s">
        <v>949</v>
      </c>
      <c r="D2351" s="87" t="s">
        <v>1486</v>
      </c>
      <c r="E2351" s="82"/>
    </row>
    <row r="2352" spans="1:5" x14ac:dyDescent="0.15">
      <c r="A2352" s="82"/>
      <c r="B2352" s="87" t="s">
        <v>585</v>
      </c>
      <c r="C2352" s="87" t="s">
        <v>586</v>
      </c>
      <c r="D2352" s="87" t="s">
        <v>1485</v>
      </c>
      <c r="E2352" s="82"/>
    </row>
    <row r="2353" spans="1:5" x14ac:dyDescent="0.15">
      <c r="A2353" s="82"/>
      <c r="B2353" s="87" t="s">
        <v>657</v>
      </c>
      <c r="C2353" s="87" t="s">
        <v>658</v>
      </c>
      <c r="D2353" s="87" t="s">
        <v>657</v>
      </c>
      <c r="E2353" s="82"/>
    </row>
    <row r="2354" spans="1:5" x14ac:dyDescent="0.15">
      <c r="A2354" s="82"/>
      <c r="B2354" s="87" t="s">
        <v>383</v>
      </c>
      <c r="C2354" s="87" t="s">
        <v>384</v>
      </c>
      <c r="D2354" s="87" t="s">
        <v>2181</v>
      </c>
      <c r="E2354" s="82"/>
    </row>
    <row r="2355" spans="1:5" x14ac:dyDescent="0.15">
      <c r="A2355" s="82"/>
      <c r="B2355" s="87" t="s">
        <v>725</v>
      </c>
      <c r="C2355" s="87" t="s">
        <v>726</v>
      </c>
      <c r="D2355" s="87" t="s">
        <v>727</v>
      </c>
      <c r="E2355" s="82"/>
    </row>
    <row r="2356" spans="1:5" x14ac:dyDescent="0.15">
      <c r="A2356" s="82"/>
      <c r="B2356" s="79" t="s">
        <v>1473</v>
      </c>
      <c r="C2356" s="80" t="s">
        <v>1415</v>
      </c>
      <c r="D2356" s="80" t="s">
        <v>1463</v>
      </c>
      <c r="E2356" s="80"/>
    </row>
    <row r="2357" spans="1:5" x14ac:dyDescent="0.15">
      <c r="A2357" s="82"/>
      <c r="B2357" s="87" t="s">
        <v>530</v>
      </c>
      <c r="C2357" s="87" t="s">
        <v>531</v>
      </c>
      <c r="D2357" s="87" t="s">
        <v>1626</v>
      </c>
      <c r="E2357" s="82"/>
    </row>
    <row r="2358" spans="1:5" x14ac:dyDescent="0.15">
      <c r="A2358" s="82"/>
      <c r="B2358" s="87" t="s">
        <v>541</v>
      </c>
      <c r="C2358" s="87" t="s">
        <v>542</v>
      </c>
      <c r="D2358" s="87" t="s">
        <v>1632</v>
      </c>
      <c r="E2358" s="82"/>
    </row>
    <row r="2359" spans="1:5" x14ac:dyDescent="0.15">
      <c r="A2359" s="82"/>
      <c r="B2359" s="87" t="s">
        <v>908</v>
      </c>
      <c r="C2359" s="87" t="s">
        <v>909</v>
      </c>
      <c r="D2359" s="87" t="s">
        <v>1633</v>
      </c>
      <c r="E2359" s="82"/>
    </row>
    <row r="2360" spans="1:5" x14ac:dyDescent="0.15">
      <c r="A2360" s="82"/>
      <c r="B2360" s="87" t="s">
        <v>1205</v>
      </c>
      <c r="C2360" s="87" t="s">
        <v>1206</v>
      </c>
      <c r="D2360" s="87" t="s">
        <v>2123</v>
      </c>
      <c r="E2360" s="82"/>
    </row>
    <row r="2361" spans="1:5" x14ac:dyDescent="0.15">
      <c r="A2361" s="82"/>
      <c r="B2361" s="87" t="s">
        <v>1222</v>
      </c>
      <c r="C2361" s="87" t="s">
        <v>1223</v>
      </c>
      <c r="D2361" s="87" t="s">
        <v>2187</v>
      </c>
      <c r="E2361" s="82"/>
    </row>
    <row r="2362" spans="1:5" x14ac:dyDescent="0.15">
      <c r="A2362" s="82"/>
      <c r="B2362" s="87" t="s">
        <v>582</v>
      </c>
      <c r="C2362" s="87" t="s">
        <v>583</v>
      </c>
      <c r="D2362" s="87" t="s">
        <v>2188</v>
      </c>
      <c r="E2362" s="82"/>
    </row>
    <row r="2363" spans="1:5" x14ac:dyDescent="0.15">
      <c r="A2363" s="82"/>
      <c r="B2363" s="79" t="s">
        <v>1473</v>
      </c>
      <c r="C2363" s="80" t="s">
        <v>1415</v>
      </c>
      <c r="D2363" s="80" t="s">
        <v>1464</v>
      </c>
      <c r="E2363" s="80"/>
    </row>
    <row r="2364" spans="1:5" x14ac:dyDescent="0.15">
      <c r="A2364" s="82"/>
      <c r="B2364" s="87" t="s">
        <v>1166</v>
      </c>
      <c r="C2364" s="87" t="s">
        <v>1167</v>
      </c>
      <c r="D2364" s="87" t="s">
        <v>1168</v>
      </c>
      <c r="E2364" s="82"/>
    </row>
    <row r="2365" spans="1:5" x14ac:dyDescent="0.15">
      <c r="A2365" s="82"/>
      <c r="B2365" s="87" t="s">
        <v>897</v>
      </c>
      <c r="C2365" s="87" t="s">
        <v>898</v>
      </c>
      <c r="D2365" s="87" t="s">
        <v>899</v>
      </c>
      <c r="E2365" s="82"/>
    </row>
    <row r="2366" spans="1:5" x14ac:dyDescent="0.15">
      <c r="A2366" s="82"/>
      <c r="B2366" s="87" t="s">
        <v>288</v>
      </c>
      <c r="C2366" s="87" t="s">
        <v>289</v>
      </c>
      <c r="D2366" s="87" t="s">
        <v>290</v>
      </c>
      <c r="E2366" s="82"/>
    </row>
    <row r="2367" spans="1:5" x14ac:dyDescent="0.15">
      <c r="A2367" s="82"/>
      <c r="B2367" s="87" t="s">
        <v>293</v>
      </c>
      <c r="C2367" s="87" t="s">
        <v>294</v>
      </c>
      <c r="D2367" s="87" t="s">
        <v>295</v>
      </c>
      <c r="E2367" s="82"/>
    </row>
    <row r="2368" spans="1:5" x14ac:dyDescent="0.15">
      <c r="A2368" s="82"/>
      <c r="B2368" s="87" t="s">
        <v>329</v>
      </c>
      <c r="C2368" s="87" t="s">
        <v>330</v>
      </c>
      <c r="D2368" s="87" t="s">
        <v>331</v>
      </c>
      <c r="E2368" s="82"/>
    </row>
    <row r="2369" spans="1:5" x14ac:dyDescent="0.15">
      <c r="A2369" s="82"/>
      <c r="B2369" s="87" t="s">
        <v>945</v>
      </c>
      <c r="C2369" s="87" t="s">
        <v>946</v>
      </c>
      <c r="D2369" s="87" t="s">
        <v>947</v>
      </c>
      <c r="E2369" s="82"/>
    </row>
    <row r="2370" spans="1:5" x14ac:dyDescent="0.15">
      <c r="A2370" s="82"/>
      <c r="B2370" s="87" t="s">
        <v>1275</v>
      </c>
      <c r="C2370" s="87" t="s">
        <v>1276</v>
      </c>
      <c r="D2370" s="87" t="s">
        <v>1277</v>
      </c>
      <c r="E2370" s="82"/>
    </row>
    <row r="2371" spans="1:5" x14ac:dyDescent="0.15">
      <c r="A2371" s="82"/>
      <c r="B2371" s="87" t="s">
        <v>646</v>
      </c>
      <c r="C2371" s="87" t="s">
        <v>647</v>
      </c>
      <c r="D2371" s="87" t="s">
        <v>648</v>
      </c>
      <c r="E2371" s="82"/>
    </row>
    <row r="2372" spans="1:5" x14ac:dyDescent="0.15">
      <c r="A2372" s="82"/>
      <c r="B2372" s="79" t="s">
        <v>1473</v>
      </c>
      <c r="C2372" s="80" t="s">
        <v>1415</v>
      </c>
      <c r="D2372" s="80" t="s">
        <v>1465</v>
      </c>
      <c r="E2372" s="80"/>
    </row>
    <row r="2373" spans="1:5" x14ac:dyDescent="0.15">
      <c r="A2373" s="82"/>
      <c r="B2373" s="87" t="s">
        <v>573</v>
      </c>
      <c r="C2373" s="87" t="s">
        <v>574</v>
      </c>
      <c r="D2373" s="87" t="s">
        <v>575</v>
      </c>
      <c r="E2373" s="82"/>
    </row>
    <row r="2374" spans="1:5" x14ac:dyDescent="0.15">
      <c r="A2374" s="82"/>
      <c r="B2374" s="87" t="s">
        <v>1228</v>
      </c>
      <c r="C2374" s="87" t="s">
        <v>1229</v>
      </c>
      <c r="D2374" s="87" t="s">
        <v>1230</v>
      </c>
      <c r="E2374" s="82"/>
    </row>
    <row r="2375" spans="1:5" x14ac:dyDescent="0.15">
      <c r="A2375" s="82"/>
      <c r="B2375" s="87" t="s">
        <v>1466</v>
      </c>
      <c r="C2375" s="87" t="s">
        <v>987</v>
      </c>
      <c r="D2375" s="87" t="s">
        <v>1467</v>
      </c>
      <c r="E2375" s="82"/>
    </row>
    <row r="2376" spans="1:5" x14ac:dyDescent="0.15">
      <c r="A2376" s="82"/>
      <c r="B2376" s="87" t="s">
        <v>326</v>
      </c>
      <c r="C2376" s="87" t="s">
        <v>327</v>
      </c>
      <c r="D2376" s="87" t="s">
        <v>328</v>
      </c>
      <c r="E2376" s="82"/>
    </row>
    <row r="2377" spans="1:5" x14ac:dyDescent="0.15">
      <c r="A2377" s="82"/>
      <c r="B2377" s="87" t="s">
        <v>771</v>
      </c>
      <c r="C2377" s="87" t="s">
        <v>772</v>
      </c>
      <c r="D2377" s="87" t="s">
        <v>773</v>
      </c>
      <c r="E2377" s="82"/>
    </row>
    <row r="2378" spans="1:5" x14ac:dyDescent="0.15">
      <c r="A2378" s="82"/>
      <c r="B2378" s="87" t="s">
        <v>576</v>
      </c>
      <c r="C2378" s="87" t="s">
        <v>577</v>
      </c>
      <c r="D2378" s="87" t="s">
        <v>578</v>
      </c>
      <c r="E2378" s="82"/>
    </row>
    <row r="2379" spans="1:5" x14ac:dyDescent="0.15">
      <c r="A2379" s="82"/>
      <c r="B2379" s="87" t="s">
        <v>974</v>
      </c>
      <c r="C2379" s="87" t="s">
        <v>975</v>
      </c>
      <c r="D2379" s="87" t="s">
        <v>976</v>
      </c>
      <c r="E2379" s="82"/>
    </row>
    <row r="2380" spans="1:5" x14ac:dyDescent="0.15">
      <c r="A2380" s="82"/>
      <c r="B2380" s="87" t="s">
        <v>811</v>
      </c>
      <c r="C2380" s="87" t="s">
        <v>812</v>
      </c>
      <c r="D2380" s="87" t="s">
        <v>813</v>
      </c>
      <c r="E2380" s="82"/>
    </row>
    <row r="2381" spans="1:5" x14ac:dyDescent="0.15">
      <c r="A2381" s="82"/>
      <c r="B2381" s="87" t="s">
        <v>415</v>
      </c>
      <c r="C2381" s="87" t="s">
        <v>416</v>
      </c>
      <c r="D2381" s="87" t="s">
        <v>415</v>
      </c>
      <c r="E2381" s="82"/>
    </row>
    <row r="2382" spans="1:5" x14ac:dyDescent="0.15">
      <c r="A2382" s="82"/>
      <c r="B2382" s="87" t="s">
        <v>1396</v>
      </c>
      <c r="C2382" s="87" t="s">
        <v>1397</v>
      </c>
      <c r="D2382" s="87" t="s">
        <v>1396</v>
      </c>
      <c r="E2382" s="82"/>
    </row>
    <row r="2383" spans="1:5" x14ac:dyDescent="0.15">
      <c r="A2383" s="82"/>
      <c r="B2383" s="87" t="s">
        <v>1398</v>
      </c>
      <c r="C2383" s="87" t="s">
        <v>1399</v>
      </c>
      <c r="D2383" s="87" t="s">
        <v>1398</v>
      </c>
      <c r="E2383" s="82"/>
    </row>
    <row r="2384" spans="1:5" x14ac:dyDescent="0.15">
      <c r="A2384" s="82"/>
      <c r="B2384" s="79" t="s">
        <v>1468</v>
      </c>
      <c r="C2384" s="80" t="s">
        <v>1415</v>
      </c>
      <c r="D2384" s="80" t="s">
        <v>1469</v>
      </c>
      <c r="E2384" s="80"/>
    </row>
    <row r="2385" spans="1:5" x14ac:dyDescent="0.15">
      <c r="A2385" s="82"/>
      <c r="B2385" s="87" t="s">
        <v>905</v>
      </c>
      <c r="C2385" s="87" t="s">
        <v>906</v>
      </c>
      <c r="D2385" s="87" t="s">
        <v>907</v>
      </c>
      <c r="E2385" s="82"/>
    </row>
    <row r="2386" spans="1:5" x14ac:dyDescent="0.15">
      <c r="A2386" s="82"/>
      <c r="B2386" s="87" t="s">
        <v>779</v>
      </c>
      <c r="C2386" s="87" t="s">
        <v>780</v>
      </c>
      <c r="D2386" s="87" t="s">
        <v>781</v>
      </c>
      <c r="E2386" s="82"/>
    </row>
    <row r="2387" spans="1:5" x14ac:dyDescent="0.15">
      <c r="A2387" s="82"/>
      <c r="B2387" s="79" t="s">
        <v>1491</v>
      </c>
      <c r="C2387" s="80" t="s">
        <v>1415</v>
      </c>
      <c r="D2387" s="80" t="s">
        <v>1470</v>
      </c>
      <c r="E2387" s="80"/>
    </row>
    <row r="2388" spans="1:5" x14ac:dyDescent="0.15">
      <c r="A2388" s="82"/>
      <c r="B2388" s="87" t="s">
        <v>777</v>
      </c>
      <c r="C2388" s="87" t="s">
        <v>778</v>
      </c>
      <c r="D2388" s="87" t="s">
        <v>777</v>
      </c>
      <c r="E2388" s="82"/>
    </row>
    <row r="2389" spans="1:5" x14ac:dyDescent="0.15">
      <c r="A2389" s="82"/>
      <c r="B2389" s="87" t="s">
        <v>1278</v>
      </c>
      <c r="C2389" s="87" t="s">
        <v>1279</v>
      </c>
      <c r="D2389" s="87" t="s">
        <v>1280</v>
      </c>
      <c r="E2389" s="82"/>
    </row>
    <row r="2390" spans="1:5" x14ac:dyDescent="0.15">
      <c r="A2390" s="82"/>
      <c r="B2390" s="79" t="s">
        <v>1492</v>
      </c>
      <c r="C2390" s="80" t="s">
        <v>1415</v>
      </c>
      <c r="D2390" s="80"/>
      <c r="E2390" s="80"/>
    </row>
    <row r="2391" spans="1:5" x14ac:dyDescent="0.15">
      <c r="A2391" s="82"/>
      <c r="B2391" s="87" t="s">
        <v>305</v>
      </c>
      <c r="C2391" s="87" t="s">
        <v>306</v>
      </c>
      <c r="D2391" s="87" t="s">
        <v>307</v>
      </c>
      <c r="E2391" s="82"/>
    </row>
    <row r="2392" spans="1:5" x14ac:dyDescent="0.15">
      <c r="A2392" s="82"/>
      <c r="B2392" s="87" t="s">
        <v>546</v>
      </c>
      <c r="C2392" s="87" t="s">
        <v>547</v>
      </c>
      <c r="D2392" s="87" t="s">
        <v>548</v>
      </c>
      <c r="E2392" s="82"/>
    </row>
    <row r="2393" spans="1:5" x14ac:dyDescent="0.15">
      <c r="A2393" s="82"/>
      <c r="B2393" s="87" t="s">
        <v>549</v>
      </c>
      <c r="C2393" s="87" t="s">
        <v>550</v>
      </c>
      <c r="D2393" s="87" t="s">
        <v>551</v>
      </c>
      <c r="E2393" s="82"/>
    </row>
    <row r="2394" spans="1:5" x14ac:dyDescent="0.15">
      <c r="A2394" s="82"/>
      <c r="B2394" s="87" t="s">
        <v>552</v>
      </c>
      <c r="C2394" s="87" t="s">
        <v>553</v>
      </c>
      <c r="D2394" s="87" t="s">
        <v>554</v>
      </c>
      <c r="E2394" s="82"/>
    </row>
    <row r="2395" spans="1:5" x14ac:dyDescent="0.15">
      <c r="A2395" s="82"/>
      <c r="B2395" s="87" t="s">
        <v>125</v>
      </c>
      <c r="C2395" s="87" t="s">
        <v>126</v>
      </c>
      <c r="D2395" s="87" t="s">
        <v>127</v>
      </c>
      <c r="E2395" s="82"/>
    </row>
    <row r="2396" spans="1:5" x14ac:dyDescent="0.15">
      <c r="A2396" s="82"/>
      <c r="B2396" s="87" t="s">
        <v>555</v>
      </c>
      <c r="C2396" s="87" t="s">
        <v>556</v>
      </c>
      <c r="D2396" s="87" t="s">
        <v>557</v>
      </c>
      <c r="E2396" s="82"/>
    </row>
    <row r="2397" spans="1:5" x14ac:dyDescent="0.15">
      <c r="A2397" s="82"/>
      <c r="B2397" s="87" t="s">
        <v>128</v>
      </c>
      <c r="C2397" s="87" t="s">
        <v>129</v>
      </c>
      <c r="D2397" s="87" t="s">
        <v>130</v>
      </c>
      <c r="E2397" s="82"/>
    </row>
    <row r="2398" spans="1:5" x14ac:dyDescent="0.15">
      <c r="A2398" s="82"/>
      <c r="B2398" s="87" t="s">
        <v>308</v>
      </c>
      <c r="C2398" s="87" t="s">
        <v>309</v>
      </c>
      <c r="D2398" s="87" t="s">
        <v>310</v>
      </c>
      <c r="E2398" s="82"/>
    </row>
    <row r="2399" spans="1:5" x14ac:dyDescent="0.15">
      <c r="A2399" s="82"/>
      <c r="B2399" s="87" t="s">
        <v>311</v>
      </c>
      <c r="C2399" s="87" t="s">
        <v>312</v>
      </c>
      <c r="D2399" s="87" t="s">
        <v>313</v>
      </c>
      <c r="E2399" s="82"/>
    </row>
    <row r="2400" spans="1:5" x14ac:dyDescent="0.15">
      <c r="A2400" s="82"/>
      <c r="B2400" s="87" t="s">
        <v>915</v>
      </c>
      <c r="C2400" s="87" t="s">
        <v>916</v>
      </c>
      <c r="D2400" s="87" t="s">
        <v>917</v>
      </c>
      <c r="E2400" s="82"/>
    </row>
    <row r="2401" spans="1:5" x14ac:dyDescent="0.15">
      <c r="A2401" s="82"/>
      <c r="B2401" s="87" t="s">
        <v>759</v>
      </c>
      <c r="C2401" s="87" t="s">
        <v>760</v>
      </c>
      <c r="D2401" s="87" t="s">
        <v>761</v>
      </c>
      <c r="E2401" s="82"/>
    </row>
    <row r="2402" spans="1:5" x14ac:dyDescent="0.15">
      <c r="A2402" s="82"/>
      <c r="B2402" s="87" t="s">
        <v>918</v>
      </c>
      <c r="C2402" s="87" t="s">
        <v>919</v>
      </c>
      <c r="D2402" s="87" t="s">
        <v>920</v>
      </c>
      <c r="E2402" s="82"/>
    </row>
    <row r="2403" spans="1:5" x14ac:dyDescent="0.15">
      <c r="A2403" s="82"/>
      <c r="B2403" s="87" t="s">
        <v>762</v>
      </c>
      <c r="C2403" s="87" t="s">
        <v>763</v>
      </c>
      <c r="D2403" s="87" t="s">
        <v>764</v>
      </c>
      <c r="E2403" s="82"/>
    </row>
    <row r="2404" spans="1:5" x14ac:dyDescent="0.15">
      <c r="A2404" s="82"/>
      <c r="B2404" s="87" t="s">
        <v>558</v>
      </c>
      <c r="C2404" s="87" t="s">
        <v>559</v>
      </c>
      <c r="D2404" s="87" t="s">
        <v>560</v>
      </c>
      <c r="E2404" s="82"/>
    </row>
    <row r="2405" spans="1:5" x14ac:dyDescent="0.15">
      <c r="A2405" s="82"/>
      <c r="B2405" s="87" t="s">
        <v>131</v>
      </c>
      <c r="C2405" s="87" t="s">
        <v>132</v>
      </c>
      <c r="D2405" s="87" t="s">
        <v>133</v>
      </c>
      <c r="E2405" s="82"/>
    </row>
    <row r="2406" spans="1:5" x14ac:dyDescent="0.15">
      <c r="A2406" s="82"/>
      <c r="B2406" s="87" t="s">
        <v>561</v>
      </c>
      <c r="C2406" s="87" t="s">
        <v>562</v>
      </c>
      <c r="D2406" s="87" t="s">
        <v>563</v>
      </c>
      <c r="E2406" s="82"/>
    </row>
    <row r="2407" spans="1:5" x14ac:dyDescent="0.15">
      <c r="A2407" s="82"/>
      <c r="B2407" s="87" t="s">
        <v>921</v>
      </c>
      <c r="C2407" s="87" t="s">
        <v>922</v>
      </c>
      <c r="D2407" s="87" t="s">
        <v>923</v>
      </c>
      <c r="E2407" s="82"/>
    </row>
    <row r="2408" spans="1:5" x14ac:dyDescent="0.15">
      <c r="A2408" s="82"/>
      <c r="B2408" s="87" t="s">
        <v>314</v>
      </c>
      <c r="C2408" s="87" t="s">
        <v>315</v>
      </c>
      <c r="D2408" s="87" t="s">
        <v>316</v>
      </c>
      <c r="E2408" s="82"/>
    </row>
    <row r="2409" spans="1:5" x14ac:dyDescent="0.15">
      <c r="A2409" s="82"/>
      <c r="B2409" s="87" t="s">
        <v>927</v>
      </c>
      <c r="C2409" s="87" t="s">
        <v>928</v>
      </c>
      <c r="D2409" s="87" t="s">
        <v>929</v>
      </c>
      <c r="E2409" s="82"/>
    </row>
    <row r="2410" spans="1:5" x14ac:dyDescent="0.15">
      <c r="A2410" s="82"/>
      <c r="B2410" s="87" t="s">
        <v>930</v>
      </c>
      <c r="C2410" s="87" t="s">
        <v>931</v>
      </c>
      <c r="D2410" s="87" t="s">
        <v>932</v>
      </c>
      <c r="E2410" s="82"/>
    </row>
    <row r="2411" spans="1:5" x14ac:dyDescent="0.15">
      <c r="A2411" s="82"/>
      <c r="B2411" s="87" t="s">
        <v>1231</v>
      </c>
      <c r="C2411" s="87" t="s">
        <v>1232</v>
      </c>
      <c r="D2411" s="87" t="s">
        <v>1233</v>
      </c>
      <c r="E2411" s="82"/>
    </row>
    <row r="2412" spans="1:5" x14ac:dyDescent="0.15">
      <c r="A2412" s="82"/>
      <c r="B2412" s="87" t="s">
        <v>942</v>
      </c>
      <c r="C2412" s="87" t="s">
        <v>943</v>
      </c>
      <c r="D2412" s="87" t="s">
        <v>944</v>
      </c>
      <c r="E2412" s="82"/>
    </row>
    <row r="2413" spans="1:5" x14ac:dyDescent="0.15">
      <c r="A2413" s="82"/>
      <c r="B2413" s="87" t="s">
        <v>1234</v>
      </c>
      <c r="C2413" s="87" t="s">
        <v>1235</v>
      </c>
      <c r="D2413" s="87" t="s">
        <v>1236</v>
      </c>
      <c r="E2413" s="82"/>
    </row>
    <row r="2414" spans="1:5" x14ac:dyDescent="0.15">
      <c r="A2414" s="82"/>
      <c r="B2414" s="79" t="s">
        <v>1587</v>
      </c>
      <c r="C2414" s="80" t="s">
        <v>1415</v>
      </c>
      <c r="D2414" s="80"/>
      <c r="E2414" s="80"/>
    </row>
    <row r="2415" spans="1:5" x14ac:dyDescent="0.15">
      <c r="A2415" s="82"/>
      <c r="B2415" s="87" t="s">
        <v>1082</v>
      </c>
      <c r="C2415" s="87" t="s">
        <v>1083</v>
      </c>
      <c r="D2415" s="87" t="s">
        <v>1084</v>
      </c>
      <c r="E2415" s="82"/>
    </row>
    <row r="2416" spans="1:5" x14ac:dyDescent="0.15">
      <c r="A2416" s="82"/>
      <c r="B2416" s="87" t="s">
        <v>1085</v>
      </c>
      <c r="C2416" s="87" t="s">
        <v>1086</v>
      </c>
      <c r="D2416" s="87" t="s">
        <v>1087</v>
      </c>
      <c r="E2416" s="82"/>
    </row>
    <row r="2417" spans="1:5" x14ac:dyDescent="0.15">
      <c r="A2417" s="82"/>
      <c r="B2417" s="87" t="s">
        <v>1131</v>
      </c>
      <c r="C2417" s="87" t="s">
        <v>1132</v>
      </c>
      <c r="D2417" s="87" t="s">
        <v>1133</v>
      </c>
      <c r="E2417" s="82"/>
    </row>
    <row r="2418" spans="1:5" x14ac:dyDescent="0.15">
      <c r="A2418" s="82"/>
      <c r="B2418" s="87" t="s">
        <v>506</v>
      </c>
      <c r="C2418" s="87" t="s">
        <v>507</v>
      </c>
      <c r="D2418" s="87" t="s">
        <v>508</v>
      </c>
      <c r="E2418" s="82"/>
    </row>
    <row r="2419" spans="1:5" x14ac:dyDescent="0.15">
      <c r="A2419" s="82"/>
      <c r="B2419" s="87" t="s">
        <v>1134</v>
      </c>
      <c r="C2419" s="87" t="s">
        <v>1135</v>
      </c>
      <c r="D2419" s="87" t="s">
        <v>1136</v>
      </c>
      <c r="E2419" s="82"/>
    </row>
    <row r="2420" spans="1:5" x14ac:dyDescent="0.15">
      <c r="A2420" s="82"/>
      <c r="B2420" s="87" t="s">
        <v>894</v>
      </c>
      <c r="C2420" s="87" t="s">
        <v>895</v>
      </c>
      <c r="D2420" s="87" t="s">
        <v>896</v>
      </c>
      <c r="E2420" s="82"/>
    </row>
    <row r="2421" spans="1:5" x14ac:dyDescent="0.15">
      <c r="A2421" s="82"/>
      <c r="B2421" s="87" t="s">
        <v>1171</v>
      </c>
      <c r="C2421" s="87" t="s">
        <v>1172</v>
      </c>
      <c r="D2421" s="87" t="s">
        <v>1173</v>
      </c>
      <c r="E2421" s="82"/>
    </row>
    <row r="2422" spans="1:5" x14ac:dyDescent="0.15">
      <c r="A2422" s="82"/>
      <c r="B2422" s="87" t="s">
        <v>285</v>
      </c>
      <c r="C2422" s="87" t="s">
        <v>286</v>
      </c>
      <c r="D2422" s="87" t="s">
        <v>287</v>
      </c>
      <c r="E2422" s="82"/>
    </row>
    <row r="2423" spans="1:5" x14ac:dyDescent="0.15">
      <c r="A2423" s="82"/>
      <c r="B2423" s="87" t="s">
        <v>1174</v>
      </c>
      <c r="C2423" s="87" t="s">
        <v>1175</v>
      </c>
      <c r="D2423" s="87" t="s">
        <v>1176</v>
      </c>
      <c r="E2423" s="82"/>
    </row>
    <row r="2424" spans="1:5" x14ac:dyDescent="0.15">
      <c r="A2424" s="82"/>
      <c r="B2424" s="87" t="s">
        <v>1193</v>
      </c>
      <c r="C2424" s="87" t="s">
        <v>1194</v>
      </c>
      <c r="D2424" s="87" t="s">
        <v>1195</v>
      </c>
      <c r="E2424" s="82"/>
    </row>
    <row r="2425" spans="1:5" x14ac:dyDescent="0.15">
      <c r="A2425" s="82"/>
      <c r="B2425" s="87" t="s">
        <v>1196</v>
      </c>
      <c r="C2425" s="87" t="s">
        <v>1197</v>
      </c>
      <c r="D2425" s="87" t="s">
        <v>1198</v>
      </c>
      <c r="E2425" s="82"/>
    </row>
    <row r="2426" spans="1:5" x14ac:dyDescent="0.15">
      <c r="A2426" s="82"/>
      <c r="B2426" s="87" t="s">
        <v>299</v>
      </c>
      <c r="C2426" s="87" t="s">
        <v>300</v>
      </c>
      <c r="D2426" s="87" t="s">
        <v>301</v>
      </c>
      <c r="E2426" s="82"/>
    </row>
    <row r="2427" spans="1:5" x14ac:dyDescent="0.15">
      <c r="A2427" s="82"/>
      <c r="B2427" s="87" t="s">
        <v>1199</v>
      </c>
      <c r="C2427" s="87" t="s">
        <v>1200</v>
      </c>
      <c r="D2427" s="87" t="s">
        <v>1201</v>
      </c>
      <c r="E2427" s="82"/>
    </row>
    <row r="2428" spans="1:5" x14ac:dyDescent="0.15">
      <c r="A2428" s="82"/>
      <c r="B2428" s="87" t="s">
        <v>1202</v>
      </c>
      <c r="C2428" s="87" t="s">
        <v>1203</v>
      </c>
      <c r="D2428" s="87" t="s">
        <v>1204</v>
      </c>
      <c r="E2428" s="82"/>
    </row>
    <row r="2429" spans="1:5" x14ac:dyDescent="0.15">
      <c r="A2429" s="82"/>
      <c r="B2429" s="87" t="s">
        <v>910</v>
      </c>
      <c r="C2429" s="87" t="s">
        <v>911</v>
      </c>
      <c r="D2429" s="87" t="s">
        <v>912</v>
      </c>
      <c r="E2429" s="82"/>
    </row>
    <row r="2430" spans="1:5" x14ac:dyDescent="0.15">
      <c r="A2430" s="82"/>
      <c r="B2430" s="87" t="s">
        <v>1207</v>
      </c>
      <c r="C2430" s="87" t="s">
        <v>1208</v>
      </c>
      <c r="D2430" s="87" t="s">
        <v>1209</v>
      </c>
      <c r="E2430" s="82"/>
    </row>
    <row r="2431" spans="1:5" x14ac:dyDescent="0.15">
      <c r="A2431" s="82"/>
      <c r="B2431" s="87" t="s">
        <v>1210</v>
      </c>
      <c r="C2431" s="87" t="s">
        <v>1211</v>
      </c>
      <c r="D2431" s="87" t="s">
        <v>1212</v>
      </c>
      <c r="E2431" s="82"/>
    </row>
    <row r="2432" spans="1:5" x14ac:dyDescent="0.15">
      <c r="A2432" s="82"/>
      <c r="B2432" s="87" t="s">
        <v>564</v>
      </c>
      <c r="C2432" s="87" t="s">
        <v>565</v>
      </c>
      <c r="D2432" s="87" t="s">
        <v>566</v>
      </c>
      <c r="E2432" s="82"/>
    </row>
    <row r="2433" spans="1:5" x14ac:dyDescent="0.15">
      <c r="A2433" s="82"/>
      <c r="B2433" s="87" t="s">
        <v>567</v>
      </c>
      <c r="C2433" s="87" t="s">
        <v>568</v>
      </c>
      <c r="D2433" s="87" t="s">
        <v>569</v>
      </c>
      <c r="E2433" s="82"/>
    </row>
    <row r="2434" spans="1:5" x14ac:dyDescent="0.15">
      <c r="A2434" s="82"/>
      <c r="B2434" s="87" t="s">
        <v>1213</v>
      </c>
      <c r="C2434" s="87" t="s">
        <v>1214</v>
      </c>
      <c r="D2434" s="87" t="s">
        <v>1215</v>
      </c>
      <c r="E2434" s="82"/>
    </row>
    <row r="2435" spans="1:5" x14ac:dyDescent="0.15">
      <c r="A2435" s="82"/>
      <c r="B2435" s="87" t="s">
        <v>1219</v>
      </c>
      <c r="C2435" s="87" t="s">
        <v>1220</v>
      </c>
      <c r="D2435" s="87" t="s">
        <v>1221</v>
      </c>
      <c r="E2435" s="82"/>
    </row>
    <row r="2436" spans="1:5" x14ac:dyDescent="0.15">
      <c r="A2436" s="82"/>
      <c r="B2436" s="87" t="s">
        <v>1225</v>
      </c>
      <c r="C2436" s="87" t="s">
        <v>1226</v>
      </c>
      <c r="D2436" s="87" t="s">
        <v>1227</v>
      </c>
      <c r="E2436" s="82"/>
    </row>
    <row r="2437" spans="1:5" x14ac:dyDescent="0.15">
      <c r="A2437" s="82"/>
      <c r="B2437" s="87" t="s">
        <v>1237</v>
      </c>
      <c r="C2437" s="87" t="s">
        <v>1238</v>
      </c>
      <c r="D2437" s="87" t="s">
        <v>1239</v>
      </c>
      <c r="E2437" s="82"/>
    </row>
    <row r="2438" spans="1:5" x14ac:dyDescent="0.15">
      <c r="A2438" s="82"/>
      <c r="B2438" s="87" t="s">
        <v>1240</v>
      </c>
      <c r="C2438" s="87" t="s">
        <v>1241</v>
      </c>
      <c r="D2438" s="87" t="s">
        <v>1242</v>
      </c>
      <c r="E2438" s="82"/>
    </row>
    <row r="2439" spans="1:5" x14ac:dyDescent="0.15">
      <c r="A2439" s="82"/>
      <c r="B2439" s="87" t="s">
        <v>1243</v>
      </c>
      <c r="C2439" s="87" t="s">
        <v>1244</v>
      </c>
      <c r="D2439" s="87" t="s">
        <v>1245</v>
      </c>
      <c r="E2439" s="82"/>
    </row>
    <row r="2440" spans="1:5" x14ac:dyDescent="0.15">
      <c r="A2440" s="82"/>
      <c r="B2440" s="87" t="s">
        <v>588</v>
      </c>
      <c r="C2440" s="87" t="s">
        <v>589</v>
      </c>
      <c r="D2440" s="87" t="s">
        <v>590</v>
      </c>
      <c r="E2440" s="82"/>
    </row>
    <row r="2441" spans="1:5" x14ac:dyDescent="0.15">
      <c r="A2441" s="82"/>
      <c r="B2441" s="87" t="s">
        <v>951</v>
      </c>
      <c r="C2441" s="87" t="s">
        <v>952</v>
      </c>
      <c r="D2441" s="87" t="s">
        <v>953</v>
      </c>
      <c r="E2441" s="82"/>
    </row>
    <row r="2442" spans="1:5" x14ac:dyDescent="0.15">
      <c r="A2442" s="82"/>
      <c r="B2442" s="87" t="s">
        <v>1246</v>
      </c>
      <c r="C2442" s="87" t="s">
        <v>1247</v>
      </c>
      <c r="D2442" s="87" t="s">
        <v>1248</v>
      </c>
      <c r="E2442" s="82"/>
    </row>
    <row r="2443" spans="1:5" x14ac:dyDescent="0.15">
      <c r="A2443" s="82"/>
      <c r="B2443" s="87" t="s">
        <v>954</v>
      </c>
      <c r="C2443" s="87" t="s">
        <v>955</v>
      </c>
      <c r="D2443" s="87" t="s">
        <v>956</v>
      </c>
      <c r="E2443" s="82"/>
    </row>
    <row r="2444" spans="1:5" x14ac:dyDescent="0.15">
      <c r="A2444" s="82"/>
      <c r="B2444" s="87" t="s">
        <v>591</v>
      </c>
      <c r="C2444" s="87" t="s">
        <v>592</v>
      </c>
      <c r="D2444" s="87" t="s">
        <v>593</v>
      </c>
      <c r="E2444" s="82"/>
    </row>
    <row r="2445" spans="1:5" x14ac:dyDescent="0.15">
      <c r="A2445" s="82"/>
      <c r="B2445" s="87" t="s">
        <v>1249</v>
      </c>
      <c r="C2445" s="87" t="s">
        <v>1250</v>
      </c>
      <c r="D2445" s="87" t="s">
        <v>1251</v>
      </c>
      <c r="E2445" s="82"/>
    </row>
    <row r="2446" spans="1:5" x14ac:dyDescent="0.15">
      <c r="A2446" s="82"/>
      <c r="B2446" s="87" t="s">
        <v>1252</v>
      </c>
      <c r="C2446" s="87" t="s">
        <v>1253</v>
      </c>
      <c r="D2446" s="87" t="s">
        <v>1254</v>
      </c>
      <c r="E2446" s="82"/>
    </row>
    <row r="2447" spans="1:5" x14ac:dyDescent="0.15">
      <c r="A2447" s="82"/>
      <c r="B2447" s="87" t="s">
        <v>594</v>
      </c>
      <c r="C2447" s="87" t="s">
        <v>595</v>
      </c>
      <c r="D2447" s="87" t="s">
        <v>596</v>
      </c>
      <c r="E2447" s="82"/>
    </row>
    <row r="2448" spans="1:5" x14ac:dyDescent="0.15">
      <c r="A2448" s="82"/>
      <c r="B2448" s="87" t="s">
        <v>335</v>
      </c>
      <c r="C2448" s="87" t="s">
        <v>336</v>
      </c>
      <c r="D2448" s="87" t="s">
        <v>337</v>
      </c>
      <c r="E2448" s="82"/>
    </row>
    <row r="2449" spans="1:5" x14ac:dyDescent="0.15">
      <c r="A2449" s="82"/>
      <c r="B2449" s="87" t="s">
        <v>1255</v>
      </c>
      <c r="C2449" s="87" t="s">
        <v>1256</v>
      </c>
      <c r="D2449" s="87" t="s">
        <v>1257</v>
      </c>
      <c r="E2449" s="82"/>
    </row>
    <row r="2450" spans="1:5" x14ac:dyDescent="0.15">
      <c r="A2450" s="82"/>
      <c r="B2450" s="87" t="s">
        <v>1258</v>
      </c>
      <c r="C2450" s="87" t="s">
        <v>1259</v>
      </c>
      <c r="D2450" s="87" t="s">
        <v>1260</v>
      </c>
      <c r="E2450" s="82"/>
    </row>
    <row r="2451" spans="1:5" x14ac:dyDescent="0.15">
      <c r="A2451" s="82"/>
      <c r="B2451" s="87" t="s">
        <v>1261</v>
      </c>
      <c r="C2451" s="87" t="s">
        <v>1262</v>
      </c>
      <c r="D2451" s="87" t="s">
        <v>1263</v>
      </c>
      <c r="E2451" s="82"/>
    </row>
    <row r="2452" spans="1:5" x14ac:dyDescent="0.15">
      <c r="A2452" s="82"/>
      <c r="B2452" s="87" t="s">
        <v>597</v>
      </c>
      <c r="C2452" s="87" t="s">
        <v>598</v>
      </c>
      <c r="D2452" s="87" t="s">
        <v>599</v>
      </c>
      <c r="E2452" s="82"/>
    </row>
    <row r="2453" spans="1:5" x14ac:dyDescent="0.15">
      <c r="A2453" s="82"/>
      <c r="B2453" s="87" t="s">
        <v>1264</v>
      </c>
      <c r="C2453" s="87" t="s">
        <v>1265</v>
      </c>
      <c r="D2453" s="87" t="s">
        <v>1542</v>
      </c>
      <c r="E2453" s="82"/>
    </row>
    <row r="2454" spans="1:5" x14ac:dyDescent="0.15">
      <c r="A2454" s="82"/>
      <c r="B2454" s="87" t="s">
        <v>957</v>
      </c>
      <c r="C2454" s="87" t="s">
        <v>958</v>
      </c>
      <c r="D2454" s="87" t="s">
        <v>1541</v>
      </c>
      <c r="E2454" s="82"/>
    </row>
    <row r="2455" spans="1:5" x14ac:dyDescent="0.15">
      <c r="A2455" s="82"/>
      <c r="B2455" s="87" t="s">
        <v>341</v>
      </c>
      <c r="C2455" s="87" t="s">
        <v>342</v>
      </c>
      <c r="D2455" s="87" t="s">
        <v>1540</v>
      </c>
      <c r="E2455" s="82"/>
    </row>
    <row r="2456" spans="1:5" x14ac:dyDescent="0.15">
      <c r="A2456" s="82"/>
      <c r="B2456" s="87" t="s">
        <v>600</v>
      </c>
      <c r="C2456" s="87" t="s">
        <v>601</v>
      </c>
      <c r="D2456" s="87" t="s">
        <v>1539</v>
      </c>
      <c r="E2456" s="82"/>
    </row>
    <row r="2457" spans="1:5" x14ac:dyDescent="0.15">
      <c r="A2457" s="82"/>
      <c r="B2457" s="87" t="s">
        <v>345</v>
      </c>
      <c r="C2457" s="87" t="s">
        <v>346</v>
      </c>
      <c r="D2457" s="87" t="s">
        <v>347</v>
      </c>
      <c r="E2457" s="82"/>
    </row>
    <row r="2458" spans="1:5" x14ac:dyDescent="0.15">
      <c r="A2458" s="82"/>
      <c r="B2458" s="87" t="s">
        <v>602</v>
      </c>
      <c r="C2458" s="87" t="s">
        <v>603</v>
      </c>
      <c r="D2458" s="87" t="s">
        <v>1538</v>
      </c>
      <c r="E2458" s="82"/>
    </row>
    <row r="2459" spans="1:5" x14ac:dyDescent="0.15">
      <c r="A2459" s="82"/>
      <c r="B2459" s="87" t="s">
        <v>1266</v>
      </c>
      <c r="C2459" s="87" t="s">
        <v>1267</v>
      </c>
      <c r="D2459" s="87" t="s">
        <v>1537</v>
      </c>
      <c r="E2459" s="82"/>
    </row>
    <row r="2460" spans="1:5" x14ac:dyDescent="0.15">
      <c r="A2460" s="82"/>
      <c r="B2460" s="87" t="s">
        <v>1282</v>
      </c>
      <c r="C2460" s="87" t="s">
        <v>1283</v>
      </c>
      <c r="D2460" s="87" t="s">
        <v>1536</v>
      </c>
      <c r="E2460" s="82"/>
    </row>
    <row r="2461" spans="1:5" x14ac:dyDescent="0.15">
      <c r="A2461" s="82"/>
      <c r="B2461" s="87" t="s">
        <v>609</v>
      </c>
      <c r="C2461" s="87" t="s">
        <v>610</v>
      </c>
      <c r="D2461" s="87" t="s">
        <v>1535</v>
      </c>
      <c r="E2461" s="82"/>
    </row>
    <row r="2462" spans="1:5" x14ac:dyDescent="0.15">
      <c r="A2462" s="82"/>
      <c r="B2462" s="87" t="s">
        <v>1341</v>
      </c>
      <c r="C2462" s="87" t="s">
        <v>1342</v>
      </c>
      <c r="D2462" s="87" t="s">
        <v>1534</v>
      </c>
      <c r="E2462" s="82"/>
    </row>
    <row r="2463" spans="1:5" x14ac:dyDescent="0.15">
      <c r="A2463" s="82"/>
      <c r="B2463" s="87" t="s">
        <v>652</v>
      </c>
      <c r="C2463" s="87" t="s">
        <v>653</v>
      </c>
      <c r="D2463" s="87" t="s">
        <v>1533</v>
      </c>
      <c r="E2463" s="82"/>
    </row>
    <row r="2464" spans="1:5" x14ac:dyDescent="0.15">
      <c r="A2464" s="82"/>
      <c r="B2464" s="87" t="s">
        <v>1358</v>
      </c>
      <c r="C2464" s="87"/>
      <c r="D2464" s="87" t="s">
        <v>1359</v>
      </c>
      <c r="E2464" s="82"/>
    </row>
    <row r="2465" spans="1:5" x14ac:dyDescent="0.15">
      <c r="A2465" s="82"/>
      <c r="B2465" s="79" t="s">
        <v>1586</v>
      </c>
      <c r="C2465" s="80" t="s">
        <v>1415</v>
      </c>
      <c r="D2465" s="80"/>
      <c r="E2465" s="80"/>
    </row>
    <row r="2466" spans="1:5" x14ac:dyDescent="0.15">
      <c r="A2466" s="82"/>
      <c r="B2466" s="87" t="s">
        <v>242</v>
      </c>
      <c r="C2466" s="87" t="s">
        <v>243</v>
      </c>
      <c r="D2466" s="87" t="s">
        <v>1532</v>
      </c>
      <c r="E2466" s="82"/>
    </row>
    <row r="2467" spans="1:5" x14ac:dyDescent="0.15">
      <c r="A2467" s="82"/>
      <c r="B2467" s="87" t="s">
        <v>900</v>
      </c>
      <c r="C2467" s="87" t="s">
        <v>901</v>
      </c>
      <c r="D2467" s="87" t="s">
        <v>902</v>
      </c>
      <c r="E2467" s="82"/>
    </row>
    <row r="2468" spans="1:5" x14ac:dyDescent="0.15">
      <c r="A2468" s="82"/>
      <c r="B2468" s="87" t="s">
        <v>1186</v>
      </c>
      <c r="C2468" s="87" t="s">
        <v>1187</v>
      </c>
      <c r="D2468" s="87" t="s">
        <v>1530</v>
      </c>
      <c r="E2468" s="82"/>
    </row>
    <row r="2469" spans="1:5" x14ac:dyDescent="0.15">
      <c r="A2469" s="82"/>
      <c r="B2469" s="87" t="s">
        <v>1188</v>
      </c>
      <c r="C2469" s="87" t="s">
        <v>1189</v>
      </c>
      <c r="D2469" s="87" t="s">
        <v>1531</v>
      </c>
      <c r="E2469" s="82"/>
    </row>
    <row r="2470" spans="1:5" x14ac:dyDescent="0.15">
      <c r="A2470" s="82"/>
      <c r="B2470" s="87" t="s">
        <v>522</v>
      </c>
      <c r="C2470" s="87" t="s">
        <v>523</v>
      </c>
      <c r="D2470" s="87" t="s">
        <v>524</v>
      </c>
      <c r="E2470" s="82"/>
    </row>
    <row r="2471" spans="1:5" x14ac:dyDescent="0.15">
      <c r="A2471" s="82"/>
      <c r="B2471" s="87" t="s">
        <v>604</v>
      </c>
      <c r="C2471" s="87" t="s">
        <v>605</v>
      </c>
      <c r="D2471" s="87" t="s">
        <v>606</v>
      </c>
      <c r="E2471" s="82"/>
    </row>
    <row r="2472" spans="1:5" x14ac:dyDescent="0.15">
      <c r="A2472" s="82"/>
      <c r="B2472" s="87" t="s">
        <v>348</v>
      </c>
      <c r="C2472" s="87" t="s">
        <v>349</v>
      </c>
      <c r="D2472" s="87" t="s">
        <v>1528</v>
      </c>
      <c r="E2472" s="82"/>
    </row>
    <row r="2473" spans="1:5" x14ac:dyDescent="0.15">
      <c r="A2473" s="82"/>
      <c r="B2473" s="87" t="s">
        <v>959</v>
      </c>
      <c r="C2473" s="87" t="s">
        <v>960</v>
      </c>
      <c r="D2473" s="87" t="s">
        <v>959</v>
      </c>
      <c r="E2473" s="82"/>
    </row>
    <row r="2474" spans="1:5" x14ac:dyDescent="0.15">
      <c r="A2474" s="82"/>
      <c r="B2474" s="87" t="s">
        <v>1273</v>
      </c>
      <c r="C2474" s="87" t="s">
        <v>1274</v>
      </c>
      <c r="D2474" s="87" t="s">
        <v>1273</v>
      </c>
      <c r="E2474" s="82"/>
    </row>
    <row r="2475" spans="1:5" x14ac:dyDescent="0.15">
      <c r="A2475" s="82"/>
      <c r="B2475" s="87" t="s">
        <v>358</v>
      </c>
      <c r="C2475" s="87" t="s">
        <v>359</v>
      </c>
      <c r="D2475" s="87" t="s">
        <v>1527</v>
      </c>
      <c r="E2475" s="82"/>
    </row>
    <row r="2476" spans="1:5" x14ac:dyDescent="0.15">
      <c r="A2476" s="82"/>
      <c r="B2476" s="87" t="s">
        <v>966</v>
      </c>
      <c r="C2476" s="87" t="s">
        <v>967</v>
      </c>
      <c r="D2476" s="87" t="s">
        <v>968</v>
      </c>
      <c r="E2476" s="82"/>
    </row>
    <row r="2477" spans="1:5" x14ac:dyDescent="0.15">
      <c r="A2477" s="82"/>
      <c r="B2477" s="87" t="s">
        <v>1284</v>
      </c>
      <c r="C2477" s="87" t="s">
        <v>1285</v>
      </c>
      <c r="D2477" s="87" t="s">
        <v>1284</v>
      </c>
      <c r="E2477" s="82"/>
    </row>
    <row r="2478" spans="1:5" x14ac:dyDescent="0.15">
      <c r="A2478" s="82"/>
      <c r="B2478" s="87" t="s">
        <v>616</v>
      </c>
      <c r="C2478" s="87" t="s">
        <v>617</v>
      </c>
      <c r="D2478" s="87" t="s">
        <v>618</v>
      </c>
      <c r="E2478" s="82"/>
    </row>
    <row r="2479" spans="1:5" x14ac:dyDescent="0.15">
      <c r="A2479" s="82"/>
      <c r="B2479" s="87" t="s">
        <v>983</v>
      </c>
      <c r="C2479" s="87" t="s">
        <v>984</v>
      </c>
      <c r="D2479" s="87" t="s">
        <v>985</v>
      </c>
      <c r="E2479" s="82"/>
    </row>
    <row r="2480" spans="1:5" x14ac:dyDescent="0.15">
      <c r="A2480" s="82"/>
      <c r="B2480" s="87" t="s">
        <v>1349</v>
      </c>
      <c r="C2480" s="87" t="s">
        <v>1350</v>
      </c>
      <c r="D2480" s="87" t="s">
        <v>1351</v>
      </c>
      <c r="E2480" s="82"/>
    </row>
    <row r="2481" spans="1:5" x14ac:dyDescent="0.15">
      <c r="A2481" s="82"/>
      <c r="B2481" s="87" t="s">
        <v>1352</v>
      </c>
      <c r="C2481" s="87" t="s">
        <v>1353</v>
      </c>
      <c r="D2481" s="87" t="s">
        <v>1351</v>
      </c>
      <c r="E2481" s="82"/>
    </row>
    <row r="2482" spans="1:5" x14ac:dyDescent="0.15">
      <c r="A2482" s="82"/>
      <c r="B2482" s="87" t="s">
        <v>1012</v>
      </c>
      <c r="C2482" s="87" t="s">
        <v>1013</v>
      </c>
      <c r="D2482" s="87" t="s">
        <v>1014</v>
      </c>
      <c r="E2482" s="82"/>
    </row>
    <row r="2483" spans="1:5" x14ac:dyDescent="0.15">
      <c r="A2483" s="82"/>
      <c r="B2483" s="87" t="s">
        <v>677</v>
      </c>
      <c r="C2483" s="87" t="s">
        <v>678</v>
      </c>
      <c r="D2483" s="87" t="s">
        <v>679</v>
      </c>
      <c r="E2483" s="82"/>
    </row>
    <row r="2484" spans="1:5" x14ac:dyDescent="0.15">
      <c r="A2484" s="82"/>
      <c r="B2484" s="87" t="s">
        <v>1017</v>
      </c>
      <c r="C2484" s="87" t="s">
        <v>1018</v>
      </c>
      <c r="D2484" s="87" t="s">
        <v>1526</v>
      </c>
      <c r="E2484" s="82"/>
    </row>
    <row r="2485" spans="1:5" x14ac:dyDescent="0.15">
      <c r="A2485" s="82"/>
      <c r="B2485" s="87" t="s">
        <v>680</v>
      </c>
      <c r="C2485" s="87" t="s">
        <v>681</v>
      </c>
      <c r="D2485" s="87" t="s">
        <v>682</v>
      </c>
      <c r="E2485" s="82"/>
    </row>
    <row r="2486" spans="1:5" x14ac:dyDescent="0.15">
      <c r="A2486" s="82"/>
      <c r="B2486" s="79" t="s">
        <v>1490</v>
      </c>
      <c r="C2486" s="80" t="s">
        <v>1415</v>
      </c>
      <c r="D2486" s="80" t="s">
        <v>1490</v>
      </c>
      <c r="E2486" s="80"/>
    </row>
    <row r="2487" spans="1:5" x14ac:dyDescent="0.15">
      <c r="A2487" s="82"/>
      <c r="B2487" s="87" t="s">
        <v>514</v>
      </c>
      <c r="C2487" s="87" t="s">
        <v>515</v>
      </c>
      <c r="D2487" s="87" t="s">
        <v>1525</v>
      </c>
      <c r="E2487" s="82"/>
    </row>
    <row r="2488" spans="1:5" x14ac:dyDescent="0.15">
      <c r="A2488" s="82"/>
      <c r="B2488" s="87" t="s">
        <v>1169</v>
      </c>
      <c r="C2488" s="87" t="s">
        <v>1170</v>
      </c>
      <c r="D2488" s="87" t="s">
        <v>1524</v>
      </c>
      <c r="E2488" s="82"/>
    </row>
    <row r="2489" spans="1:5" x14ac:dyDescent="0.15">
      <c r="A2489" s="82"/>
      <c r="B2489" s="87" t="s">
        <v>519</v>
      </c>
      <c r="C2489" s="87" t="s">
        <v>520</v>
      </c>
      <c r="D2489" s="87" t="s">
        <v>521</v>
      </c>
      <c r="E2489" s="82"/>
    </row>
    <row r="2490" spans="1:5" x14ac:dyDescent="0.15">
      <c r="A2490" s="82"/>
      <c r="B2490" s="87" t="s">
        <v>282</v>
      </c>
      <c r="C2490" s="87" t="s">
        <v>283</v>
      </c>
      <c r="D2490" s="87" t="s">
        <v>284</v>
      </c>
      <c r="E2490" s="82"/>
    </row>
    <row r="2491" spans="1:5" x14ac:dyDescent="0.15">
      <c r="A2491" s="82"/>
      <c r="B2491" s="87" t="s">
        <v>1183</v>
      </c>
      <c r="C2491" s="87" t="s">
        <v>1184</v>
      </c>
      <c r="D2491" s="87" t="s">
        <v>1523</v>
      </c>
      <c r="E2491" s="82"/>
    </row>
    <row r="2492" spans="1:5" x14ac:dyDescent="0.15">
      <c r="A2492" s="82"/>
      <c r="B2492" s="87" t="s">
        <v>291</v>
      </c>
      <c r="C2492" s="87" t="s">
        <v>292</v>
      </c>
      <c r="D2492" s="87" t="s">
        <v>1479</v>
      </c>
      <c r="E2492" s="82"/>
    </row>
    <row r="2493" spans="1:5" x14ac:dyDescent="0.15">
      <c r="A2493" s="82"/>
      <c r="B2493" s="87" t="s">
        <v>903</v>
      </c>
      <c r="C2493" s="87" t="s">
        <v>904</v>
      </c>
      <c r="D2493" s="87" t="s">
        <v>1522</v>
      </c>
      <c r="E2493" s="82"/>
    </row>
    <row r="2494" spans="1:5" x14ac:dyDescent="0.15">
      <c r="A2494" s="82"/>
      <c r="B2494" s="87" t="s">
        <v>332</v>
      </c>
      <c r="C2494" s="87" t="s">
        <v>333</v>
      </c>
      <c r="D2494" s="87" t="s">
        <v>334</v>
      </c>
      <c r="E2494" s="82"/>
    </row>
    <row r="2495" spans="1:5" x14ac:dyDescent="0.15">
      <c r="A2495" s="82"/>
      <c r="B2495" s="87" t="s">
        <v>338</v>
      </c>
      <c r="C2495" s="87" t="s">
        <v>339</v>
      </c>
      <c r="D2495" s="87" t="s">
        <v>340</v>
      </c>
      <c r="E2495" s="82"/>
    </row>
    <row r="2496" spans="1:5" x14ac:dyDescent="0.15">
      <c r="A2496" s="82"/>
      <c r="B2496" s="87" t="s">
        <v>343</v>
      </c>
      <c r="C2496" s="87" t="s">
        <v>344</v>
      </c>
      <c r="D2496" s="87" t="s">
        <v>1521</v>
      </c>
      <c r="E2496" s="82"/>
    </row>
    <row r="2497" spans="1:5" x14ac:dyDescent="0.15">
      <c r="A2497" s="82"/>
      <c r="B2497" s="87" t="s">
        <v>1268</v>
      </c>
      <c r="C2497" s="87" t="s">
        <v>1269</v>
      </c>
      <c r="D2497" s="87" t="s">
        <v>1520</v>
      </c>
      <c r="E2497" s="82"/>
    </row>
    <row r="2498" spans="1:5" x14ac:dyDescent="0.15">
      <c r="A2498" s="82"/>
      <c r="B2498" s="87" t="s">
        <v>350</v>
      </c>
      <c r="C2498" s="87" t="s">
        <v>351</v>
      </c>
      <c r="D2498" s="87" t="s">
        <v>352</v>
      </c>
      <c r="E2498" s="82"/>
    </row>
    <row r="2499" spans="1:5" x14ac:dyDescent="0.15">
      <c r="A2499" s="82"/>
      <c r="B2499" s="87" t="s">
        <v>1270</v>
      </c>
      <c r="C2499" s="87" t="s">
        <v>1271</v>
      </c>
      <c r="D2499" s="87" t="s">
        <v>1272</v>
      </c>
      <c r="E2499" s="82"/>
    </row>
    <row r="2500" spans="1:5" x14ac:dyDescent="0.15">
      <c r="A2500" s="82"/>
      <c r="B2500" s="87" t="s">
        <v>353</v>
      </c>
      <c r="C2500" s="87" t="s">
        <v>354</v>
      </c>
      <c r="D2500" s="87" t="s">
        <v>355</v>
      </c>
      <c r="E2500" s="82"/>
    </row>
    <row r="2501" spans="1:5" x14ac:dyDescent="0.15">
      <c r="A2501" s="82"/>
      <c r="B2501" s="87" t="s">
        <v>961</v>
      </c>
      <c r="C2501" s="87" t="s">
        <v>962</v>
      </c>
      <c r="D2501" s="87" t="s">
        <v>1519</v>
      </c>
      <c r="E2501" s="82"/>
    </row>
    <row r="2502" spans="1:5" x14ac:dyDescent="0.15">
      <c r="A2502" s="82"/>
      <c r="B2502" s="87" t="s">
        <v>356</v>
      </c>
      <c r="C2502" s="87" t="s">
        <v>357</v>
      </c>
      <c r="D2502" s="87" t="s">
        <v>1518</v>
      </c>
      <c r="E2502" s="82"/>
    </row>
    <row r="2503" spans="1:5" x14ac:dyDescent="0.15">
      <c r="A2503" s="82"/>
      <c r="B2503" s="87" t="s">
        <v>969</v>
      </c>
      <c r="C2503" s="87" t="s">
        <v>970</v>
      </c>
      <c r="D2503" s="87" t="s">
        <v>1517</v>
      </c>
      <c r="E2503" s="82"/>
    </row>
    <row r="2504" spans="1:5" x14ac:dyDescent="0.15">
      <c r="A2504" s="82"/>
      <c r="B2504" s="87" t="s">
        <v>782</v>
      </c>
      <c r="C2504" s="87" t="s">
        <v>783</v>
      </c>
      <c r="D2504" s="87" t="s">
        <v>1516</v>
      </c>
      <c r="E2504" s="82"/>
    </row>
    <row r="2505" spans="1:5" x14ac:dyDescent="0.15">
      <c r="A2505" s="82"/>
      <c r="B2505" s="87" t="s">
        <v>360</v>
      </c>
      <c r="C2505" s="87" t="s">
        <v>361</v>
      </c>
      <c r="D2505" s="87" t="s">
        <v>1515</v>
      </c>
      <c r="E2505" s="82"/>
    </row>
    <row r="2506" spans="1:5" x14ac:dyDescent="0.15">
      <c r="A2506" s="82"/>
      <c r="B2506" s="87" t="s">
        <v>1286</v>
      </c>
      <c r="C2506" s="87" t="s">
        <v>1287</v>
      </c>
      <c r="D2506" s="87" t="s">
        <v>1288</v>
      </c>
      <c r="E2506" s="82"/>
    </row>
    <row r="2507" spans="1:5" x14ac:dyDescent="0.15">
      <c r="A2507" s="82"/>
      <c r="B2507" s="87" t="s">
        <v>977</v>
      </c>
      <c r="C2507" s="87" t="s">
        <v>978</v>
      </c>
      <c r="D2507" s="87" t="s">
        <v>1514</v>
      </c>
      <c r="E2507" s="82"/>
    </row>
    <row r="2508" spans="1:5" x14ac:dyDescent="0.15">
      <c r="A2508" s="82"/>
      <c r="B2508" s="87" t="s">
        <v>362</v>
      </c>
      <c r="C2508" s="87" t="s">
        <v>363</v>
      </c>
      <c r="D2508" s="87" t="s">
        <v>1513</v>
      </c>
      <c r="E2508" s="82"/>
    </row>
    <row r="2509" spans="1:5" x14ac:dyDescent="0.15">
      <c r="A2509" s="82"/>
      <c r="B2509" s="87" t="s">
        <v>613</v>
      </c>
      <c r="C2509" s="87" t="s">
        <v>614</v>
      </c>
      <c r="D2509" s="87" t="s">
        <v>1512</v>
      </c>
      <c r="E2509" s="82"/>
    </row>
    <row r="2510" spans="1:5" x14ac:dyDescent="0.15">
      <c r="A2510" s="82"/>
      <c r="B2510" s="87" t="s">
        <v>1289</v>
      </c>
      <c r="C2510" s="87" t="s">
        <v>1290</v>
      </c>
      <c r="D2510" s="87" t="s">
        <v>1511</v>
      </c>
      <c r="E2510" s="82"/>
    </row>
    <row r="2511" spans="1:5" x14ac:dyDescent="0.15">
      <c r="A2511" s="82"/>
      <c r="B2511" s="87" t="s">
        <v>793</v>
      </c>
      <c r="C2511" s="87" t="s">
        <v>794</v>
      </c>
      <c r="D2511" s="87" t="s">
        <v>795</v>
      </c>
      <c r="E2511" s="82"/>
    </row>
    <row r="2512" spans="1:5" x14ac:dyDescent="0.15">
      <c r="A2512" s="82"/>
      <c r="B2512" s="87" t="s">
        <v>992</v>
      </c>
      <c r="C2512" s="87" t="s">
        <v>993</v>
      </c>
      <c r="D2512" s="87" t="s">
        <v>994</v>
      </c>
      <c r="E2512" s="82"/>
    </row>
    <row r="2513" spans="1:5" x14ac:dyDescent="0.15">
      <c r="A2513" s="82"/>
      <c r="B2513" s="87" t="s">
        <v>637</v>
      </c>
      <c r="C2513" s="87" t="s">
        <v>638</v>
      </c>
      <c r="D2513" s="87" t="s">
        <v>639</v>
      </c>
      <c r="E2513" s="82"/>
    </row>
    <row r="2514" spans="1:5" x14ac:dyDescent="0.15">
      <c r="A2514" s="82"/>
      <c r="B2514" s="87" t="s">
        <v>805</v>
      </c>
      <c r="C2514" s="87" t="s">
        <v>806</v>
      </c>
      <c r="D2514" s="87" t="s">
        <v>807</v>
      </c>
      <c r="E2514" s="82"/>
    </row>
    <row r="2515" spans="1:5" x14ac:dyDescent="0.15">
      <c r="A2515" s="82"/>
      <c r="B2515" s="87" t="s">
        <v>640</v>
      </c>
      <c r="C2515" s="87" t="s">
        <v>641</v>
      </c>
      <c r="D2515" s="87" t="s">
        <v>642</v>
      </c>
      <c r="E2515" s="82"/>
    </row>
    <row r="2516" spans="1:5" x14ac:dyDescent="0.15">
      <c r="A2516" s="82"/>
      <c r="B2516" s="87" t="s">
        <v>372</v>
      </c>
      <c r="C2516" s="87" t="s">
        <v>373</v>
      </c>
      <c r="D2516" s="87" t="s">
        <v>374</v>
      </c>
      <c r="E2516" s="82"/>
    </row>
    <row r="2517" spans="1:5" x14ac:dyDescent="0.15">
      <c r="A2517" s="82"/>
      <c r="B2517" s="87" t="s">
        <v>1332</v>
      </c>
      <c r="C2517" s="87" t="s">
        <v>1333</v>
      </c>
      <c r="D2517" s="87" t="s">
        <v>1510</v>
      </c>
      <c r="E2517" s="82"/>
    </row>
    <row r="2518" spans="1:5" x14ac:dyDescent="0.15">
      <c r="A2518" s="82"/>
      <c r="B2518" s="87" t="s">
        <v>997</v>
      </c>
      <c r="C2518" s="87" t="s">
        <v>998</v>
      </c>
      <c r="D2518" s="87" t="s">
        <v>999</v>
      </c>
      <c r="E2518" s="82"/>
    </row>
    <row r="2519" spans="1:5" x14ac:dyDescent="0.15">
      <c r="A2519" s="82"/>
      <c r="B2519" s="87" t="s">
        <v>649</v>
      </c>
      <c r="C2519" s="87" t="s">
        <v>650</v>
      </c>
      <c r="D2519" s="87" t="s">
        <v>651</v>
      </c>
      <c r="E2519" s="82"/>
    </row>
    <row r="2520" spans="1:5" x14ac:dyDescent="0.15">
      <c r="A2520" s="82"/>
      <c r="B2520" s="87" t="s">
        <v>1000</v>
      </c>
      <c r="C2520" s="87" t="s">
        <v>1001</v>
      </c>
      <c r="D2520" s="87" t="s">
        <v>1000</v>
      </c>
      <c r="E2520" s="82"/>
    </row>
    <row r="2521" spans="1:5" x14ac:dyDescent="0.15">
      <c r="A2521" s="82"/>
      <c r="B2521" s="87" t="s">
        <v>381</v>
      </c>
      <c r="C2521" s="87" t="s">
        <v>382</v>
      </c>
      <c r="D2521" s="87" t="s">
        <v>1509</v>
      </c>
      <c r="E2521" s="82"/>
    </row>
    <row r="2522" spans="1:5" x14ac:dyDescent="0.15">
      <c r="A2522" s="82"/>
      <c r="B2522" s="87" t="s">
        <v>654</v>
      </c>
      <c r="C2522" s="87" t="s">
        <v>655</v>
      </c>
      <c r="D2522" s="87" t="s">
        <v>656</v>
      </c>
      <c r="E2522" s="82"/>
    </row>
    <row r="2523" spans="1:5" x14ac:dyDescent="0.15">
      <c r="A2523" s="82"/>
      <c r="B2523" s="87" t="s">
        <v>1346</v>
      </c>
      <c r="C2523" s="87" t="s">
        <v>1347</v>
      </c>
      <c r="D2523" s="87" t="s">
        <v>1348</v>
      </c>
      <c r="E2523" s="82"/>
    </row>
    <row r="2524" spans="1:5" x14ac:dyDescent="0.15">
      <c r="A2524" s="82"/>
      <c r="B2524" s="87" t="s">
        <v>1055</v>
      </c>
      <c r="C2524" s="87" t="s">
        <v>1287</v>
      </c>
      <c r="D2524" s="87" t="s">
        <v>1055</v>
      </c>
      <c r="E2524" s="82"/>
    </row>
    <row r="2525" spans="1:5" x14ac:dyDescent="0.15">
      <c r="A2525" s="82"/>
      <c r="B2525" s="79" t="s">
        <v>1471</v>
      </c>
      <c r="C2525" s="80" t="s">
        <v>1415</v>
      </c>
      <c r="D2525" s="80" t="s">
        <v>1472</v>
      </c>
      <c r="E2525" s="80"/>
    </row>
    <row r="2526" spans="1:5" x14ac:dyDescent="0.15">
      <c r="A2526" s="82"/>
      <c r="B2526" s="87" t="s">
        <v>1056</v>
      </c>
      <c r="C2526" s="87" t="s">
        <v>1057</v>
      </c>
      <c r="D2526" s="87" t="s">
        <v>1508</v>
      </c>
      <c r="E2526" s="82"/>
    </row>
    <row r="2527" spans="1:5" x14ac:dyDescent="0.15">
      <c r="A2527" s="82"/>
      <c r="B2527" s="87" t="s">
        <v>1058</v>
      </c>
      <c r="C2527" s="87" t="s">
        <v>1059</v>
      </c>
      <c r="D2527" s="87" t="s">
        <v>1060</v>
      </c>
      <c r="E2527" s="82"/>
    </row>
    <row r="2528" spans="1:5" x14ac:dyDescent="0.15">
      <c r="A2528" s="82"/>
      <c r="B2528" s="87" t="s">
        <v>1061</v>
      </c>
      <c r="C2528" s="87" t="s">
        <v>1062</v>
      </c>
      <c r="D2528" s="87" t="s">
        <v>1063</v>
      </c>
      <c r="E2528" s="82"/>
    </row>
    <row r="2529" spans="1:5" x14ac:dyDescent="0.15">
      <c r="A2529" s="82"/>
      <c r="B2529" s="87" t="s">
        <v>1064</v>
      </c>
      <c r="C2529" s="87" t="s">
        <v>1065</v>
      </c>
      <c r="D2529" s="87" t="s">
        <v>1066</v>
      </c>
      <c r="E2529" s="82"/>
    </row>
    <row r="2530" spans="1:5" x14ac:dyDescent="0.15">
      <c r="A2530" s="82"/>
      <c r="B2530" s="87" t="s">
        <v>1067</v>
      </c>
      <c r="C2530" s="87" t="s">
        <v>1068</v>
      </c>
      <c r="D2530" s="87" t="s">
        <v>1069</v>
      </c>
      <c r="E2530" s="82"/>
    </row>
    <row r="2531" spans="1:5" x14ac:dyDescent="0.15">
      <c r="A2531" s="82"/>
      <c r="B2531" s="87" t="s">
        <v>1070</v>
      </c>
      <c r="C2531" s="87"/>
      <c r="D2531" s="87" t="s">
        <v>1507</v>
      </c>
      <c r="E2531" s="82"/>
    </row>
    <row r="2532" spans="1:5" x14ac:dyDescent="0.15">
      <c r="A2532" s="82"/>
      <c r="B2532" s="87" t="s">
        <v>1071</v>
      </c>
      <c r="C2532" s="87" t="s">
        <v>1072</v>
      </c>
      <c r="D2532" s="87" t="s">
        <v>1073</v>
      </c>
      <c r="E2532" s="82"/>
    </row>
    <row r="2533" spans="1:5" x14ac:dyDescent="0.15">
      <c r="A2533" s="82"/>
      <c r="B2533" s="87" t="s">
        <v>1074</v>
      </c>
      <c r="C2533" s="87"/>
      <c r="D2533" s="87" t="s">
        <v>1074</v>
      </c>
      <c r="E2533" s="82"/>
    </row>
    <row r="2534" spans="1:5" x14ac:dyDescent="0.15">
      <c r="A2534" s="82"/>
      <c r="B2534" s="87" t="s">
        <v>1075</v>
      </c>
      <c r="C2534" s="87" t="s">
        <v>1076</v>
      </c>
      <c r="D2534" s="87" t="s">
        <v>1506</v>
      </c>
      <c r="E2534" s="82"/>
    </row>
    <row r="2535" spans="1:5" x14ac:dyDescent="0.15">
      <c r="A2535" s="82"/>
      <c r="B2535" s="87" t="s">
        <v>1088</v>
      </c>
      <c r="C2535" s="87" t="s">
        <v>1089</v>
      </c>
      <c r="D2535" s="87" t="s">
        <v>1505</v>
      </c>
      <c r="E2535" s="82"/>
    </row>
    <row r="2536" spans="1:5" x14ac:dyDescent="0.15">
      <c r="A2536" s="82"/>
      <c r="B2536" s="87" t="s">
        <v>472</v>
      </c>
      <c r="C2536" s="87"/>
      <c r="D2536" s="87" t="s">
        <v>473</v>
      </c>
      <c r="E2536" s="82"/>
    </row>
    <row r="2537" spans="1:5" x14ac:dyDescent="0.15">
      <c r="A2537" s="82"/>
      <c r="B2537" s="87" t="s">
        <v>1094</v>
      </c>
      <c r="C2537" s="87"/>
      <c r="D2537" s="87" t="s">
        <v>1504</v>
      </c>
      <c r="E2537" s="82"/>
    </row>
    <row r="2538" spans="1:5" x14ac:dyDescent="0.15">
      <c r="A2538" s="82"/>
      <c r="B2538" s="87" t="s">
        <v>1115</v>
      </c>
      <c r="C2538" s="87" t="s">
        <v>1116</v>
      </c>
      <c r="D2538" s="87" t="s">
        <v>1117</v>
      </c>
      <c r="E2538" s="82"/>
    </row>
    <row r="2539" spans="1:5" x14ac:dyDescent="0.15">
      <c r="A2539" s="82"/>
      <c r="B2539" s="87" t="s">
        <v>1121</v>
      </c>
      <c r="C2539" s="87" t="s">
        <v>1122</v>
      </c>
      <c r="D2539" s="87" t="s">
        <v>1503</v>
      </c>
      <c r="E2539" s="82"/>
    </row>
    <row r="2540" spans="1:5" x14ac:dyDescent="0.15">
      <c r="A2540" s="82"/>
      <c r="B2540" s="87" t="s">
        <v>504</v>
      </c>
      <c r="C2540" s="87"/>
      <c r="D2540" s="87" t="s">
        <v>505</v>
      </c>
      <c r="E2540" s="82"/>
    </row>
    <row r="2541" spans="1:5" x14ac:dyDescent="0.15">
      <c r="A2541" s="82"/>
      <c r="B2541" s="87" t="s">
        <v>885</v>
      </c>
      <c r="C2541" s="87" t="s">
        <v>886</v>
      </c>
      <c r="D2541" s="87" t="s">
        <v>887</v>
      </c>
      <c r="E2541" s="82"/>
    </row>
    <row r="2542" spans="1:5" x14ac:dyDescent="0.15">
      <c r="A2542" s="82"/>
      <c r="B2542" s="87" t="s">
        <v>1185</v>
      </c>
      <c r="C2542" s="87"/>
      <c r="D2542" s="87" t="s">
        <v>1502</v>
      </c>
      <c r="E2542" s="82"/>
    </row>
    <row r="2543" spans="1:5" x14ac:dyDescent="0.15">
      <c r="A2543" s="82"/>
      <c r="B2543" s="87" t="s">
        <v>525</v>
      </c>
      <c r="C2543" s="87"/>
      <c r="D2543" s="87" t="s">
        <v>526</v>
      </c>
      <c r="E2543" s="82"/>
    </row>
    <row r="2544" spans="1:5" x14ac:dyDescent="0.15">
      <c r="A2544" s="82"/>
      <c r="B2544" s="87" t="s">
        <v>1281</v>
      </c>
      <c r="C2544" s="87"/>
      <c r="D2544" s="87" t="s">
        <v>1501</v>
      </c>
      <c r="E2544" s="82"/>
    </row>
    <row r="2545" spans="1:5" x14ac:dyDescent="0.15">
      <c r="A2545" s="82"/>
      <c r="B2545" s="87" t="s">
        <v>611</v>
      </c>
      <c r="C2545" s="87" t="s">
        <v>612</v>
      </c>
      <c r="D2545" s="87" t="s">
        <v>1500</v>
      </c>
      <c r="E2545" s="82"/>
    </row>
    <row r="2546" spans="1:5" x14ac:dyDescent="0.15">
      <c r="A2546" s="82"/>
      <c r="B2546" s="87" t="s">
        <v>1294</v>
      </c>
      <c r="C2546" s="87"/>
      <c r="D2546" s="87" t="s">
        <v>1295</v>
      </c>
      <c r="E2546" s="82"/>
    </row>
    <row r="2547" spans="1:5" x14ac:dyDescent="0.15">
      <c r="A2547" s="82"/>
      <c r="B2547" s="87" t="s">
        <v>1304</v>
      </c>
      <c r="C2547" s="87"/>
      <c r="D2547" s="87" t="s">
        <v>1305</v>
      </c>
      <c r="E2547" s="82"/>
    </row>
    <row r="2548" spans="1:5" x14ac:dyDescent="0.15">
      <c r="A2548" s="82"/>
      <c r="B2548" s="87" t="s">
        <v>1306</v>
      </c>
      <c r="C2548" s="87" t="s">
        <v>1307</v>
      </c>
      <c r="D2548" s="87" t="s">
        <v>1308</v>
      </c>
      <c r="E2548" s="82"/>
    </row>
    <row r="2549" spans="1:5" x14ac:dyDescent="0.15">
      <c r="A2549" s="82"/>
      <c r="B2549" s="87" t="s">
        <v>1309</v>
      </c>
      <c r="C2549" s="87"/>
      <c r="D2549" s="87" t="s">
        <v>1310</v>
      </c>
      <c r="E2549" s="82"/>
    </row>
    <row r="2550" spans="1:5" x14ac:dyDescent="0.15">
      <c r="A2550" s="82"/>
      <c r="B2550" s="87" t="s">
        <v>1317</v>
      </c>
      <c r="C2550" s="87" t="s">
        <v>1318</v>
      </c>
      <c r="D2550" s="87" t="s">
        <v>1319</v>
      </c>
      <c r="E2550" s="82"/>
    </row>
    <row r="2551" spans="1:5" x14ac:dyDescent="0.15">
      <c r="A2551" s="82"/>
      <c r="B2551" s="87" t="s">
        <v>1326</v>
      </c>
      <c r="C2551" s="87" t="s">
        <v>1327</v>
      </c>
      <c r="D2551" s="87" t="s">
        <v>1328</v>
      </c>
      <c r="E2551" s="82"/>
    </row>
    <row r="2552" spans="1:5" x14ac:dyDescent="0.15">
      <c r="A2552" s="82"/>
      <c r="B2552" s="87" t="s">
        <v>375</v>
      </c>
      <c r="C2552" s="87" t="s">
        <v>376</v>
      </c>
      <c r="D2552" s="87" t="s">
        <v>377</v>
      </c>
      <c r="E2552" s="82"/>
    </row>
    <row r="2553" spans="1:5" x14ac:dyDescent="0.15">
      <c r="A2553" s="82"/>
      <c r="B2553" s="87" t="s">
        <v>1329</v>
      </c>
      <c r="C2553" s="87" t="s">
        <v>1330</v>
      </c>
      <c r="D2553" s="87" t="s">
        <v>1331</v>
      </c>
      <c r="E2553" s="82"/>
    </row>
    <row r="2554" spans="1:5" x14ac:dyDescent="0.15">
      <c r="A2554" s="82"/>
      <c r="B2554" s="87" t="s">
        <v>378</v>
      </c>
      <c r="C2554" s="87" t="s">
        <v>379</v>
      </c>
      <c r="D2554" s="87" t="s">
        <v>380</v>
      </c>
      <c r="E2554" s="82"/>
    </row>
    <row r="2555" spans="1:5" x14ac:dyDescent="0.15">
      <c r="A2555" s="82"/>
      <c r="B2555" s="87" t="s">
        <v>1334</v>
      </c>
      <c r="C2555" s="87"/>
      <c r="D2555" s="87" t="s">
        <v>1335</v>
      </c>
      <c r="E2555" s="82"/>
    </row>
    <row r="2556" spans="1:5" x14ac:dyDescent="0.15">
      <c r="A2556" s="82"/>
      <c r="B2556" s="87" t="s">
        <v>1336</v>
      </c>
      <c r="C2556" s="87" t="s">
        <v>1337</v>
      </c>
      <c r="D2556" s="87" t="s">
        <v>1499</v>
      </c>
      <c r="E2556" s="82"/>
    </row>
    <row r="2557" spans="1:5" x14ac:dyDescent="0.15">
      <c r="A2557" s="82"/>
      <c r="B2557" s="87" t="s">
        <v>1354</v>
      </c>
      <c r="C2557" s="87"/>
      <c r="D2557" s="87" t="s">
        <v>1497</v>
      </c>
      <c r="E2557" s="82"/>
    </row>
    <row r="2558" spans="1:5" x14ac:dyDescent="0.15">
      <c r="A2558" s="82"/>
      <c r="B2558" s="87" t="s">
        <v>1355</v>
      </c>
      <c r="C2558" s="87"/>
      <c r="D2558" s="87" t="s">
        <v>1498</v>
      </c>
      <c r="E2558" s="82"/>
    </row>
    <row r="2559" spans="1:5" x14ac:dyDescent="0.15">
      <c r="A2559" s="82"/>
      <c r="B2559" s="87" t="s">
        <v>826</v>
      </c>
      <c r="C2559" s="87" t="s">
        <v>827</v>
      </c>
      <c r="D2559" s="87" t="s">
        <v>828</v>
      </c>
      <c r="E2559" s="82"/>
    </row>
    <row r="2560" spans="1:5" x14ac:dyDescent="0.15">
      <c r="A2560" s="82"/>
      <c r="B2560" s="87" t="s">
        <v>1002</v>
      </c>
      <c r="C2560" s="87" t="s">
        <v>1003</v>
      </c>
      <c r="D2560" s="87" t="s">
        <v>1496</v>
      </c>
      <c r="E2560" s="82"/>
    </row>
    <row r="2561" spans="1:5" x14ac:dyDescent="0.15">
      <c r="A2561" s="82"/>
      <c r="B2561" s="87" t="s">
        <v>1015</v>
      </c>
      <c r="C2561" s="87"/>
      <c r="D2561" s="87" t="s">
        <v>1016</v>
      </c>
      <c r="E2561" s="82"/>
    </row>
    <row r="2562" spans="1:5" x14ac:dyDescent="0.15">
      <c r="A2562" s="82"/>
      <c r="B2562" s="87" t="s">
        <v>1394</v>
      </c>
      <c r="C2562" s="87"/>
      <c r="D2562" s="87" t="s">
        <v>1395</v>
      </c>
      <c r="E2562" s="82"/>
    </row>
    <row r="2563" spans="1:5" x14ac:dyDescent="0.15">
      <c r="A2563" s="82"/>
      <c r="B2563" s="87" t="s">
        <v>1403</v>
      </c>
      <c r="C2563" s="87"/>
      <c r="D2563" s="87" t="s">
        <v>1493</v>
      </c>
      <c r="E2563" s="82"/>
    </row>
    <row r="2564" spans="1:5" x14ac:dyDescent="0.15">
      <c r="A2564" s="82"/>
      <c r="B2564" s="87" t="s">
        <v>1405</v>
      </c>
      <c r="C2564" s="87"/>
      <c r="D2564" s="87" t="s">
        <v>1494</v>
      </c>
      <c r="E2564" s="82"/>
    </row>
    <row r="2565" spans="1:5" x14ac:dyDescent="0.15">
      <c r="A2565" s="82"/>
      <c r="B2565" s="87" t="s">
        <v>1406</v>
      </c>
      <c r="C2565" s="87" t="s">
        <v>1407</v>
      </c>
      <c r="D2565" s="87" t="s">
        <v>1495</v>
      </c>
      <c r="E2565" s="82"/>
    </row>
    <row r="2566" spans="1:5" x14ac:dyDescent="0.15">
      <c r="A2566" s="82"/>
      <c r="B2566" s="79" t="s">
        <v>1575</v>
      </c>
      <c r="C2566" s="80" t="s">
        <v>1415</v>
      </c>
      <c r="D2566" s="80"/>
      <c r="E2566" s="80"/>
    </row>
    <row r="2567" spans="1:5" x14ac:dyDescent="0.15">
      <c r="A2567" s="82"/>
      <c r="B2567" s="87" t="s">
        <v>1360</v>
      </c>
      <c r="C2567" s="87" t="s">
        <v>1361</v>
      </c>
      <c r="D2567" s="87" t="s">
        <v>1362</v>
      </c>
      <c r="E2567" s="82"/>
    </row>
    <row r="2568" spans="1:5" x14ac:dyDescent="0.15">
      <c r="A2568" s="82"/>
      <c r="B2568" s="87" t="s">
        <v>1363</v>
      </c>
      <c r="C2568" s="87" t="s">
        <v>1364</v>
      </c>
      <c r="D2568" s="87" t="s">
        <v>1365</v>
      </c>
      <c r="E2568" s="82"/>
    </row>
    <row r="2569" spans="1:5" x14ac:dyDescent="0.15">
      <c r="A2569" s="82"/>
      <c r="B2569" s="87" t="s">
        <v>1366</v>
      </c>
      <c r="C2569" s="87" t="s">
        <v>1367</v>
      </c>
      <c r="D2569" s="87" t="s">
        <v>1368</v>
      </c>
      <c r="E2569" s="82"/>
    </row>
    <row r="2570" spans="1:5" x14ac:dyDescent="0.15">
      <c r="A2570" s="82"/>
      <c r="B2570" s="87" t="s">
        <v>385</v>
      </c>
      <c r="C2570" s="87" t="s">
        <v>386</v>
      </c>
      <c r="D2570" s="87" t="s">
        <v>387</v>
      </c>
      <c r="E2570" s="82"/>
    </row>
    <row r="2571" spans="1:5" x14ac:dyDescent="0.15">
      <c r="A2571" s="82"/>
      <c r="B2571" s="87" t="s">
        <v>388</v>
      </c>
      <c r="C2571" s="87" t="s">
        <v>389</v>
      </c>
      <c r="D2571" s="87" t="s">
        <v>390</v>
      </c>
      <c r="E2571" s="82"/>
    </row>
    <row r="2572" spans="1:5" x14ac:dyDescent="0.15">
      <c r="A2572" s="82"/>
      <c r="B2572" s="87" t="s">
        <v>659</v>
      </c>
      <c r="C2572" s="87" t="s">
        <v>660</v>
      </c>
      <c r="D2572" s="87" t="s">
        <v>661</v>
      </c>
      <c r="E2572" s="82"/>
    </row>
    <row r="2573" spans="1:5" x14ac:dyDescent="0.15">
      <c r="A2573" s="82"/>
      <c r="B2573" s="87" t="s">
        <v>1369</v>
      </c>
      <c r="C2573" s="87" t="s">
        <v>1370</v>
      </c>
      <c r="D2573" s="87" t="s">
        <v>1371</v>
      </c>
      <c r="E2573" s="82"/>
    </row>
    <row r="2574" spans="1:5" x14ac:dyDescent="0.15">
      <c r="A2574" s="82"/>
      <c r="B2574" s="87" t="s">
        <v>1372</v>
      </c>
      <c r="C2574" s="87" t="s">
        <v>1373</v>
      </c>
      <c r="D2574" s="87" t="s">
        <v>1374</v>
      </c>
      <c r="E2574" s="82"/>
    </row>
    <row r="2575" spans="1:5" x14ac:dyDescent="0.15">
      <c r="A2575" s="82"/>
      <c r="B2575" s="87" t="s">
        <v>1375</v>
      </c>
      <c r="C2575" s="87" t="s">
        <v>1376</v>
      </c>
      <c r="D2575" s="87" t="s">
        <v>1377</v>
      </c>
      <c r="E2575" s="82"/>
    </row>
    <row r="2576" spans="1:5" x14ac:dyDescent="0.15">
      <c r="A2576" s="82"/>
      <c r="B2576" s="87" t="s">
        <v>662</v>
      </c>
      <c r="C2576" s="87" t="s">
        <v>663</v>
      </c>
      <c r="D2576" s="87" t="s">
        <v>664</v>
      </c>
      <c r="E2576" s="82"/>
    </row>
    <row r="2577" spans="1:5" x14ac:dyDescent="0.15">
      <c r="A2577" s="82"/>
      <c r="B2577" s="87" t="s">
        <v>391</v>
      </c>
      <c r="C2577" s="87" t="s">
        <v>392</v>
      </c>
      <c r="D2577" s="87" t="s">
        <v>393</v>
      </c>
      <c r="E2577" s="82"/>
    </row>
    <row r="2578" spans="1:5" x14ac:dyDescent="0.15">
      <c r="A2578" s="82"/>
      <c r="B2578" s="87" t="s">
        <v>394</v>
      </c>
      <c r="C2578" s="87" t="s">
        <v>395</v>
      </c>
      <c r="D2578" s="87" t="s">
        <v>396</v>
      </c>
      <c r="E2578" s="82"/>
    </row>
    <row r="2579" spans="1:5" x14ac:dyDescent="0.15">
      <c r="A2579" s="82"/>
      <c r="B2579" s="87" t="s">
        <v>1585</v>
      </c>
      <c r="C2579" s="87" t="s">
        <v>1005</v>
      </c>
      <c r="D2579" s="87" t="s">
        <v>1584</v>
      </c>
      <c r="E2579" s="82"/>
    </row>
    <row r="2580" spans="1:5" x14ac:dyDescent="0.15">
      <c r="A2580" s="82"/>
      <c r="B2580" s="87" t="s">
        <v>1006</v>
      </c>
      <c r="C2580" s="87" t="s">
        <v>1007</v>
      </c>
      <c r="D2580" s="87" t="s">
        <v>1008</v>
      </c>
      <c r="E2580" s="82"/>
    </row>
    <row r="2581" spans="1:5" x14ac:dyDescent="0.15">
      <c r="A2581" s="82"/>
      <c r="B2581" s="87" t="s">
        <v>397</v>
      </c>
      <c r="C2581" s="87" t="s">
        <v>398</v>
      </c>
      <c r="D2581" s="87" t="s">
        <v>399</v>
      </c>
      <c r="E2581" s="82"/>
    </row>
    <row r="2582" spans="1:5" x14ac:dyDescent="0.15">
      <c r="A2582" s="82"/>
      <c r="B2582" s="87" t="s">
        <v>665</v>
      </c>
      <c r="C2582" s="87" t="s">
        <v>666</v>
      </c>
      <c r="D2582" s="87" t="s">
        <v>667</v>
      </c>
      <c r="E2582" s="82"/>
    </row>
    <row r="2583" spans="1:5" x14ac:dyDescent="0.15">
      <c r="A2583" s="82"/>
      <c r="B2583" s="87" t="s">
        <v>400</v>
      </c>
      <c r="C2583" s="87" t="s">
        <v>401</v>
      </c>
      <c r="D2583" s="87" t="s">
        <v>402</v>
      </c>
      <c r="E2583" s="82"/>
    </row>
    <row r="2584" spans="1:5" x14ac:dyDescent="0.15">
      <c r="A2584" s="82"/>
      <c r="B2584" s="87" t="s">
        <v>668</v>
      </c>
      <c r="C2584" s="87" t="s">
        <v>669</v>
      </c>
      <c r="D2584" s="87" t="s">
        <v>670</v>
      </c>
      <c r="E2584" s="82"/>
    </row>
    <row r="2585" spans="1:5" x14ac:dyDescent="0.15">
      <c r="A2585" s="82"/>
      <c r="B2585" s="87" t="s">
        <v>1378</v>
      </c>
      <c r="C2585" s="87" t="s">
        <v>1379</v>
      </c>
      <c r="D2585" s="87" t="s">
        <v>1380</v>
      </c>
      <c r="E2585" s="82"/>
    </row>
    <row r="2586" spans="1:5" x14ac:dyDescent="0.15">
      <c r="A2586" s="82"/>
      <c r="B2586" s="87" t="s">
        <v>403</v>
      </c>
      <c r="C2586" s="87" t="s">
        <v>404</v>
      </c>
      <c r="D2586" s="87" t="s">
        <v>405</v>
      </c>
      <c r="E2586" s="82"/>
    </row>
    <row r="2587" spans="1:5" x14ac:dyDescent="0.15">
      <c r="A2587" s="82"/>
      <c r="B2587" s="87" t="s">
        <v>1381</v>
      </c>
      <c r="C2587" s="87" t="s">
        <v>1382</v>
      </c>
      <c r="D2587" s="87" t="s">
        <v>1383</v>
      </c>
      <c r="E2587" s="82"/>
    </row>
    <row r="2588" spans="1:5" x14ac:dyDescent="0.15">
      <c r="A2588" s="82"/>
      <c r="B2588" s="87" t="s">
        <v>1583</v>
      </c>
      <c r="C2588" s="87" t="s">
        <v>1384</v>
      </c>
      <c r="D2588" s="87" t="s">
        <v>1582</v>
      </c>
      <c r="E2588" s="82"/>
    </row>
    <row r="2589" spans="1:5" x14ac:dyDescent="0.15">
      <c r="A2589" s="82"/>
      <c r="B2589" s="87" t="s">
        <v>1385</v>
      </c>
      <c r="C2589" s="87" t="s">
        <v>1386</v>
      </c>
      <c r="D2589" s="87" t="s">
        <v>1387</v>
      </c>
      <c r="E2589" s="82"/>
    </row>
    <row r="2590" spans="1:5" x14ac:dyDescent="0.15">
      <c r="A2590" s="82"/>
      <c r="B2590" s="87" t="s">
        <v>406</v>
      </c>
      <c r="C2590" s="87" t="s">
        <v>407</v>
      </c>
      <c r="D2590" s="87" t="s">
        <v>408</v>
      </c>
      <c r="E2590" s="82"/>
    </row>
    <row r="2591" spans="1:5" x14ac:dyDescent="0.15">
      <c r="A2591" s="82"/>
      <c r="B2591" s="87" t="s">
        <v>1388</v>
      </c>
      <c r="C2591" s="87" t="s">
        <v>1389</v>
      </c>
      <c r="D2591" s="87" t="s">
        <v>1390</v>
      </c>
      <c r="E2591" s="82"/>
    </row>
    <row r="2592" spans="1:5" x14ac:dyDescent="0.15">
      <c r="A2592" s="82"/>
      <c r="B2592" s="87" t="s">
        <v>409</v>
      </c>
      <c r="C2592" s="87" t="s">
        <v>410</v>
      </c>
      <c r="D2592" s="87" t="s">
        <v>411</v>
      </c>
      <c r="E2592" s="82"/>
    </row>
    <row r="2593" spans="1:5" x14ac:dyDescent="0.15">
      <c r="A2593" s="82"/>
      <c r="B2593" s="87" t="s">
        <v>412</v>
      </c>
      <c r="C2593" s="87" t="s">
        <v>413</v>
      </c>
      <c r="D2593" s="87" t="s">
        <v>414</v>
      </c>
      <c r="E2593" s="82"/>
    </row>
    <row r="2594" spans="1:5" x14ac:dyDescent="0.15">
      <c r="A2594" s="82"/>
      <c r="B2594" s="87" t="s">
        <v>1391</v>
      </c>
      <c r="C2594" s="87" t="s">
        <v>1392</v>
      </c>
      <c r="D2594" s="87" t="s">
        <v>1393</v>
      </c>
      <c r="E2594" s="82"/>
    </row>
    <row r="2595" spans="1:5" x14ac:dyDescent="0.15">
      <c r="A2595" s="82"/>
      <c r="B2595" s="87" t="s">
        <v>671</v>
      </c>
      <c r="C2595" s="87" t="s">
        <v>672</v>
      </c>
      <c r="D2595" s="87" t="s">
        <v>673</v>
      </c>
      <c r="E2595" s="82"/>
    </row>
    <row r="2596" spans="1:5" x14ac:dyDescent="0.15">
      <c r="A2596" s="82"/>
      <c r="B2596" s="87" t="s">
        <v>1009</v>
      </c>
      <c r="C2596" s="87" t="s">
        <v>1010</v>
      </c>
      <c r="D2596" s="87" t="s">
        <v>1011</v>
      </c>
      <c r="E2596" s="82"/>
    </row>
    <row r="2597" spans="1:5" x14ac:dyDescent="0.15">
      <c r="A2597" s="82"/>
      <c r="B2597" s="79" t="s">
        <v>1576</v>
      </c>
      <c r="C2597" s="80" t="s">
        <v>1415</v>
      </c>
      <c r="D2597" s="80" t="s">
        <v>1577</v>
      </c>
      <c r="E2597" s="80"/>
    </row>
    <row r="2598" spans="1:5" x14ac:dyDescent="0.15">
      <c r="A2598" s="82"/>
      <c r="B2598" s="87" t="s">
        <v>1079</v>
      </c>
      <c r="C2598" s="87" t="s">
        <v>1080</v>
      </c>
      <c r="D2598" s="87" t="s">
        <v>1081</v>
      </c>
      <c r="E2598" s="82"/>
    </row>
    <row r="2599" spans="1:5" x14ac:dyDescent="0.15">
      <c r="A2599" s="82"/>
      <c r="B2599" s="87" t="s">
        <v>1177</v>
      </c>
      <c r="C2599" s="87" t="s">
        <v>1178</v>
      </c>
      <c r="D2599" s="87" t="s">
        <v>1578</v>
      </c>
      <c r="E2599" s="82"/>
    </row>
    <row r="2600" spans="1:5" x14ac:dyDescent="0.15">
      <c r="A2600" s="82"/>
      <c r="B2600" s="87" t="s">
        <v>1179</v>
      </c>
      <c r="C2600" s="87" t="s">
        <v>1180</v>
      </c>
      <c r="D2600" s="87" t="s">
        <v>1579</v>
      </c>
      <c r="E2600" s="82"/>
    </row>
    <row r="2601" spans="1:5" x14ac:dyDescent="0.15">
      <c r="A2601" s="82"/>
      <c r="B2601" s="87" t="s">
        <v>1181</v>
      </c>
      <c r="C2601" s="87" t="s">
        <v>1182</v>
      </c>
      <c r="D2601" s="87" t="s">
        <v>1580</v>
      </c>
      <c r="E2601" s="82"/>
    </row>
    <row r="2602" spans="1:5" x14ac:dyDescent="0.15">
      <c r="A2602" s="82"/>
      <c r="B2602" s="87" t="s">
        <v>1296</v>
      </c>
      <c r="C2602" s="87" t="s">
        <v>1297</v>
      </c>
      <c r="D2602" s="87" t="s">
        <v>1581</v>
      </c>
      <c r="E2602" s="82"/>
    </row>
    <row r="2603" spans="1:5" x14ac:dyDescent="0.15">
      <c r="A2603" s="82"/>
      <c r="B2603" s="82"/>
      <c r="C2603" s="82"/>
      <c r="D2603" s="82"/>
      <c r="E2603" s="82"/>
    </row>
  </sheetData>
  <sheetProtection algorithmName="SHA-512" hashValue="y1P8h0fUEQrJx3XiSbcM4bd2lPtinIwGlXR8RK/teT85BZEJeRZr8aI3Kkc2+SES0K0Q26CZyvxGgzM4VCGxZw==" saltValue="6gFM2tFPhgpQjXXwPbrcVw==" spinCount="100000" sheet="1" objects="1" scenarios="1" formatColumns="0" formatRows="0"/>
  <autoFilter ref="C86:D197" xr:uid="{00000000-0009-0000-0000-000007000000}"/>
  <sortState xmlns:xlrd2="http://schemas.microsoft.com/office/spreadsheetml/2017/richdata2" ref="A916:P945">
    <sortCondition ref="B916:B945"/>
  </sortState>
  <mergeCells count="48">
    <mergeCell ref="A298:A301"/>
    <mergeCell ref="A426:A433"/>
    <mergeCell ref="A419:A424"/>
    <mergeCell ref="A406:A418"/>
    <mergeCell ref="A398:A405"/>
    <mergeCell ref="A357:A364"/>
    <mergeCell ref="B166:B179"/>
    <mergeCell ref="B181:B197"/>
    <mergeCell ref="B131:B135"/>
    <mergeCell ref="B136:B139"/>
    <mergeCell ref="B140:B141"/>
    <mergeCell ref="B142:B145"/>
    <mergeCell ref="B146:B156"/>
    <mergeCell ref="B157:B163"/>
    <mergeCell ref="E112:E114"/>
    <mergeCell ref="B115:B116"/>
    <mergeCell ref="B117:B123"/>
    <mergeCell ref="A110:A123"/>
    <mergeCell ref="B124:B125"/>
    <mergeCell ref="B127:B130"/>
    <mergeCell ref="A124:A163"/>
    <mergeCell ref="B87:B93"/>
    <mergeCell ref="B94:B100"/>
    <mergeCell ref="A87:A109"/>
    <mergeCell ref="B110:B111"/>
    <mergeCell ref="B112:B114"/>
    <mergeCell ref="B101:B109"/>
    <mergeCell ref="E298:E301"/>
    <mergeCell ref="E302:E303"/>
    <mergeCell ref="D298:D303"/>
    <mergeCell ref="E304:E312"/>
    <mergeCell ref="E313:E321"/>
    <mergeCell ref="D304:D321"/>
    <mergeCell ref="E339:E344"/>
    <mergeCell ref="D322:D344"/>
    <mergeCell ref="E345:E349"/>
    <mergeCell ref="E350:E351"/>
    <mergeCell ref="E352:E354"/>
    <mergeCell ref="E322:E324"/>
    <mergeCell ref="E325:E327"/>
    <mergeCell ref="E328:E330"/>
    <mergeCell ref="E331:E334"/>
    <mergeCell ref="E335:E338"/>
    <mergeCell ref="E355:E356"/>
    <mergeCell ref="D350:D351"/>
    <mergeCell ref="D345:D349"/>
    <mergeCell ref="D352:D356"/>
    <mergeCell ref="C437:C442"/>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Feuilles de calcul</vt:lpstr>
      </vt:variant>
      <vt:variant>
        <vt:i4>8</vt:i4>
      </vt:variant>
      <vt:variant>
        <vt:lpstr>Plages nommées</vt:lpstr>
      </vt:variant>
      <vt:variant>
        <vt:i4>48</vt:i4>
      </vt:variant>
    </vt:vector>
  </HeadingPairs>
  <TitlesOfParts>
    <vt:vector size="56" baseType="lpstr">
      <vt:lpstr>Notice</vt:lpstr>
      <vt:lpstr>1. Informations administratives</vt:lpstr>
      <vt:lpstr>Doonees A MASQUER</vt:lpstr>
      <vt:lpstr>2.1 RH-personnel</vt:lpstr>
      <vt:lpstr>2.2 RH-doctorants</vt:lpstr>
      <vt:lpstr>3. Ressources financières</vt:lpstr>
      <vt:lpstr>4. Occupation des locaux</vt:lpstr>
      <vt:lpstr>Nomenclatures</vt:lpstr>
      <vt:lpstr>AGROSUP_DIJON</vt:lpstr>
      <vt:lpstr>AIX_MARSEILLE_UNIVERSITE_AMU</vt:lpstr>
      <vt:lpstr>AP_aut</vt:lpstr>
      <vt:lpstr>AP_tit</vt:lpstr>
      <vt:lpstr>AVIGNON_UNIVERSITE_AU</vt:lpstr>
      <vt:lpstr>CEA</vt:lpstr>
      <vt:lpstr>CH_aut</vt:lpstr>
      <vt:lpstr>CH_tit</vt:lpstr>
      <vt:lpstr>codes_postaux</vt:lpstr>
      <vt:lpstr>Domaines_scientifiques</vt:lpstr>
      <vt:lpstr>EC_aut</vt:lpstr>
      <vt:lpstr>EC_tit</vt:lpstr>
      <vt:lpstr>Écoles_Doctorales</vt:lpstr>
      <vt:lpstr>ED_Rattachement</vt:lpstr>
      <vt:lpstr>ENSA_MARSEILLE</vt:lpstr>
      <vt:lpstr>ENSA_NANCY</vt:lpstr>
      <vt:lpstr>ENSA_STRASBOURG</vt:lpstr>
      <vt:lpstr>équipes</vt:lpstr>
      <vt:lpstr>ESC_DIJON</vt:lpstr>
      <vt:lpstr>Etablissements_accredites_ED</vt:lpstr>
      <vt:lpstr>Etablissements_dispensant_master</vt:lpstr>
      <vt:lpstr>Etablissements_employeurs</vt:lpstr>
      <vt:lpstr>Etablissements_enseignement_sup_et_recherche</vt:lpstr>
      <vt:lpstr>Etablissements_exercice</vt:lpstr>
      <vt:lpstr>Etablissements_rattachement</vt:lpstr>
      <vt:lpstr>IEP_AIX</vt:lpstr>
      <vt:lpstr>IFREMER</vt:lpstr>
      <vt:lpstr>INRAE</vt:lpstr>
      <vt:lpstr>IRD</vt:lpstr>
      <vt:lpstr>OBSERVATOIRE_COTE_D_AZUR_OCA</vt:lpstr>
      <vt:lpstr>Organismes_recherche</vt:lpstr>
      <vt:lpstr>Sections_BAP</vt:lpstr>
      <vt:lpstr>Tutelle_deposante</vt:lpstr>
      <vt:lpstr>UNIVERSITE_D_ORLEANS</vt:lpstr>
      <vt:lpstr>UNIVERSITE_DE_BOURGOGNE_UB</vt:lpstr>
      <vt:lpstr>UNIVERSITE_DE_CORSE_PASQUALE_PAOLI</vt:lpstr>
      <vt:lpstr>UNIVERSITE_DE_FRANCHE_COMTE</vt:lpstr>
      <vt:lpstr>UNIVERSITE_DE_HAUTE_ALSACE_UHA</vt:lpstr>
      <vt:lpstr>UNIVERSITE_DE_LA_COTE_D_AZUR</vt:lpstr>
      <vt:lpstr>UNIVERSITE_DE_LA_NOUVELLE_CALEDONIE_UNC</vt:lpstr>
      <vt:lpstr>UNIVERSITE_DE_LA_POLYNESIE_FRANCAISE_UPF</vt:lpstr>
      <vt:lpstr>UNIVERSITE_DE_LORRAINE</vt:lpstr>
      <vt:lpstr>UNIVERSITE_DE_REIMS_CHAMPAGNE_ARDENNES_URCA</vt:lpstr>
      <vt:lpstr>UNIVERSITE_DE_STRASBOURG_UNISTRA</vt:lpstr>
      <vt:lpstr>UNIVERSITE_DE_TOULON</vt:lpstr>
      <vt:lpstr>UNIVERSITE_FRANCOIS_RABELAIS_DE_TOURS</vt:lpstr>
      <vt:lpstr>UNIVERSITE_TECHNOLOGIQUE_DE_BELFORT_MONTBELIARD_UTBM</vt:lpstr>
      <vt:lpstr>UNIVERSITE_TECHNOLOGIQUE_DE_TROYES_UTT</vt:lpstr>
    </vt:vector>
  </TitlesOfParts>
  <Company>men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HCERES</dc:creator>
  <cp:lastModifiedBy>Fabio Alberto Cruz Sanchez</cp:lastModifiedBy>
  <cp:lastPrinted>2021-10-14T11:49:18Z</cp:lastPrinted>
  <dcterms:created xsi:type="dcterms:W3CDTF">2001-10-24T20:23:58Z</dcterms:created>
  <dcterms:modified xsi:type="dcterms:W3CDTF">2022-04-18T12:57:57Z</dcterms:modified>
</cp:coreProperties>
</file>